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U监控与预算" sheetId="1" state="visible" r:id="rId3"/>
    <sheet name="分类汇总" sheetId="2" state="visible" r:id="rId4"/>
    <sheet name="规则参数" sheetId="3" state="visible" r:id="rId5"/>
  </sheets>
  <definedNames>
    <definedName function="false" hidden="true" localSheetId="0" name="_xlnm._FilterDatabase" vbProcedure="false">SPU监控与预算!$A$1:$AA$324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<sst xmlns="http://schemas.openxmlformats.org/spreadsheetml/2006/main" count="2147" uniqueCount="668">
  <si>
    <t xml:space="preserve">分类</t>
  </si>
  <si>
    <t xml:space="preserve">SPU</t>
  </si>
  <si>
    <t xml:space="preserve">阶段</t>
  </si>
  <si>
    <t xml:space="preserve">监控标记</t>
  </si>
  <si>
    <t xml:space="preserve">销售额</t>
  </si>
  <si>
    <t xml:space="preserve">占公司比例</t>
  </si>
  <si>
    <t xml:space="preserve">毛利额</t>
  </si>
  <si>
    <t xml:space="preserve">毛利额占比</t>
  </si>
  <si>
    <t xml:space="preserve">广告花费</t>
  </si>
  <si>
    <t xml:space="preserve">广告占公司比例</t>
  </si>
  <si>
    <t xml:space="preserve">广告费率</t>
  </si>
  <si>
    <t xml:space="preserve">净毛利率</t>
  </si>
  <si>
    <t xml:space="preserve">广告前毛利率</t>
  </si>
  <si>
    <t xml:space="preserve">SP</t>
  </si>
  <si>
    <t xml:space="preserve">SB</t>
  </si>
  <si>
    <t xml:space="preserve">SBV</t>
  </si>
  <si>
    <t xml:space="preserve">SD</t>
  </si>
  <si>
    <r>
      <rPr>
        <b val="true"/>
        <sz val="10"/>
        <color rgb="FFFFFFFF"/>
        <rFont val="WenQuanYi Zen Hei"/>
        <family val="2"/>
      </rPr>
      <t xml:space="preserve">近</t>
    </r>
    <r>
      <rPr>
        <b val="true"/>
        <sz val="10"/>
        <color rgb="FFFFFFFF"/>
        <rFont val="微软雅黑"/>
        <family val="0"/>
        <charset val="1"/>
      </rPr>
      <t xml:space="preserve">30</t>
    </r>
    <r>
      <rPr>
        <b val="true"/>
        <sz val="10"/>
        <color rgb="FFFFFFFF"/>
        <rFont val="WenQuanYi Zen Hei"/>
        <family val="2"/>
      </rPr>
      <t xml:space="preserve">天销售额</t>
    </r>
  </si>
  <si>
    <r>
      <rPr>
        <b val="true"/>
        <sz val="10"/>
        <color rgb="FFFFFFFF"/>
        <rFont val="WenQuanYi Zen Hei"/>
        <family val="2"/>
      </rPr>
      <t xml:space="preserve">前</t>
    </r>
    <r>
      <rPr>
        <b val="true"/>
        <sz val="10"/>
        <color rgb="FFFFFFFF"/>
        <rFont val="微软雅黑"/>
        <family val="0"/>
        <charset val="1"/>
      </rPr>
      <t xml:space="preserve">30</t>
    </r>
    <r>
      <rPr>
        <b val="true"/>
        <sz val="10"/>
        <color rgb="FFFFFFFF"/>
        <rFont val="WenQuanYi Zen Hei"/>
        <family val="2"/>
      </rPr>
      <t xml:space="preserve">天销售额</t>
    </r>
  </si>
  <si>
    <r>
      <rPr>
        <b val="true"/>
        <sz val="10"/>
        <color rgb="FFFFFFFF"/>
        <rFont val="WenQuanYi Zen Hei"/>
        <family val="2"/>
      </rPr>
      <t xml:space="preserve">近</t>
    </r>
    <r>
      <rPr>
        <b val="true"/>
        <sz val="10"/>
        <color rgb="FFFFFFFF"/>
        <rFont val="微软雅黑"/>
        <family val="0"/>
        <charset val="1"/>
      </rPr>
      <t xml:space="preserve">30</t>
    </r>
    <r>
      <rPr>
        <b val="true"/>
        <sz val="10"/>
        <color rgb="FFFFFFFF"/>
        <rFont val="WenQuanYi Zen Hei"/>
        <family val="2"/>
      </rPr>
      <t xml:space="preserve">天环比</t>
    </r>
  </si>
  <si>
    <t xml:space="preserve">可用库存</t>
  </si>
  <si>
    <t xml:space="preserve">建议广告费率</t>
  </si>
  <si>
    <r>
      <rPr>
        <b val="true"/>
        <sz val="10"/>
        <color rgb="FFFFFFFF"/>
        <rFont val="WenQuanYi Zen Hei"/>
        <family val="2"/>
      </rPr>
      <t xml:space="preserve">当前月广告</t>
    </r>
    <r>
      <rPr>
        <b val="true"/>
        <sz val="10"/>
        <color rgb="FFFFFFFF"/>
        <rFont val="微软雅黑"/>
        <family val="0"/>
        <charset val="1"/>
      </rPr>
      <t xml:space="preserve">(</t>
    </r>
    <r>
      <rPr>
        <b val="true"/>
        <sz val="10"/>
        <color rgb="FFFFFFFF"/>
        <rFont val="WenQuanYi Zen Hei"/>
        <family val="2"/>
      </rPr>
      <t xml:space="preserve">估</t>
    </r>
    <r>
      <rPr>
        <b val="true"/>
        <sz val="10"/>
        <color rgb="FFFFFFFF"/>
        <rFont val="微软雅黑"/>
        <family val="0"/>
        <charset val="1"/>
      </rPr>
      <t xml:space="preserve">)</t>
    </r>
  </si>
  <si>
    <t xml:space="preserve">建议月预算</t>
  </si>
  <si>
    <t xml:space="preserve">预算调整</t>
  </si>
  <si>
    <t xml:space="preserve">触发原因</t>
  </si>
  <si>
    <t xml:space="preserve">建议</t>
  </si>
  <si>
    <t xml:space="preserve">电源逆变器</t>
  </si>
  <si>
    <r>
      <rPr>
        <sz val="10"/>
        <rFont val="WenQuanYi Zen Hei"/>
        <family val="2"/>
      </rPr>
      <t xml:space="preserve">逆变器</t>
    </r>
    <r>
      <rPr>
        <sz val="10"/>
        <rFont val="微软雅黑"/>
        <family val="0"/>
        <charset val="1"/>
      </rPr>
      <t xml:space="preserve">-200W</t>
    </r>
  </si>
  <si>
    <t xml:space="preserve">清货</t>
  </si>
  <si>
    <t xml:space="preserve">维持</t>
  </si>
  <si>
    <t xml:space="preserve">按建议广告费率执行，月度复盘</t>
  </si>
  <si>
    <t xml:space="preserve">充气泵</t>
  </si>
  <si>
    <r>
      <rPr>
        <sz val="10"/>
        <rFont val="WenQuanYi Zen Hei"/>
        <family val="2"/>
      </rPr>
      <t xml:space="preserve">充气泵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手持高配版</t>
    </r>
  </si>
  <si>
    <t xml:space="preserve">成熟</t>
  </si>
  <si>
    <t xml:space="preserve">冲击扳手</t>
  </si>
  <si>
    <r>
      <rPr>
        <sz val="10"/>
        <rFont val="WenQuanYi Zen Hei"/>
        <family val="2"/>
      </rPr>
      <t xml:space="preserve">冲击扳手</t>
    </r>
    <r>
      <rPr>
        <sz val="10"/>
        <rFont val="微软雅黑"/>
        <family val="0"/>
        <charset val="1"/>
      </rPr>
      <t xml:space="preserve">-1/2</t>
    </r>
    <r>
      <rPr>
        <sz val="10"/>
        <rFont val="WenQuanYi Zen Hei"/>
        <family val="2"/>
      </rPr>
      <t xml:space="preserve">英寸</t>
    </r>
    <r>
      <rPr>
        <sz val="10"/>
        <rFont val="微软雅黑"/>
        <family val="0"/>
        <charset val="1"/>
      </rPr>
      <t xml:space="preserve">1100N</t>
    </r>
  </si>
  <si>
    <t xml:space="preserve">黄油枪</t>
  </si>
  <si>
    <r>
      <rPr>
        <sz val="10"/>
        <rFont val="WenQuanYi Zen Hei"/>
        <family val="2"/>
      </rPr>
      <t xml:space="preserve">黄油枪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直柄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手枪两用款</t>
    </r>
  </si>
  <si>
    <t xml:space="preserve">灯具</t>
  </si>
  <si>
    <r>
      <rPr>
        <sz val="10"/>
        <rFont val="WenQuanYi Zen Hei"/>
        <family val="2"/>
      </rPr>
      <t xml:space="preserve">工作灯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薄款双开关</t>
    </r>
    <r>
      <rPr>
        <sz val="10"/>
        <rFont val="微软雅黑"/>
        <family val="0"/>
        <charset val="1"/>
      </rPr>
      <t xml:space="preserve">16</t>
    </r>
    <r>
      <rPr>
        <sz val="10"/>
        <rFont val="WenQuanYi Zen Hei"/>
        <family val="2"/>
      </rPr>
      <t xml:space="preserve">珠</t>
    </r>
    <r>
      <rPr>
        <sz val="10"/>
        <rFont val="微软雅黑"/>
        <family val="0"/>
        <charset val="1"/>
      </rPr>
      <t xml:space="preserve">21W</t>
    </r>
  </si>
  <si>
    <r>
      <rPr>
        <sz val="10"/>
        <rFont val="WenQuanYi Zen Hei"/>
        <family val="2"/>
      </rPr>
      <t xml:space="preserve">冲击扳手</t>
    </r>
    <r>
      <rPr>
        <sz val="10"/>
        <rFont val="微软雅黑"/>
        <family val="0"/>
        <charset val="1"/>
      </rPr>
      <t xml:space="preserve">-1/2</t>
    </r>
    <r>
      <rPr>
        <sz val="10"/>
        <rFont val="WenQuanYi Zen Hei"/>
        <family val="2"/>
      </rPr>
      <t xml:space="preserve">英寸</t>
    </r>
    <r>
      <rPr>
        <sz val="10"/>
        <rFont val="微软雅黑"/>
        <family val="0"/>
        <charset val="1"/>
      </rPr>
      <t xml:space="preserve">1600N</t>
    </r>
  </si>
  <si>
    <t xml:space="preserve">吹叶机</t>
  </si>
  <si>
    <r>
      <rPr>
        <sz val="10"/>
        <rFont val="WenQuanYi Zen Hei"/>
        <family val="2"/>
      </rPr>
      <t xml:space="preserve">手持吹叶机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无刷裸机</t>
    </r>
  </si>
  <si>
    <t xml:space="preserve">锂电油泵</t>
  </si>
  <si>
    <r>
      <rPr>
        <sz val="10"/>
        <rFont val="WenQuanYi Zen Hei"/>
        <family val="2"/>
      </rPr>
      <t xml:space="preserve">锂电油泵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感应自停</t>
    </r>
  </si>
  <si>
    <t xml:space="preserve">观察</t>
  </si>
  <si>
    <r>
      <rPr>
        <sz val="10"/>
        <rFont val="WenQuanYi Zen Hei"/>
        <family val="2"/>
      </rPr>
      <t xml:space="preserve">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天销售环比下滑 ≥</t>
    </r>
    <r>
      <rPr>
        <sz val="10"/>
        <rFont val="微软雅黑"/>
        <family val="0"/>
        <charset val="1"/>
      </rPr>
      <t xml:space="preserve">30%</t>
    </r>
  </si>
  <si>
    <r>
      <rPr>
        <sz val="10"/>
        <rFont val="WenQuanYi Zen Hei"/>
        <family val="2"/>
      </rPr>
      <t xml:space="preserve">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天销售环比 </t>
    </r>
    <r>
      <rPr>
        <sz val="10"/>
        <rFont val="微软雅黑"/>
        <family val="0"/>
        <charset val="1"/>
      </rPr>
      <t xml:space="preserve">-32%</t>
    </r>
    <r>
      <rPr>
        <sz val="10"/>
        <rFont val="WenQuanYi Zen Hei"/>
        <family val="2"/>
      </rPr>
      <t xml:space="preserve">，广告要跟着降：预算按近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天销售重算为 </t>
    </r>
    <r>
      <rPr>
        <sz val="10"/>
        <rFont val="微软雅黑"/>
        <family val="0"/>
        <charset val="1"/>
      </rPr>
      <t xml:space="preserve">$4,293/</t>
    </r>
    <r>
      <rPr>
        <sz val="10"/>
        <rFont val="WenQuanYi Zen Hei"/>
        <family val="2"/>
      </rPr>
      <t xml:space="preserve">月，排查排名、断货、差评或竞品降价</t>
    </r>
  </si>
  <si>
    <r>
      <rPr>
        <sz val="10"/>
        <rFont val="WenQuanYi Zen Hei"/>
        <family val="2"/>
      </rPr>
      <t xml:space="preserve">锂电池工作灯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三头款</t>
    </r>
  </si>
  <si>
    <t xml:space="preserve">高压清洗机</t>
  </si>
  <si>
    <r>
      <rPr>
        <sz val="10"/>
        <rFont val="WenQuanYi Zen Hei"/>
        <family val="2"/>
      </rPr>
      <t xml:space="preserve">无线高压清洗机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无刷三速</t>
    </r>
  </si>
  <si>
    <r>
      <rPr>
        <sz val="10"/>
        <rFont val="WenQuanYi Zen Hei"/>
        <family val="2"/>
      </rPr>
      <t xml:space="preserve">充气泵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卧式高配版</t>
    </r>
  </si>
  <si>
    <t xml:space="preserve">木工钉枪</t>
  </si>
  <si>
    <r>
      <rPr>
        <sz val="10"/>
        <rFont val="WenQuanYi Zen Hei"/>
        <family val="2"/>
      </rPr>
      <t xml:space="preserve">新款大钉枪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两用无刷</t>
    </r>
  </si>
  <si>
    <r>
      <rPr>
        <sz val="10"/>
        <rFont val="WenQuanYi Zen Hei"/>
        <family val="2"/>
      </rPr>
      <t xml:space="preserve">锂电油泵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手提</t>
    </r>
    <r>
      <rPr>
        <sz val="10"/>
        <rFont val="微软雅黑"/>
        <family val="0"/>
        <charset val="1"/>
      </rPr>
      <t xml:space="preserve">5GPM</t>
    </r>
    <r>
      <rPr>
        <sz val="10"/>
        <rFont val="WenQuanYi Zen Hei"/>
        <family val="2"/>
      </rPr>
      <t xml:space="preserve">手动款</t>
    </r>
  </si>
  <si>
    <t xml:space="preserve">加投</t>
  </si>
  <si>
    <r>
      <rPr>
        <sz val="10"/>
        <rFont val="WenQuanYi Zen Hei"/>
        <family val="2"/>
      </rPr>
      <t xml:space="preserve">净毛利率 ≥</t>
    </r>
    <r>
      <rPr>
        <sz val="10"/>
        <rFont val="微软雅黑"/>
        <family val="0"/>
        <charset val="1"/>
      </rPr>
      <t xml:space="preserve">15%</t>
    </r>
    <r>
      <rPr>
        <sz val="10"/>
        <rFont val="WenQuanYi Zen Hei"/>
        <family val="2"/>
      </rPr>
      <t xml:space="preserve">、广告费率 ≤</t>
    </r>
    <r>
      <rPr>
        <sz val="10"/>
        <rFont val="微软雅黑"/>
        <family val="0"/>
        <charset val="1"/>
      </rPr>
      <t xml:space="preserve">12%</t>
    </r>
    <r>
      <rPr>
        <sz val="10"/>
        <rFont val="WenQuanYi Zen Hei"/>
        <family val="2"/>
      </rPr>
      <t xml:space="preserve">，有放量空间</t>
    </r>
  </si>
  <si>
    <r>
      <rPr>
        <sz val="10"/>
        <rFont val="WenQuanYi Zen Hei"/>
        <family val="2"/>
      </rPr>
      <t xml:space="preserve">利润空间充足：月预算可上调至 </t>
    </r>
    <r>
      <rPr>
        <sz val="10"/>
        <rFont val="微软雅黑"/>
        <family val="0"/>
        <charset val="1"/>
      </rPr>
      <t xml:space="preserve">$4,473</t>
    </r>
    <r>
      <rPr>
        <sz val="10"/>
        <rFont val="WenQuanYi Zen Hei"/>
        <family val="2"/>
      </rPr>
      <t xml:space="preserve">（单月增幅 ≤</t>
    </r>
    <r>
      <rPr>
        <sz val="10"/>
        <rFont val="微软雅黑"/>
        <family val="0"/>
        <charset val="1"/>
      </rPr>
      <t xml:space="preserve">30%</t>
    </r>
    <r>
      <rPr>
        <sz val="10"/>
        <rFont val="WenQuanYi Zen Hei"/>
        <family val="2"/>
      </rPr>
      <t xml:space="preserve">），优先加精准词与 </t>
    </r>
    <r>
      <rPr>
        <sz val="10"/>
        <rFont val="微软雅黑"/>
        <family val="0"/>
        <charset val="1"/>
      </rPr>
      <t xml:space="preserve">SBV</t>
    </r>
  </si>
  <si>
    <t xml:space="preserve">锯片机</t>
  </si>
  <si>
    <r>
      <rPr>
        <sz val="10"/>
        <rFont val="WenQuanYi Zen Hei"/>
        <family val="2"/>
      </rPr>
      <t xml:space="preserve">万用宝锯片机</t>
    </r>
    <r>
      <rPr>
        <sz val="10"/>
        <rFont val="微软雅黑"/>
        <family val="0"/>
        <charset val="1"/>
      </rPr>
      <t xml:space="preserve">-6</t>
    </r>
    <r>
      <rPr>
        <sz val="10"/>
        <rFont val="WenQuanYi Zen Hei"/>
        <family val="2"/>
      </rPr>
      <t xml:space="preserve">挡</t>
    </r>
  </si>
  <si>
    <r>
      <rPr>
        <sz val="10"/>
        <rFont val="WenQuanYi Zen Hei"/>
        <family val="2"/>
      </rPr>
      <t xml:space="preserve">黄油枪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无刷三速款</t>
    </r>
  </si>
  <si>
    <r>
      <rPr>
        <sz val="10"/>
        <rFont val="WenQuanYi Zen Hei"/>
        <family val="2"/>
      </rPr>
      <t xml:space="preserve">充气泵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手持低价版</t>
    </r>
  </si>
  <si>
    <r>
      <rPr>
        <sz val="10"/>
        <rFont val="WenQuanYi Zen Hei"/>
        <family val="2"/>
      </rPr>
      <t xml:space="preserve">工作灯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薄款双开关</t>
    </r>
    <r>
      <rPr>
        <sz val="10"/>
        <rFont val="微软雅黑"/>
        <family val="0"/>
        <charset val="1"/>
      </rPr>
      <t xml:space="preserve">7</t>
    </r>
    <r>
      <rPr>
        <sz val="10"/>
        <rFont val="WenQuanYi Zen Hei"/>
        <family val="2"/>
      </rPr>
      <t xml:space="preserve">寸</t>
    </r>
    <r>
      <rPr>
        <sz val="10"/>
        <rFont val="微软雅黑"/>
        <family val="0"/>
        <charset val="1"/>
      </rPr>
      <t xml:space="preserve">29W</t>
    </r>
  </si>
  <si>
    <t xml:space="preserve">修边机</t>
  </si>
  <si>
    <r>
      <rPr>
        <sz val="10"/>
        <rFont val="WenQuanYi Zen Hei"/>
        <family val="2"/>
      </rPr>
      <t xml:space="preserve">修边机</t>
    </r>
    <r>
      <rPr>
        <sz val="10"/>
        <rFont val="微软雅黑"/>
        <family val="0"/>
        <charset val="1"/>
      </rPr>
      <t xml:space="preserve">-6</t>
    </r>
    <r>
      <rPr>
        <sz val="10"/>
        <rFont val="WenQuanYi Zen Hei"/>
        <family val="2"/>
      </rPr>
      <t xml:space="preserve">件刀头装</t>
    </r>
  </si>
  <si>
    <r>
      <rPr>
        <sz val="10"/>
        <rFont val="WenQuanYi Zen Hei"/>
        <family val="2"/>
      </rPr>
      <t xml:space="preserve">大钉枪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两用款</t>
    </r>
  </si>
  <si>
    <t xml:space="preserve">风扇</t>
  </si>
  <si>
    <r>
      <rPr>
        <sz val="10"/>
        <rFont val="WenQuanYi Zen Hei"/>
        <family val="2"/>
      </rPr>
      <t xml:space="preserve">风扇</t>
    </r>
    <r>
      <rPr>
        <sz val="10"/>
        <rFont val="微软雅黑"/>
        <family val="0"/>
        <charset val="1"/>
      </rPr>
      <t xml:space="preserve">-6</t>
    </r>
    <r>
      <rPr>
        <sz val="10"/>
        <rFont val="WenQuanYi Zen Hei"/>
        <family val="2"/>
      </rPr>
      <t xml:space="preserve">寸</t>
    </r>
  </si>
  <si>
    <r>
      <rPr>
        <sz val="10"/>
        <rFont val="WenQuanYi Zen Hei"/>
        <family val="2"/>
      </rPr>
      <t xml:space="preserve">广告费率 ≥</t>
    </r>
    <r>
      <rPr>
        <sz val="10"/>
        <rFont val="微软雅黑"/>
        <family val="0"/>
        <charset val="1"/>
      </rPr>
      <t xml:space="preserve">20%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</si>
  <si>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25.2% </t>
    </r>
    <r>
      <rPr>
        <sz val="10"/>
        <rFont val="WenQuanYi Zen Hei"/>
        <family val="2"/>
      </rPr>
      <t xml:space="preserve">偏高（保本 </t>
    </r>
    <r>
      <rPr>
        <sz val="10"/>
        <rFont val="微软雅黑"/>
        <family val="0"/>
        <charset val="1"/>
      </rPr>
      <t xml:space="preserve">31.8%</t>
    </r>
    <r>
      <rPr>
        <sz val="10"/>
        <rFont val="WenQuanYi Zen Hei"/>
        <family val="2"/>
      </rPr>
      <t xml:space="preserve">）：砍高花费 </t>
    </r>
    <r>
      <rPr>
        <sz val="10"/>
        <rFont val="微软雅黑"/>
        <family val="0"/>
        <charset val="1"/>
      </rPr>
      <t xml:space="preserve">0 </t>
    </r>
    <r>
      <rPr>
        <sz val="10"/>
        <rFont val="WenQuanYi Zen Hei"/>
        <family val="2"/>
      </rPr>
      <t xml:space="preserve">单词和 </t>
    </r>
    <r>
      <rPr>
        <sz val="10"/>
        <rFont val="微软雅黑"/>
        <family val="0"/>
        <charset val="1"/>
      </rPr>
      <t xml:space="preserve">ACOS </t>
    </r>
    <r>
      <rPr>
        <sz val="10"/>
        <rFont val="WenQuanYi Zen Hei"/>
        <family val="2"/>
      </rPr>
      <t xml:space="preserve">超保本的投放，</t>
    </r>
    <r>
      <rPr>
        <sz val="10"/>
        <rFont val="微软雅黑"/>
        <family val="0"/>
        <charset val="1"/>
      </rPr>
      <t xml:space="preserve">4 </t>
    </r>
    <r>
      <rPr>
        <sz val="10"/>
        <rFont val="WenQuanYi Zen Hei"/>
        <family val="2"/>
      </rPr>
      <t xml:space="preserve">周内降到 </t>
    </r>
    <r>
      <rPr>
        <sz val="10"/>
        <rFont val="微软雅黑"/>
        <family val="0"/>
        <charset val="1"/>
      </rPr>
      <t xml:space="preserve">15.0%</t>
    </r>
    <r>
      <rPr>
        <sz val="10"/>
        <rFont val="WenQuanYi Zen Hei"/>
        <family val="2"/>
      </rPr>
      <t xml:space="preserve">；连续 </t>
    </r>
    <r>
      <rPr>
        <sz val="10"/>
        <rFont val="微软雅黑"/>
        <family val="0"/>
        <charset val="1"/>
      </rPr>
      <t xml:space="preserve">4 </t>
    </r>
    <r>
      <rPr>
        <sz val="10"/>
        <rFont val="WenQuanYi Zen Hei"/>
        <family val="2"/>
      </rPr>
      <t xml:space="preserve">周无改善转压缩</t>
    </r>
  </si>
  <si>
    <r>
      <rPr>
        <sz val="10"/>
        <rFont val="WenQuanYi Zen Hei"/>
        <family val="2"/>
      </rPr>
      <t xml:space="preserve">冲击扳手</t>
    </r>
    <r>
      <rPr>
        <sz val="10"/>
        <rFont val="微软雅黑"/>
        <family val="0"/>
        <charset val="1"/>
      </rPr>
      <t xml:space="preserve">-3/4</t>
    </r>
    <r>
      <rPr>
        <sz val="10"/>
        <rFont val="WenQuanYi Zen Hei"/>
        <family val="2"/>
      </rPr>
      <t xml:space="preserve">英寸</t>
    </r>
    <r>
      <rPr>
        <sz val="10"/>
        <rFont val="微软雅黑"/>
        <family val="0"/>
        <charset val="1"/>
      </rPr>
      <t xml:space="preserve">2200N</t>
    </r>
  </si>
  <si>
    <r>
      <rPr>
        <sz val="10"/>
        <rFont val="WenQuanYi Zen Hei"/>
        <family val="2"/>
      </rPr>
      <t xml:space="preserve">利润空间充足：月预算可上调至 </t>
    </r>
    <r>
      <rPr>
        <sz val="10"/>
        <rFont val="微软雅黑"/>
        <family val="0"/>
        <charset val="1"/>
      </rPr>
      <t xml:space="preserve">$7,966</t>
    </r>
    <r>
      <rPr>
        <sz val="10"/>
        <rFont val="WenQuanYi Zen Hei"/>
        <family val="2"/>
      </rPr>
      <t xml:space="preserve">（单月增幅 ≤</t>
    </r>
    <r>
      <rPr>
        <sz val="10"/>
        <rFont val="微软雅黑"/>
        <family val="0"/>
        <charset val="1"/>
      </rPr>
      <t xml:space="preserve">30%</t>
    </r>
    <r>
      <rPr>
        <sz val="10"/>
        <rFont val="WenQuanYi Zen Hei"/>
        <family val="2"/>
      </rPr>
      <t xml:space="preserve">），优先加精准词与 </t>
    </r>
    <r>
      <rPr>
        <sz val="10"/>
        <rFont val="微软雅黑"/>
        <family val="0"/>
        <charset val="1"/>
      </rPr>
      <t xml:space="preserve">SBV</t>
    </r>
  </si>
  <si>
    <t xml:space="preserve">热风枪</t>
  </si>
  <si>
    <r>
      <rPr>
        <sz val="10"/>
        <rFont val="WenQuanYi Zen Hei"/>
        <family val="2"/>
      </rPr>
      <t xml:space="preserve">热风枪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双温基础款</t>
    </r>
    <r>
      <rPr>
        <sz val="10"/>
        <rFont val="微软雅黑"/>
        <family val="0"/>
        <charset val="1"/>
      </rPr>
      <t xml:space="preserve">5</t>
    </r>
    <r>
      <rPr>
        <sz val="10"/>
        <rFont val="WenQuanYi Zen Hei"/>
        <family val="2"/>
      </rPr>
      <t xml:space="preserve">件套</t>
    </r>
  </si>
  <si>
    <t xml:space="preserve">修枝剪</t>
  </si>
  <si>
    <r>
      <rPr>
        <sz val="10"/>
        <rFont val="WenQuanYi Zen Hei"/>
        <family val="2"/>
      </rPr>
      <t xml:space="preserve">修枝剪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数显</t>
    </r>
    <r>
      <rPr>
        <sz val="10"/>
        <rFont val="微软雅黑"/>
        <family val="0"/>
        <charset val="1"/>
      </rPr>
      <t xml:space="preserve">3.0cm</t>
    </r>
  </si>
  <si>
    <r>
      <rPr>
        <sz val="10"/>
        <rFont val="WenQuanYi Zen Hei"/>
        <family val="2"/>
      </rPr>
      <t xml:space="preserve">利润空间充足：月预算可上调至 </t>
    </r>
    <r>
      <rPr>
        <sz val="10"/>
        <rFont val="微软雅黑"/>
        <family val="0"/>
        <charset val="1"/>
      </rPr>
      <t xml:space="preserve">$5,679</t>
    </r>
    <r>
      <rPr>
        <sz val="10"/>
        <rFont val="WenQuanYi Zen Hei"/>
        <family val="2"/>
      </rPr>
      <t xml:space="preserve">（单月增幅 ≤</t>
    </r>
    <r>
      <rPr>
        <sz val="10"/>
        <rFont val="微软雅黑"/>
        <family val="0"/>
        <charset val="1"/>
      </rPr>
      <t xml:space="preserve">30%</t>
    </r>
    <r>
      <rPr>
        <sz val="10"/>
        <rFont val="WenQuanYi Zen Hei"/>
        <family val="2"/>
      </rPr>
      <t xml:space="preserve">），优先加精准词与 </t>
    </r>
    <r>
      <rPr>
        <sz val="10"/>
        <rFont val="微软雅黑"/>
        <family val="0"/>
        <charset val="1"/>
      </rPr>
      <t xml:space="preserve">SBV</t>
    </r>
  </si>
  <si>
    <t xml:space="preserve">圆锯</t>
  </si>
  <si>
    <r>
      <rPr>
        <sz val="10"/>
        <rFont val="WenQuanYi Zen Hei"/>
        <family val="2"/>
      </rPr>
      <t xml:space="preserve">电圆锯</t>
    </r>
    <r>
      <rPr>
        <sz val="10"/>
        <rFont val="微软雅黑"/>
        <family val="0"/>
        <charset val="1"/>
      </rPr>
      <t xml:space="preserve">-7.25</t>
    </r>
    <r>
      <rPr>
        <sz val="10"/>
        <rFont val="WenQuanYi Zen Hei"/>
        <family val="2"/>
      </rPr>
      <t xml:space="preserve">英寸新款</t>
    </r>
  </si>
  <si>
    <t xml:space="preserve">冲击起子</t>
  </si>
  <si>
    <r>
      <rPr>
        <sz val="10"/>
        <rFont val="WenQuanYi Zen Hei"/>
        <family val="2"/>
      </rPr>
      <t xml:space="preserve">冲击起子</t>
    </r>
    <r>
      <rPr>
        <sz val="10"/>
        <rFont val="微软雅黑"/>
        <family val="0"/>
        <charset val="1"/>
      </rPr>
      <t xml:space="preserve">-280N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</si>
  <si>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30.2% </t>
    </r>
    <r>
      <rPr>
        <sz val="10"/>
        <rFont val="WenQuanYi Zen Hei"/>
        <family val="2"/>
      </rPr>
      <t xml:space="preserve">偏高（保本 </t>
    </r>
    <r>
      <rPr>
        <sz val="10"/>
        <rFont val="微软雅黑"/>
        <family val="0"/>
        <charset val="1"/>
      </rPr>
      <t xml:space="preserve">42.5%</t>
    </r>
    <r>
      <rPr>
        <sz val="10"/>
        <rFont val="WenQuanYi Zen Hei"/>
        <family val="2"/>
      </rPr>
      <t xml:space="preserve">）：砍高花费 </t>
    </r>
    <r>
      <rPr>
        <sz val="10"/>
        <rFont val="微软雅黑"/>
        <family val="0"/>
        <charset val="1"/>
      </rPr>
      <t xml:space="preserve">0 </t>
    </r>
    <r>
      <rPr>
        <sz val="10"/>
        <rFont val="WenQuanYi Zen Hei"/>
        <family val="2"/>
      </rPr>
      <t xml:space="preserve">单词和 </t>
    </r>
    <r>
      <rPr>
        <sz val="10"/>
        <rFont val="微软雅黑"/>
        <family val="0"/>
        <charset val="1"/>
      </rPr>
      <t xml:space="preserve">ACOS </t>
    </r>
    <r>
      <rPr>
        <sz val="10"/>
        <rFont val="WenQuanYi Zen Hei"/>
        <family val="2"/>
      </rPr>
      <t xml:space="preserve">超保本的投放，</t>
    </r>
    <r>
      <rPr>
        <sz val="10"/>
        <rFont val="微软雅黑"/>
        <family val="0"/>
        <charset val="1"/>
      </rPr>
      <t xml:space="preserve">4 </t>
    </r>
    <r>
      <rPr>
        <sz val="10"/>
        <rFont val="WenQuanYi Zen Hei"/>
        <family val="2"/>
      </rPr>
      <t xml:space="preserve">周内降到 </t>
    </r>
    <r>
      <rPr>
        <sz val="10"/>
        <rFont val="微软雅黑"/>
        <family val="0"/>
        <charset val="1"/>
      </rPr>
      <t xml:space="preserve">18.0%</t>
    </r>
    <r>
      <rPr>
        <sz val="10"/>
        <rFont val="WenQuanYi Zen Hei"/>
        <family val="2"/>
      </rPr>
      <t xml:space="preserve">；连续 </t>
    </r>
    <r>
      <rPr>
        <sz val="10"/>
        <rFont val="微软雅黑"/>
        <family val="0"/>
        <charset val="1"/>
      </rPr>
      <t xml:space="preserve">4 </t>
    </r>
    <r>
      <rPr>
        <sz val="10"/>
        <rFont val="WenQuanYi Zen Hei"/>
        <family val="2"/>
      </rPr>
      <t xml:space="preserve">周无改善转压缩</t>
    </r>
  </si>
  <si>
    <t xml:space="preserve">割草机</t>
  </si>
  <si>
    <r>
      <rPr>
        <sz val="10"/>
        <rFont val="WenQuanYi Zen Hei"/>
        <family val="2"/>
      </rPr>
      <t xml:space="preserve">打草机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无刷</t>
    </r>
    <r>
      <rPr>
        <sz val="10"/>
        <rFont val="微软雅黑"/>
        <family val="0"/>
        <charset val="1"/>
      </rPr>
      <t xml:space="preserve">800W</t>
    </r>
  </si>
  <si>
    <t xml:space="preserve">止损</t>
  </si>
  <si>
    <r>
      <rPr>
        <sz val="10"/>
        <rFont val="WenQuanYi Zen Hei"/>
        <family val="2"/>
      </rPr>
      <t xml:space="preserve">广告后毛利为负，广告费率 </t>
    </r>
    <r>
      <rPr>
        <sz val="10"/>
        <rFont val="微软雅黑"/>
        <family val="0"/>
        <charset val="1"/>
      </rPr>
      <t xml:space="preserve">&gt; </t>
    </r>
    <r>
      <rPr>
        <sz val="10"/>
        <rFont val="WenQuanYi Zen Hei"/>
        <family val="2"/>
      </rPr>
      <t xml:space="preserve">广告前毛利率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</si>
  <si>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13.0%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2.2%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</si>
  <si>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t xml:space="preserve">喷雾器</t>
  </si>
  <si>
    <r>
      <rPr>
        <sz val="10"/>
        <rFont val="WenQuanYi Zen Hei"/>
        <family val="2"/>
      </rPr>
      <t xml:space="preserve">电动喷雾器</t>
    </r>
    <r>
      <rPr>
        <sz val="10"/>
        <rFont val="微软雅黑"/>
        <family val="0"/>
        <charset val="1"/>
      </rPr>
      <t xml:space="preserve">-16L</t>
    </r>
  </si>
  <si>
    <r>
      <rPr>
        <sz val="10"/>
        <rFont val="WenQuanYi Zen Hei"/>
        <family val="2"/>
      </rPr>
      <t xml:space="preserve">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天销售环比 </t>
    </r>
    <r>
      <rPr>
        <sz val="10"/>
        <rFont val="微软雅黑"/>
        <family val="0"/>
        <charset val="1"/>
      </rPr>
      <t xml:space="preserve">-54%</t>
    </r>
    <r>
      <rPr>
        <sz val="10"/>
        <rFont val="WenQuanYi Zen Hei"/>
        <family val="2"/>
      </rPr>
      <t xml:space="preserve">，广告要跟着降：预算按近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天销售重算为 </t>
    </r>
    <r>
      <rPr>
        <sz val="10"/>
        <rFont val="微软雅黑"/>
        <family val="0"/>
        <charset val="1"/>
      </rPr>
      <t xml:space="preserve">$1,356/</t>
    </r>
    <r>
      <rPr>
        <sz val="10"/>
        <rFont val="WenQuanYi Zen Hei"/>
        <family val="2"/>
      </rPr>
      <t xml:space="preserve">月，排查排名、断货、差评或竞品降价</t>
    </r>
  </si>
  <si>
    <r>
      <rPr>
        <sz val="10"/>
        <rFont val="WenQuanYi Zen Hei"/>
        <family val="2"/>
      </rPr>
      <t xml:space="preserve">热风枪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双温数显款</t>
    </r>
    <r>
      <rPr>
        <sz val="10"/>
        <rFont val="微软雅黑"/>
        <family val="0"/>
        <charset val="1"/>
      </rPr>
      <t xml:space="preserve">5</t>
    </r>
    <r>
      <rPr>
        <sz val="10"/>
        <rFont val="WenQuanYi Zen Hei"/>
        <family val="2"/>
      </rPr>
      <t xml:space="preserve">件套</t>
    </r>
  </si>
  <si>
    <t xml:space="preserve">微耕机</t>
  </si>
  <si>
    <r>
      <rPr>
        <sz val="10"/>
        <rFont val="WenQuanYi Zen Hei"/>
        <family val="2"/>
      </rPr>
      <t xml:space="preserve">微耕机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四折叠基础款</t>
    </r>
  </si>
  <si>
    <r>
      <rPr>
        <sz val="10"/>
        <rFont val="WenQuanYi Zen Hei"/>
        <family val="2"/>
      </rPr>
      <t xml:space="preserve">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天销售环比 </t>
    </r>
    <r>
      <rPr>
        <sz val="10"/>
        <rFont val="微软雅黑"/>
        <family val="0"/>
        <charset val="1"/>
      </rPr>
      <t xml:space="preserve">-36%</t>
    </r>
    <r>
      <rPr>
        <sz val="10"/>
        <rFont val="WenQuanYi Zen Hei"/>
        <family val="2"/>
      </rPr>
      <t xml:space="preserve">，广告要跟着降：预算按近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天销售重算为 </t>
    </r>
    <r>
      <rPr>
        <sz val="10"/>
        <rFont val="微软雅黑"/>
        <family val="0"/>
        <charset val="1"/>
      </rPr>
      <t xml:space="preserve">$840/</t>
    </r>
    <r>
      <rPr>
        <sz val="10"/>
        <rFont val="WenQuanYi Zen Hei"/>
        <family val="2"/>
      </rPr>
      <t xml:space="preserve">月，排查排名、断货、差评或竞品降价</t>
    </r>
  </si>
  <si>
    <r>
      <rPr>
        <sz val="10"/>
        <rFont val="WenQuanYi Zen Hei"/>
        <family val="2"/>
      </rPr>
      <t xml:space="preserve">锂电油泵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手提款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两用自动</t>
    </r>
    <r>
      <rPr>
        <sz val="10"/>
        <rFont val="微软雅黑"/>
        <family val="0"/>
        <charset val="1"/>
      </rPr>
      <t xml:space="preserve">+</t>
    </r>
    <r>
      <rPr>
        <sz val="10"/>
        <rFont val="WenQuanYi Zen Hei"/>
        <family val="2"/>
      </rPr>
      <t xml:space="preserve">手动</t>
    </r>
    <r>
      <rPr>
        <sz val="10"/>
        <rFont val="微软雅黑"/>
        <family val="0"/>
        <charset val="1"/>
      </rPr>
      <t xml:space="preserve">5.0GPM</t>
    </r>
  </si>
  <si>
    <t xml:space="preserve">新品期</t>
  </si>
  <si>
    <r>
      <rPr>
        <sz val="10"/>
        <rFont val="WenQuanYi Zen Hei"/>
        <family val="2"/>
      </rPr>
      <t xml:space="preserve">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天销售环比 </t>
    </r>
    <r>
      <rPr>
        <sz val="10"/>
        <rFont val="微软雅黑"/>
        <family val="0"/>
        <charset val="1"/>
      </rPr>
      <t xml:space="preserve">-37%</t>
    </r>
    <r>
      <rPr>
        <sz val="10"/>
        <rFont val="WenQuanYi Zen Hei"/>
        <family val="2"/>
      </rPr>
      <t xml:space="preserve">，广告要跟着降：预算按近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天销售重算为 </t>
    </r>
    <r>
      <rPr>
        <sz val="10"/>
        <rFont val="微软雅黑"/>
        <family val="0"/>
        <charset val="1"/>
      </rPr>
      <t xml:space="preserve">$7,231/</t>
    </r>
    <r>
      <rPr>
        <sz val="10"/>
        <rFont val="WenQuanYi Zen Hei"/>
        <family val="2"/>
      </rPr>
      <t xml:space="preserve">月，排查排名、断货、差评或竞品降价</t>
    </r>
  </si>
  <si>
    <t xml:space="preserve">冲击电钻</t>
  </si>
  <si>
    <r>
      <rPr>
        <sz val="10"/>
        <rFont val="WenQuanYi Zen Hei"/>
        <family val="2"/>
      </rPr>
      <t xml:space="preserve">锂电钻</t>
    </r>
    <r>
      <rPr>
        <sz val="10"/>
        <rFont val="微软雅黑"/>
        <family val="0"/>
        <charset val="1"/>
      </rPr>
      <t xml:space="preserve">-13mm 90N.m</t>
    </r>
  </si>
  <si>
    <t xml:space="preserve">防辐射测试仪</t>
  </si>
  <si>
    <r>
      <rPr>
        <sz val="10"/>
        <rFont val="WenQuanYi Zen Hei"/>
        <family val="2"/>
      </rPr>
      <t xml:space="preserve">电磁辐射检测仪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手持款</t>
    </r>
  </si>
  <si>
    <r>
      <rPr>
        <sz val="10"/>
        <rFont val="WenQuanYi Zen Hei"/>
        <family val="2"/>
      </rPr>
      <t xml:space="preserve">充气泵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卧式双供电</t>
    </r>
    <r>
      <rPr>
        <sz val="10"/>
        <rFont val="微软雅黑"/>
        <family val="0"/>
        <charset val="1"/>
      </rPr>
      <t xml:space="preserve">26</t>
    </r>
    <r>
      <rPr>
        <sz val="10"/>
        <rFont val="WenQuanYi Zen Hei"/>
        <family val="2"/>
      </rPr>
      <t xml:space="preserve">气缸</t>
    </r>
  </si>
  <si>
    <r>
      <rPr>
        <sz val="10"/>
        <rFont val="WenQuanYi Zen Hei"/>
        <family val="2"/>
      </rPr>
      <t xml:space="preserve">新品期：净毛利 </t>
    </r>
    <r>
      <rPr>
        <sz val="10"/>
        <rFont val="微软雅黑"/>
        <family val="0"/>
        <charset val="1"/>
      </rPr>
      <t xml:space="preserve">&lt;5%</t>
    </r>
    <r>
      <rPr>
        <sz val="10"/>
        <rFont val="WenQuanYi Zen Hei"/>
        <family val="2"/>
      </rPr>
      <t xml:space="preserve">，处于保本投放容忍期（≤</t>
    </r>
    <r>
      <rPr>
        <sz val="10"/>
        <rFont val="微软雅黑"/>
        <family val="0"/>
        <charset val="1"/>
      </rPr>
      <t xml:space="preserve">90 </t>
    </r>
    <r>
      <rPr>
        <sz val="10"/>
        <rFont val="WenQuanYi Zen Hei"/>
        <family val="2"/>
      </rPr>
      <t xml:space="preserve">天）</t>
    </r>
  </si>
  <si>
    <r>
      <rPr>
        <sz val="10"/>
        <rFont val="WenQuanYi Zen Hei"/>
        <family val="2"/>
      </rPr>
      <t xml:space="preserve">新品保本期：广告费率不超过 </t>
    </r>
    <r>
      <rPr>
        <sz val="10"/>
        <rFont val="微软雅黑"/>
        <family val="0"/>
        <charset val="1"/>
      </rPr>
      <t xml:space="preserve">21.1%</t>
    </r>
    <r>
      <rPr>
        <sz val="10"/>
        <rFont val="WenQuanYi Zen Hei"/>
        <family val="2"/>
      </rPr>
      <t xml:space="preserve">（保本 </t>
    </r>
    <r>
      <rPr>
        <sz val="10"/>
        <rFont val="微软雅黑"/>
        <family val="0"/>
        <charset val="1"/>
      </rPr>
      <t xml:space="preserve">24.0%</t>
    </r>
    <r>
      <rPr>
        <sz val="10"/>
        <rFont val="WenQuanYi Zen Hei"/>
        <family val="2"/>
      </rPr>
      <t xml:space="preserve">）；</t>
    </r>
    <r>
      <rPr>
        <sz val="10"/>
        <rFont val="微软雅黑"/>
        <family val="0"/>
        <charset val="1"/>
      </rPr>
      <t xml:space="preserve">90 </t>
    </r>
    <r>
      <rPr>
        <sz val="10"/>
        <rFont val="WenQuanYi Zen Hei"/>
        <family val="2"/>
      </rPr>
      <t xml:space="preserve">天内净毛利未到 </t>
    </r>
    <r>
      <rPr>
        <sz val="10"/>
        <rFont val="微软雅黑"/>
        <family val="0"/>
        <charset val="1"/>
      </rPr>
      <t xml:space="preserve">5% </t>
    </r>
    <r>
      <rPr>
        <sz val="10"/>
        <rFont val="WenQuanYi Zen Hei"/>
        <family val="2"/>
      </rPr>
      <t xml:space="preserve">转入压缩</t>
    </r>
  </si>
  <si>
    <t xml:space="preserve">刨木机</t>
  </si>
  <si>
    <r>
      <rPr>
        <sz val="10"/>
        <rFont val="WenQuanYi Zen Hei"/>
        <family val="2"/>
      </rPr>
      <t xml:space="preserve">刨木机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普通款</t>
    </r>
  </si>
  <si>
    <r>
      <rPr>
        <sz val="10"/>
        <rFont val="WenQuanYi Zen Hei"/>
        <family val="2"/>
      </rPr>
      <t xml:space="preserve">逆变器</t>
    </r>
    <r>
      <rPr>
        <sz val="10"/>
        <rFont val="微软雅黑"/>
        <family val="0"/>
        <charset val="1"/>
      </rPr>
      <t xml:space="preserve">-550W</t>
    </r>
  </si>
  <si>
    <r>
      <rPr>
        <sz val="10"/>
        <rFont val="WenQuanYi Zen Hei"/>
        <family val="2"/>
      </rPr>
      <t xml:space="preserve">利润空间充足：月预算可上调至 </t>
    </r>
    <r>
      <rPr>
        <sz val="10"/>
        <rFont val="微软雅黑"/>
        <family val="0"/>
        <charset val="1"/>
      </rPr>
      <t xml:space="preserve">$3,857</t>
    </r>
    <r>
      <rPr>
        <sz val="10"/>
        <rFont val="WenQuanYi Zen Hei"/>
        <family val="2"/>
      </rPr>
      <t xml:space="preserve">（单月增幅 ≤</t>
    </r>
    <r>
      <rPr>
        <sz val="10"/>
        <rFont val="微软雅黑"/>
        <family val="0"/>
        <charset val="1"/>
      </rPr>
      <t xml:space="preserve">30%</t>
    </r>
    <r>
      <rPr>
        <sz val="10"/>
        <rFont val="WenQuanYi Zen Hei"/>
        <family val="2"/>
      </rPr>
      <t xml:space="preserve">），优先加精准词与 </t>
    </r>
    <r>
      <rPr>
        <sz val="10"/>
        <rFont val="微软雅黑"/>
        <family val="0"/>
        <charset val="1"/>
      </rPr>
      <t xml:space="preserve">SBV</t>
    </r>
  </si>
  <si>
    <r>
      <rPr>
        <sz val="10"/>
        <rFont val="WenQuanYi Zen Hei"/>
        <family val="2"/>
      </rPr>
      <t xml:space="preserve">钉枪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小型两用</t>
    </r>
  </si>
  <si>
    <r>
      <rPr>
        <sz val="10"/>
        <rFont val="WenQuanYi Zen Hei"/>
        <family val="2"/>
      </rPr>
      <t xml:space="preserve">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天销售环比 </t>
    </r>
    <r>
      <rPr>
        <sz val="10"/>
        <rFont val="微软雅黑"/>
        <family val="0"/>
        <charset val="1"/>
      </rPr>
      <t xml:space="preserve">-63%</t>
    </r>
    <r>
      <rPr>
        <sz val="10"/>
        <rFont val="WenQuanYi Zen Hei"/>
        <family val="2"/>
      </rPr>
      <t xml:space="preserve">，广告要跟着降：预算按近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天销售重算为 </t>
    </r>
    <r>
      <rPr>
        <sz val="10"/>
        <rFont val="微软雅黑"/>
        <family val="0"/>
        <charset val="1"/>
      </rPr>
      <t xml:space="preserve">$1,274/</t>
    </r>
    <r>
      <rPr>
        <sz val="10"/>
        <rFont val="WenQuanYi Zen Hei"/>
        <family val="2"/>
      </rPr>
      <t xml:space="preserve">月，排查排名、断货、差评或竞品降价</t>
    </r>
  </si>
  <si>
    <r>
      <rPr>
        <sz val="10"/>
        <rFont val="WenQuanYi Zen Hei"/>
        <family val="2"/>
      </rPr>
      <t xml:space="preserve">冲击扳手</t>
    </r>
    <r>
      <rPr>
        <sz val="10"/>
        <rFont val="微软雅黑"/>
        <family val="0"/>
        <charset val="1"/>
      </rPr>
      <t xml:space="preserve">-3/8</t>
    </r>
    <r>
      <rPr>
        <sz val="10"/>
        <rFont val="WenQuanYi Zen Hei"/>
        <family val="2"/>
      </rPr>
      <t xml:space="preserve">英寸</t>
    </r>
    <r>
      <rPr>
        <sz val="10"/>
        <rFont val="微软雅黑"/>
        <family val="0"/>
        <charset val="1"/>
      </rPr>
      <t xml:space="preserve">340N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</si>
  <si>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22.2% </t>
    </r>
    <r>
      <rPr>
        <sz val="10"/>
        <rFont val="WenQuanYi Zen Hei"/>
        <family val="2"/>
      </rPr>
      <t xml:space="preserve">偏高（保本 </t>
    </r>
    <r>
      <rPr>
        <sz val="10"/>
        <rFont val="微软雅黑"/>
        <family val="0"/>
        <charset val="1"/>
      </rPr>
      <t xml:space="preserve">45.1%</t>
    </r>
    <r>
      <rPr>
        <sz val="10"/>
        <rFont val="WenQuanYi Zen Hei"/>
        <family val="2"/>
      </rPr>
      <t xml:space="preserve">）：砍高花费 </t>
    </r>
    <r>
      <rPr>
        <sz val="10"/>
        <rFont val="微软雅黑"/>
        <family val="0"/>
        <charset val="1"/>
      </rPr>
      <t xml:space="preserve">0 </t>
    </r>
    <r>
      <rPr>
        <sz val="10"/>
        <rFont val="WenQuanYi Zen Hei"/>
        <family val="2"/>
      </rPr>
      <t xml:space="preserve">单词和 </t>
    </r>
    <r>
      <rPr>
        <sz val="10"/>
        <rFont val="微软雅黑"/>
        <family val="0"/>
        <charset val="1"/>
      </rPr>
      <t xml:space="preserve">ACOS </t>
    </r>
    <r>
      <rPr>
        <sz val="10"/>
        <rFont val="WenQuanYi Zen Hei"/>
        <family val="2"/>
      </rPr>
      <t xml:space="preserve">超保本的投放，</t>
    </r>
    <r>
      <rPr>
        <sz val="10"/>
        <rFont val="微软雅黑"/>
        <family val="0"/>
        <charset val="1"/>
      </rPr>
      <t xml:space="preserve">4 </t>
    </r>
    <r>
      <rPr>
        <sz val="10"/>
        <rFont val="WenQuanYi Zen Hei"/>
        <family val="2"/>
      </rPr>
      <t xml:space="preserve">周内降到 </t>
    </r>
    <r>
      <rPr>
        <sz val="10"/>
        <rFont val="微软雅黑"/>
        <family val="0"/>
        <charset val="1"/>
      </rPr>
      <t xml:space="preserve">18.0%</t>
    </r>
    <r>
      <rPr>
        <sz val="10"/>
        <rFont val="WenQuanYi Zen Hei"/>
        <family val="2"/>
      </rPr>
      <t xml:space="preserve">；连续 </t>
    </r>
    <r>
      <rPr>
        <sz val="10"/>
        <rFont val="微软雅黑"/>
        <family val="0"/>
        <charset val="1"/>
      </rPr>
      <t xml:space="preserve">4 </t>
    </r>
    <r>
      <rPr>
        <sz val="10"/>
        <rFont val="WenQuanYi Zen Hei"/>
        <family val="2"/>
      </rPr>
      <t xml:space="preserve">周无改善转压缩</t>
    </r>
  </si>
  <si>
    <r>
      <rPr>
        <sz val="10"/>
        <rFont val="WenQuanYi Zen Hei"/>
        <family val="2"/>
      </rPr>
      <t xml:space="preserve">逆变器</t>
    </r>
    <r>
      <rPr>
        <sz val="10"/>
        <rFont val="微软雅黑"/>
        <family val="0"/>
        <charset val="1"/>
      </rPr>
      <t xml:space="preserve">-350W PD20W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</si>
  <si>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26.3%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14.8%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</si>
  <si>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t xml:space="preserve">吹尘枪</t>
  </si>
  <si>
    <r>
      <rPr>
        <sz val="10"/>
        <rFont val="WenQuanYi Zen Hei"/>
        <family val="2"/>
      </rPr>
      <t xml:space="preserve">吹尘枪</t>
    </r>
    <r>
      <rPr>
        <sz val="10"/>
        <rFont val="微软雅黑"/>
        <family val="0"/>
        <charset val="1"/>
      </rPr>
      <t xml:space="preserve">-5</t>
    </r>
    <r>
      <rPr>
        <sz val="10"/>
        <rFont val="WenQuanYi Zen Hei"/>
        <family val="2"/>
      </rPr>
      <t xml:space="preserve">个喷嘴</t>
    </r>
    <r>
      <rPr>
        <sz val="10"/>
        <rFont val="微软雅黑"/>
        <family val="0"/>
        <charset val="1"/>
      </rPr>
      <t xml:space="preserve">+2</t>
    </r>
    <r>
      <rPr>
        <sz val="10"/>
        <rFont val="WenQuanYi Zen Hei"/>
        <family val="2"/>
      </rPr>
      <t xml:space="preserve">条软管</t>
    </r>
  </si>
  <si>
    <r>
      <rPr>
        <sz val="10"/>
        <rFont val="WenQuanYi Zen Hei"/>
        <family val="2"/>
      </rPr>
      <t xml:space="preserve">充气泵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快充版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</si>
  <si>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20.4%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18.8%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</si>
  <si>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万用宝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套装</t>
    </r>
  </si>
  <si>
    <r>
      <rPr>
        <sz val="10"/>
        <rFont val="WenQuanYi Zen Hei"/>
        <family val="2"/>
      </rPr>
      <t xml:space="preserve">逆变器</t>
    </r>
    <r>
      <rPr>
        <sz val="10"/>
        <rFont val="微软雅黑"/>
        <family val="0"/>
        <charset val="1"/>
      </rPr>
      <t xml:space="preserve">-350W</t>
    </r>
    <r>
      <rPr>
        <sz val="10"/>
        <rFont val="WenQuanYi Zen Hei"/>
        <family val="2"/>
      </rPr>
      <t xml:space="preserve">修正波版</t>
    </r>
  </si>
  <si>
    <r>
      <rPr>
        <sz val="10"/>
        <rFont val="WenQuanYi Zen Hei"/>
        <family val="2"/>
      </rPr>
      <t xml:space="preserve">新品保本期：广告费率不超过 </t>
    </r>
    <r>
      <rPr>
        <sz val="10"/>
        <rFont val="微软雅黑"/>
        <family val="0"/>
        <charset val="1"/>
      </rPr>
      <t xml:space="preserve">10.0%</t>
    </r>
    <r>
      <rPr>
        <sz val="10"/>
        <rFont val="WenQuanYi Zen Hei"/>
        <family val="2"/>
      </rPr>
      <t xml:space="preserve">（保本 </t>
    </r>
    <r>
      <rPr>
        <sz val="10"/>
        <rFont val="微软雅黑"/>
        <family val="0"/>
        <charset val="1"/>
      </rPr>
      <t xml:space="preserve">10.0%</t>
    </r>
    <r>
      <rPr>
        <sz val="10"/>
        <rFont val="WenQuanYi Zen Hei"/>
        <family val="2"/>
      </rPr>
      <t xml:space="preserve">）；</t>
    </r>
    <r>
      <rPr>
        <sz val="10"/>
        <rFont val="微软雅黑"/>
        <family val="0"/>
        <charset val="1"/>
      </rPr>
      <t xml:space="preserve">90 </t>
    </r>
    <r>
      <rPr>
        <sz val="10"/>
        <rFont val="WenQuanYi Zen Hei"/>
        <family val="2"/>
      </rPr>
      <t xml:space="preserve">天内净毛利未到 </t>
    </r>
    <r>
      <rPr>
        <sz val="10"/>
        <rFont val="微软雅黑"/>
        <family val="0"/>
        <charset val="1"/>
      </rPr>
      <t xml:space="preserve">5% </t>
    </r>
    <r>
      <rPr>
        <sz val="10"/>
        <rFont val="WenQuanYi Zen Hei"/>
        <family val="2"/>
      </rPr>
      <t xml:space="preserve">转入压缩</t>
    </r>
  </si>
  <si>
    <r>
      <rPr>
        <sz val="10"/>
        <rFont val="WenQuanYi Zen Hei"/>
        <family val="2"/>
      </rPr>
      <t xml:space="preserve">锂电油泵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手提</t>
    </r>
    <r>
      <rPr>
        <sz val="10"/>
        <rFont val="微软雅黑"/>
        <family val="0"/>
        <charset val="1"/>
      </rPr>
      <t xml:space="preserve">5GPM</t>
    </r>
    <r>
      <rPr>
        <sz val="10"/>
        <rFont val="WenQuanYi Zen Hei"/>
        <family val="2"/>
      </rPr>
      <t xml:space="preserve">自动款</t>
    </r>
  </si>
  <si>
    <t xml:space="preserve">混凝土振动器</t>
  </si>
  <si>
    <r>
      <rPr>
        <sz val="10"/>
        <rFont val="WenQuanYi Zen Hei"/>
        <family val="2"/>
      </rPr>
      <t xml:space="preserve">混凝土振动器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震动棒</t>
    </r>
    <r>
      <rPr>
        <sz val="10"/>
        <rFont val="微软雅黑"/>
        <family val="0"/>
        <charset val="1"/>
      </rPr>
      <t xml:space="preserve">1.2</t>
    </r>
    <r>
      <rPr>
        <sz val="10"/>
        <rFont val="WenQuanYi Zen Hei"/>
        <family val="2"/>
      </rPr>
      <t xml:space="preserve">米</t>
    </r>
  </si>
  <si>
    <r>
      <rPr>
        <sz val="10"/>
        <rFont val="WenQuanYi Zen Hei"/>
        <family val="2"/>
      </rPr>
      <t xml:space="preserve">利润空间充足：月预算可上调至 </t>
    </r>
    <r>
      <rPr>
        <sz val="10"/>
        <rFont val="微软雅黑"/>
        <family val="0"/>
        <charset val="1"/>
      </rPr>
      <t xml:space="preserve">$3,614</t>
    </r>
    <r>
      <rPr>
        <sz val="10"/>
        <rFont val="WenQuanYi Zen Hei"/>
        <family val="2"/>
      </rPr>
      <t xml:space="preserve">（单月增幅 ≤</t>
    </r>
    <r>
      <rPr>
        <sz val="10"/>
        <rFont val="微软雅黑"/>
        <family val="0"/>
        <charset val="1"/>
      </rPr>
      <t xml:space="preserve">30%</t>
    </r>
    <r>
      <rPr>
        <sz val="10"/>
        <rFont val="WenQuanYi Zen Hei"/>
        <family val="2"/>
      </rPr>
      <t xml:space="preserve">），优先加精准词与 </t>
    </r>
    <r>
      <rPr>
        <sz val="10"/>
        <rFont val="微软雅黑"/>
        <family val="0"/>
        <charset val="1"/>
      </rPr>
      <t xml:space="preserve">SBV</t>
    </r>
  </si>
  <si>
    <r>
      <rPr>
        <sz val="10"/>
        <rFont val="WenQuanYi Zen Hei"/>
        <family val="2"/>
      </rPr>
      <t xml:space="preserve">充气泵</t>
    </r>
    <r>
      <rPr>
        <sz val="10"/>
        <rFont val="微软雅黑"/>
        <family val="0"/>
        <charset val="1"/>
      </rPr>
      <t xml:space="preserve">-12V+20V</t>
    </r>
    <r>
      <rPr>
        <sz val="10"/>
        <rFont val="WenQuanYi Zen Hei"/>
        <family val="2"/>
      </rPr>
      <t xml:space="preserve">手持</t>
    </r>
  </si>
  <si>
    <r>
      <rPr>
        <sz val="10"/>
        <rFont val="WenQuanYi Zen Hei"/>
        <family val="2"/>
      </rPr>
      <t xml:space="preserve">新品保本期：广告费率不超过 </t>
    </r>
    <r>
      <rPr>
        <sz val="10"/>
        <rFont val="微软雅黑"/>
        <family val="0"/>
        <charset val="1"/>
      </rPr>
      <t xml:space="preserve">25.0%</t>
    </r>
    <r>
      <rPr>
        <sz val="10"/>
        <rFont val="WenQuanYi Zen Hei"/>
        <family val="2"/>
      </rPr>
      <t xml:space="preserve">（保本 </t>
    </r>
    <r>
      <rPr>
        <sz val="10"/>
        <rFont val="微软雅黑"/>
        <family val="0"/>
        <charset val="1"/>
      </rPr>
      <t xml:space="preserve">25.8%</t>
    </r>
    <r>
      <rPr>
        <sz val="10"/>
        <rFont val="WenQuanYi Zen Hei"/>
        <family val="2"/>
      </rPr>
      <t xml:space="preserve">）；</t>
    </r>
    <r>
      <rPr>
        <sz val="10"/>
        <rFont val="微软雅黑"/>
        <family val="0"/>
        <charset val="1"/>
      </rPr>
      <t xml:space="preserve">90 </t>
    </r>
    <r>
      <rPr>
        <sz val="10"/>
        <rFont val="WenQuanYi Zen Hei"/>
        <family val="2"/>
      </rPr>
      <t xml:space="preserve">天内净毛利未到 </t>
    </r>
    <r>
      <rPr>
        <sz val="10"/>
        <rFont val="微软雅黑"/>
        <family val="0"/>
        <charset val="1"/>
      </rPr>
      <t xml:space="preserve">5% </t>
    </r>
    <r>
      <rPr>
        <sz val="10"/>
        <rFont val="WenQuanYi Zen Hei"/>
        <family val="2"/>
      </rPr>
      <t xml:space="preserve">转入压缩</t>
    </r>
  </si>
  <si>
    <r>
      <rPr>
        <sz val="10"/>
        <rFont val="WenQuanYi Zen Hei"/>
        <family val="2"/>
      </rPr>
      <t xml:space="preserve">风扇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双开关</t>
    </r>
    <r>
      <rPr>
        <sz val="10"/>
        <rFont val="微软雅黑"/>
        <family val="0"/>
        <charset val="1"/>
      </rPr>
      <t xml:space="preserve">8</t>
    </r>
    <r>
      <rPr>
        <sz val="10"/>
        <rFont val="WenQuanYi Zen Hei"/>
        <family val="2"/>
      </rPr>
      <t xml:space="preserve">寸两档调节</t>
    </r>
  </si>
  <si>
    <r>
      <rPr>
        <sz val="10"/>
        <rFont val="WenQuanYi Zen Hei"/>
        <family val="2"/>
      </rPr>
      <t xml:space="preserve">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天销售环比 </t>
    </r>
    <r>
      <rPr>
        <sz val="10"/>
        <rFont val="微软雅黑"/>
        <family val="0"/>
        <charset val="1"/>
      </rPr>
      <t xml:space="preserve">-79%</t>
    </r>
    <r>
      <rPr>
        <sz val="10"/>
        <rFont val="WenQuanYi Zen Hei"/>
        <family val="2"/>
      </rPr>
      <t xml:space="preserve">，广告要跟着降：预算按近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天销售重算为 </t>
    </r>
    <r>
      <rPr>
        <sz val="10"/>
        <rFont val="微软雅黑"/>
        <family val="0"/>
        <charset val="1"/>
      </rPr>
      <t xml:space="preserve">$751/</t>
    </r>
    <r>
      <rPr>
        <sz val="10"/>
        <rFont val="WenQuanYi Zen Hei"/>
        <family val="2"/>
      </rPr>
      <t xml:space="preserve">月，排查排名、断货、差评或竞品降价</t>
    </r>
  </si>
  <si>
    <r>
      <rPr>
        <sz val="10"/>
        <rFont val="WenQuanYi Zen Hei"/>
        <family val="2"/>
      </rPr>
      <t xml:space="preserve">锂电钻</t>
    </r>
    <r>
      <rPr>
        <sz val="10"/>
        <rFont val="微软雅黑"/>
        <family val="0"/>
        <charset val="1"/>
      </rPr>
      <t xml:space="preserve">+</t>
    </r>
    <r>
      <rPr>
        <sz val="10"/>
        <rFont val="WenQuanYi Zen Hei"/>
        <family val="2"/>
      </rPr>
      <t xml:space="preserve">起子机套装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组合套装款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</si>
  <si>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26.7% </t>
    </r>
    <r>
      <rPr>
        <sz val="10"/>
        <rFont val="WenQuanYi Zen Hei"/>
        <family val="2"/>
      </rPr>
      <t xml:space="preserve">偏高（保本 </t>
    </r>
    <r>
      <rPr>
        <sz val="10"/>
        <rFont val="微软雅黑"/>
        <family val="0"/>
        <charset val="1"/>
      </rPr>
      <t xml:space="preserve">32.4%</t>
    </r>
    <r>
      <rPr>
        <sz val="10"/>
        <rFont val="WenQuanYi Zen Hei"/>
        <family val="2"/>
      </rPr>
      <t xml:space="preserve">）：砍高花费 </t>
    </r>
    <r>
      <rPr>
        <sz val="10"/>
        <rFont val="微软雅黑"/>
        <family val="0"/>
        <charset val="1"/>
      </rPr>
      <t xml:space="preserve">0 </t>
    </r>
    <r>
      <rPr>
        <sz val="10"/>
        <rFont val="WenQuanYi Zen Hei"/>
        <family val="2"/>
      </rPr>
      <t xml:space="preserve">单词和 </t>
    </r>
    <r>
      <rPr>
        <sz val="10"/>
        <rFont val="微软雅黑"/>
        <family val="0"/>
        <charset val="1"/>
      </rPr>
      <t xml:space="preserve">ACOS </t>
    </r>
    <r>
      <rPr>
        <sz val="10"/>
        <rFont val="WenQuanYi Zen Hei"/>
        <family val="2"/>
      </rPr>
      <t xml:space="preserve">超保本的投放，</t>
    </r>
    <r>
      <rPr>
        <sz val="10"/>
        <rFont val="微软雅黑"/>
        <family val="0"/>
        <charset val="1"/>
      </rPr>
      <t xml:space="preserve">4 </t>
    </r>
    <r>
      <rPr>
        <sz val="10"/>
        <rFont val="WenQuanYi Zen Hei"/>
        <family val="2"/>
      </rPr>
      <t xml:space="preserve">周内降到 </t>
    </r>
    <r>
      <rPr>
        <sz val="10"/>
        <rFont val="微软雅黑"/>
        <family val="0"/>
        <charset val="1"/>
      </rPr>
      <t xml:space="preserve">18.0%</t>
    </r>
    <r>
      <rPr>
        <sz val="10"/>
        <rFont val="WenQuanYi Zen Hei"/>
        <family val="2"/>
      </rPr>
      <t xml:space="preserve">；连续 </t>
    </r>
    <r>
      <rPr>
        <sz val="10"/>
        <rFont val="微软雅黑"/>
        <family val="0"/>
        <charset val="1"/>
      </rPr>
      <t xml:space="preserve">4 </t>
    </r>
    <r>
      <rPr>
        <sz val="10"/>
        <rFont val="WenQuanYi Zen Hei"/>
        <family val="2"/>
      </rPr>
      <t xml:space="preserve">周无改善转压缩</t>
    </r>
  </si>
  <si>
    <r>
      <rPr>
        <sz val="10"/>
        <rFont val="WenQuanYi Zen Hei"/>
        <family val="2"/>
      </rPr>
      <t xml:space="preserve">逆变器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尾插</t>
    </r>
    <r>
      <rPr>
        <sz val="10"/>
        <rFont val="微软雅黑"/>
        <family val="0"/>
        <charset val="1"/>
      </rPr>
      <t xml:space="preserve">300W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</si>
  <si>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21.2%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12.6%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</si>
  <si>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t xml:space="preserve">高枝锯</t>
  </si>
  <si>
    <r>
      <rPr>
        <sz val="10"/>
        <rFont val="WenQuanYi Zen Hei"/>
        <family val="2"/>
      </rPr>
      <t xml:space="preserve">高枝锯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单用有刷</t>
    </r>
    <r>
      <rPr>
        <sz val="10"/>
        <rFont val="微软雅黑"/>
        <family val="0"/>
        <charset val="1"/>
      </rPr>
      <t xml:space="preserve">8</t>
    </r>
    <r>
      <rPr>
        <sz val="10"/>
        <rFont val="WenQuanYi Zen Hei"/>
        <family val="2"/>
      </rPr>
      <t xml:space="preserve">寸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</si>
  <si>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22.4%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15.1%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</si>
  <si>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精加工钉枪</t>
    </r>
    <r>
      <rPr>
        <sz val="10"/>
        <rFont val="微软雅黑"/>
        <family val="0"/>
        <charset val="1"/>
      </rPr>
      <t xml:space="preserve">-16GA</t>
    </r>
    <r>
      <rPr>
        <sz val="10"/>
        <rFont val="WenQuanYi Zen Hei"/>
        <family val="2"/>
      </rPr>
      <t xml:space="preserve">直排</t>
    </r>
  </si>
  <si>
    <t xml:space="preserve">压缩</t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</si>
  <si>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&lt;5% </t>
    </r>
    <r>
      <rPr>
        <sz val="10"/>
        <rFont val="WenQuanYi Zen Hei"/>
        <family val="2"/>
      </rPr>
      <t xml:space="preserve">且广告费率 ≥</t>
    </r>
    <r>
      <rPr>
        <sz val="10"/>
        <rFont val="微软雅黑"/>
        <family val="0"/>
        <charset val="1"/>
      </rPr>
      <t xml:space="preserve">12%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</si>
  <si>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3.9%</t>
    </r>
    <r>
      <rPr>
        <sz val="10"/>
        <rFont val="WenQuanYi Zen Hei"/>
        <family val="2"/>
      </rPr>
      <t xml:space="preserve">，广告费率压到 </t>
    </r>
    <r>
      <rPr>
        <sz val="10"/>
        <rFont val="微软雅黑"/>
        <family val="0"/>
        <charset val="1"/>
      </rPr>
      <t xml:space="preserve">15.0% </t>
    </r>
    <r>
      <rPr>
        <sz val="10"/>
        <rFont val="WenQuanYi Zen Hei"/>
        <family val="2"/>
      </rPr>
      <t xml:space="preserve">以内：砍 </t>
    </r>
    <r>
      <rPr>
        <sz val="10"/>
        <rFont val="微软雅黑"/>
        <family val="0"/>
        <charset val="1"/>
      </rPr>
      <t xml:space="preserve">ACOS </t>
    </r>
    <r>
      <rPr>
        <sz val="10"/>
        <rFont val="WenQuanYi Zen Hei"/>
        <family val="2"/>
      </rPr>
      <t xml:space="preserve">超保本的词，</t>
    </r>
    <r>
      <rPr>
        <sz val="10"/>
        <rFont val="微软雅黑"/>
        <family val="0"/>
        <charset val="1"/>
      </rPr>
      <t xml:space="preserve">SB/SD </t>
    </r>
    <r>
      <rPr>
        <sz val="10"/>
        <rFont val="WenQuanYi Zen Hei"/>
        <family val="2"/>
      </rPr>
      <t xml:space="preserve">预算回收到 </t>
    </r>
    <r>
      <rPr>
        <sz val="10"/>
        <rFont val="微软雅黑"/>
        <family val="0"/>
        <charset val="1"/>
      </rPr>
      <t xml:space="preserve">SP </t>
    </r>
    <r>
      <rPr>
        <sz val="10"/>
        <rFont val="WenQuanYi Zen Hei"/>
        <family val="2"/>
      </rPr>
      <t xml:space="preserve">精准</t>
    </r>
  </si>
  <si>
    <t xml:space="preserve">激光水平仪</t>
  </si>
  <si>
    <r>
      <rPr>
        <sz val="10"/>
        <rFont val="WenQuanYi Zen Hei"/>
        <family val="2"/>
      </rPr>
      <t xml:space="preserve">激光水平仪</t>
    </r>
    <r>
      <rPr>
        <sz val="10"/>
        <rFont val="微软雅黑"/>
        <family val="0"/>
        <charset val="1"/>
      </rPr>
      <t xml:space="preserve">-16</t>
    </r>
    <r>
      <rPr>
        <sz val="10"/>
        <rFont val="WenQuanYi Zen Hei"/>
        <family val="2"/>
      </rPr>
      <t xml:space="preserve">线</t>
    </r>
    <r>
      <rPr>
        <sz val="10"/>
        <rFont val="微软雅黑"/>
        <family val="0"/>
        <charset val="1"/>
      </rPr>
      <t xml:space="preserve">4D</t>
    </r>
    <r>
      <rPr>
        <sz val="10"/>
        <rFont val="WenQuanYi Zen Hei"/>
        <family val="2"/>
      </rPr>
      <t xml:space="preserve">配三脚支架</t>
    </r>
  </si>
  <si>
    <r>
      <rPr>
        <sz val="10"/>
        <rFont val="WenQuanYi Zen Hei"/>
        <family val="2"/>
      </rPr>
      <t xml:space="preserve">冲击扳手</t>
    </r>
    <r>
      <rPr>
        <sz val="10"/>
        <rFont val="微软雅黑"/>
        <family val="0"/>
        <charset val="1"/>
      </rPr>
      <t xml:space="preserve">-3/8</t>
    </r>
    <r>
      <rPr>
        <sz val="10"/>
        <rFont val="WenQuanYi Zen Hei"/>
        <family val="2"/>
      </rPr>
      <t xml:space="preserve">英寸</t>
    </r>
    <r>
      <rPr>
        <sz val="10"/>
        <rFont val="微软雅黑"/>
        <family val="0"/>
        <charset val="1"/>
      </rPr>
      <t xml:space="preserve">700N</t>
    </r>
  </si>
  <si>
    <t xml:space="preserve">水泵</t>
  </si>
  <si>
    <r>
      <rPr>
        <sz val="10"/>
        <rFont val="WenQuanYi Zen Hei"/>
        <family val="2"/>
      </rPr>
      <t xml:space="preserve">直立式输水泵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伸缩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</si>
  <si>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17.2%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14.9%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</si>
  <si>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卧式水泵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有刷款</t>
    </r>
  </si>
  <si>
    <t xml:space="preserve">管道压接工具</t>
  </si>
  <si>
    <r>
      <rPr>
        <sz val="10"/>
        <rFont val="WenQuanYi Zen Hei"/>
        <family val="2"/>
      </rPr>
      <t xml:space="preserve">电动管道压接工具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炮式</t>
    </r>
  </si>
  <si>
    <r>
      <rPr>
        <sz val="10"/>
        <rFont val="WenQuanYi Zen Hei"/>
        <family val="2"/>
      </rPr>
      <t xml:space="preserve">高压清洗机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无刷带电显</t>
    </r>
    <r>
      <rPr>
        <sz val="10"/>
        <rFont val="微软雅黑"/>
        <family val="0"/>
        <charset val="1"/>
      </rPr>
      <t xml:space="preserve">3</t>
    </r>
    <r>
      <rPr>
        <sz val="10"/>
        <rFont val="WenQuanYi Zen Hei"/>
        <family val="2"/>
      </rPr>
      <t xml:space="preserve">档调速</t>
    </r>
  </si>
  <si>
    <r>
      <rPr>
        <sz val="10"/>
        <rFont val="WenQuanYi Zen Hei"/>
        <family val="2"/>
      </rPr>
      <t xml:space="preserve">无绳风扇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夹式</t>
    </r>
    <r>
      <rPr>
        <sz val="10"/>
        <rFont val="微软雅黑"/>
        <family val="0"/>
        <charset val="1"/>
      </rPr>
      <t xml:space="preserve">5</t>
    </r>
    <r>
      <rPr>
        <sz val="10"/>
        <rFont val="WenQuanYi Zen Hei"/>
        <family val="2"/>
      </rPr>
      <t xml:space="preserve">寸款</t>
    </r>
  </si>
  <si>
    <r>
      <rPr>
        <sz val="10"/>
        <rFont val="WenQuanYi Zen Hei"/>
        <family val="2"/>
      </rPr>
      <t xml:space="preserve">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天销售环比 </t>
    </r>
    <r>
      <rPr>
        <sz val="10"/>
        <rFont val="微软雅黑"/>
        <family val="0"/>
        <charset val="1"/>
      </rPr>
      <t xml:space="preserve">-86%</t>
    </r>
    <r>
      <rPr>
        <sz val="10"/>
        <rFont val="WenQuanYi Zen Hei"/>
        <family val="2"/>
      </rPr>
      <t xml:space="preserve">，广告要跟着降：预算按近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天销售重算为 </t>
    </r>
    <r>
      <rPr>
        <sz val="10"/>
        <rFont val="微软雅黑"/>
        <family val="0"/>
        <charset val="1"/>
      </rPr>
      <t xml:space="preserve">$154/</t>
    </r>
    <r>
      <rPr>
        <sz val="10"/>
        <rFont val="WenQuanYi Zen Hei"/>
        <family val="2"/>
      </rPr>
      <t xml:space="preserve">月，排查排名、断货、差评或竞品降价</t>
    </r>
  </si>
  <si>
    <r>
      <rPr>
        <sz val="10"/>
        <rFont val="WenQuanYi Zen Hei"/>
        <family val="2"/>
      </rPr>
      <t xml:space="preserve">高枝锯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两用无刷</t>
    </r>
    <r>
      <rPr>
        <sz val="10"/>
        <rFont val="微软雅黑"/>
        <family val="0"/>
        <charset val="1"/>
      </rPr>
      <t xml:space="preserve">6</t>
    </r>
    <r>
      <rPr>
        <sz val="10"/>
        <rFont val="WenQuanYi Zen Hei"/>
        <family val="2"/>
      </rPr>
      <t xml:space="preserve">寸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</si>
  <si>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18.9%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11.2%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</si>
  <si>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锂电池工作灯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四叶草款</t>
    </r>
  </si>
  <si>
    <r>
      <rPr>
        <sz val="10"/>
        <rFont val="WenQuanYi Zen Hei"/>
        <family val="2"/>
      </rPr>
      <t xml:space="preserve">新品期：广告前毛利为负或广告费率 </t>
    </r>
    <r>
      <rPr>
        <sz val="10"/>
        <rFont val="微软雅黑"/>
        <family val="0"/>
        <charset val="1"/>
      </rPr>
      <t xml:space="preserve">&gt;30%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</si>
  <si>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42.6%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13.7%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</si>
  <si>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激光水平仪</t>
    </r>
    <r>
      <rPr>
        <sz val="10"/>
        <rFont val="微软雅黑"/>
        <family val="0"/>
        <charset val="1"/>
      </rPr>
      <t xml:space="preserve">-16</t>
    </r>
    <r>
      <rPr>
        <sz val="10"/>
        <rFont val="WenQuanYi Zen Hei"/>
        <family val="2"/>
      </rPr>
      <t xml:space="preserve">线</t>
    </r>
    <r>
      <rPr>
        <sz val="10"/>
        <rFont val="微软雅黑"/>
        <family val="0"/>
        <charset val="1"/>
      </rPr>
      <t xml:space="preserve">4D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</si>
  <si>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0.4%</t>
    </r>
    <r>
      <rPr>
        <sz val="10"/>
        <rFont val="WenQuanYi Zen Hei"/>
        <family val="2"/>
      </rPr>
      <t xml:space="preserve">，广告费率压到 </t>
    </r>
    <r>
      <rPr>
        <sz val="10"/>
        <rFont val="微软雅黑"/>
        <family val="0"/>
        <charset val="1"/>
      </rPr>
      <t xml:space="preserve">18.0% </t>
    </r>
    <r>
      <rPr>
        <sz val="10"/>
        <rFont val="WenQuanYi Zen Hei"/>
        <family val="2"/>
      </rPr>
      <t xml:space="preserve">以内：砍 </t>
    </r>
    <r>
      <rPr>
        <sz val="10"/>
        <rFont val="微软雅黑"/>
        <family val="0"/>
        <charset val="1"/>
      </rPr>
      <t xml:space="preserve">ACOS </t>
    </r>
    <r>
      <rPr>
        <sz val="10"/>
        <rFont val="WenQuanYi Zen Hei"/>
        <family val="2"/>
      </rPr>
      <t xml:space="preserve">超保本的词，</t>
    </r>
    <r>
      <rPr>
        <sz val="10"/>
        <rFont val="微软雅黑"/>
        <family val="0"/>
        <charset val="1"/>
      </rPr>
      <t xml:space="preserve">SB/SD </t>
    </r>
    <r>
      <rPr>
        <sz val="10"/>
        <rFont val="WenQuanYi Zen Hei"/>
        <family val="2"/>
      </rPr>
      <t xml:space="preserve">预算回收到 </t>
    </r>
    <r>
      <rPr>
        <sz val="10"/>
        <rFont val="微软雅黑"/>
        <family val="0"/>
        <charset val="1"/>
      </rPr>
      <t xml:space="preserve">SP </t>
    </r>
    <r>
      <rPr>
        <sz val="10"/>
        <rFont val="WenQuanYi Zen Hei"/>
        <family val="2"/>
      </rPr>
      <t xml:space="preserve">精准</t>
    </r>
  </si>
  <si>
    <t xml:space="preserve">金属铁皮剪</t>
  </si>
  <si>
    <r>
      <rPr>
        <sz val="10"/>
        <rFont val="WenQuanYi Zen Hei"/>
        <family val="2"/>
      </rPr>
      <t xml:space="preserve">金属冲剪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替换针头</t>
    </r>
  </si>
  <si>
    <r>
      <rPr>
        <sz val="10"/>
        <rFont val="WenQuanYi Zen Hei"/>
        <family val="2"/>
      </rPr>
      <t xml:space="preserve">利润空间充足：月预算可上调至 </t>
    </r>
    <r>
      <rPr>
        <sz val="10"/>
        <rFont val="微软雅黑"/>
        <family val="0"/>
        <charset val="1"/>
      </rPr>
      <t xml:space="preserve">$1,815</t>
    </r>
    <r>
      <rPr>
        <sz val="10"/>
        <rFont val="WenQuanYi Zen Hei"/>
        <family val="2"/>
      </rPr>
      <t xml:space="preserve">（单月增幅 ≤</t>
    </r>
    <r>
      <rPr>
        <sz val="10"/>
        <rFont val="微软雅黑"/>
        <family val="0"/>
        <charset val="1"/>
      </rPr>
      <t xml:space="preserve">30%</t>
    </r>
    <r>
      <rPr>
        <sz val="10"/>
        <rFont val="WenQuanYi Zen Hei"/>
        <family val="2"/>
      </rPr>
      <t xml:space="preserve">），优先加精准词与 </t>
    </r>
    <r>
      <rPr>
        <sz val="10"/>
        <rFont val="微软雅黑"/>
        <family val="0"/>
        <charset val="1"/>
      </rPr>
      <t xml:space="preserve">SBV</t>
    </r>
  </si>
  <si>
    <t xml:space="preserve">饼干榫机</t>
  </si>
  <si>
    <r>
      <rPr>
        <sz val="10"/>
        <rFont val="WenQuanYi Zen Hei"/>
        <family val="2"/>
      </rPr>
      <t xml:space="preserve">饼干榫机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手持</t>
    </r>
  </si>
  <si>
    <r>
      <rPr>
        <sz val="10"/>
        <rFont val="WenQuanYi Zen Hei"/>
        <family val="2"/>
      </rPr>
      <t xml:space="preserve">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天销售环比 </t>
    </r>
    <r>
      <rPr>
        <sz val="10"/>
        <rFont val="微软雅黑"/>
        <family val="0"/>
        <charset val="1"/>
      </rPr>
      <t xml:space="preserve">-33%</t>
    </r>
    <r>
      <rPr>
        <sz val="10"/>
        <rFont val="WenQuanYi Zen Hei"/>
        <family val="2"/>
      </rPr>
      <t xml:space="preserve">，广告要跟着降：预算按近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天销售重算为 </t>
    </r>
    <r>
      <rPr>
        <sz val="10"/>
        <rFont val="微软雅黑"/>
        <family val="0"/>
        <charset val="1"/>
      </rPr>
      <t xml:space="preserve">$1,872/</t>
    </r>
    <r>
      <rPr>
        <sz val="10"/>
        <rFont val="WenQuanYi Zen Hei"/>
        <family val="2"/>
      </rPr>
      <t xml:space="preserve">月，排查排名、断货、差评或竞品降价</t>
    </r>
  </si>
  <si>
    <r>
      <rPr>
        <sz val="10"/>
        <rFont val="WenQuanYi Zen Hei"/>
        <family val="2"/>
      </rPr>
      <t xml:space="preserve">车库灯</t>
    </r>
    <r>
      <rPr>
        <sz val="10"/>
        <rFont val="微软雅黑"/>
        <family val="0"/>
        <charset val="1"/>
      </rPr>
      <t xml:space="preserve">-6+1</t>
    </r>
    <r>
      <rPr>
        <sz val="10"/>
        <rFont val="WenQuanYi Zen Hei"/>
        <family val="2"/>
      </rPr>
      <t xml:space="preserve">灯</t>
    </r>
  </si>
  <si>
    <r>
      <rPr>
        <sz val="10"/>
        <rFont val="WenQuanYi Zen Hei"/>
        <family val="2"/>
      </rPr>
      <t xml:space="preserve">微耕机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二合一两用款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</si>
  <si>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17.1%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2.7%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</si>
  <si>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t xml:space="preserve">角磨机</t>
  </si>
  <si>
    <r>
      <rPr>
        <sz val="10"/>
        <rFont val="WenQuanYi Zen Hei"/>
        <family val="2"/>
      </rPr>
      <t xml:space="preserve">角磨机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扁头角磨</t>
    </r>
  </si>
  <si>
    <t xml:space="preserve">木工配件</t>
  </si>
  <si>
    <r>
      <rPr>
        <sz val="10"/>
        <rFont val="WenQuanYi Zen Hei"/>
        <family val="2"/>
      </rPr>
      <t xml:space="preserve">木工直角夹</t>
    </r>
    <r>
      <rPr>
        <sz val="10"/>
        <rFont val="微软雅黑"/>
        <family val="0"/>
        <charset val="1"/>
      </rPr>
      <t xml:space="preserve">-4</t>
    </r>
    <r>
      <rPr>
        <sz val="10"/>
        <rFont val="WenQuanYi Zen Hei"/>
        <family val="2"/>
      </rPr>
      <t xml:space="preserve">件套</t>
    </r>
  </si>
  <si>
    <t xml:space="preserve">抛光机</t>
  </si>
  <si>
    <r>
      <rPr>
        <sz val="10"/>
        <rFont val="WenQuanYi Zen Hei"/>
        <family val="2"/>
      </rPr>
      <t xml:space="preserve">转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抛光机</t>
    </r>
    <r>
      <rPr>
        <sz val="10"/>
        <rFont val="微软雅黑"/>
        <family val="0"/>
        <charset val="1"/>
      </rPr>
      <t xml:space="preserve">-7</t>
    </r>
    <r>
      <rPr>
        <sz val="10"/>
        <rFont val="WenQuanYi Zen Hei"/>
        <family val="2"/>
      </rPr>
      <t xml:space="preserve">寸</t>
    </r>
    <r>
      <rPr>
        <sz val="10"/>
        <rFont val="微软雅黑"/>
        <family val="0"/>
        <charset val="1"/>
      </rPr>
      <t xml:space="preserve">7</t>
    </r>
    <r>
      <rPr>
        <sz val="10"/>
        <rFont val="WenQuanYi Zen Hei"/>
        <family val="2"/>
      </rPr>
      <t xml:space="preserve">档调速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</si>
  <si>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21.7% </t>
    </r>
    <r>
      <rPr>
        <sz val="10"/>
        <rFont val="WenQuanYi Zen Hei"/>
        <family val="2"/>
      </rPr>
      <t xml:space="preserve">偏高（保本 </t>
    </r>
    <r>
      <rPr>
        <sz val="10"/>
        <rFont val="微软雅黑"/>
        <family val="0"/>
        <charset val="1"/>
      </rPr>
      <t xml:space="preserve">31.5%</t>
    </r>
    <r>
      <rPr>
        <sz val="10"/>
        <rFont val="WenQuanYi Zen Hei"/>
        <family val="2"/>
      </rPr>
      <t xml:space="preserve">）：砍高花费 </t>
    </r>
    <r>
      <rPr>
        <sz val="10"/>
        <rFont val="微软雅黑"/>
        <family val="0"/>
        <charset val="1"/>
      </rPr>
      <t xml:space="preserve">0 </t>
    </r>
    <r>
      <rPr>
        <sz val="10"/>
        <rFont val="WenQuanYi Zen Hei"/>
        <family val="2"/>
      </rPr>
      <t xml:space="preserve">单词和 </t>
    </r>
    <r>
      <rPr>
        <sz val="10"/>
        <rFont val="微软雅黑"/>
        <family val="0"/>
        <charset val="1"/>
      </rPr>
      <t xml:space="preserve">ACOS </t>
    </r>
    <r>
      <rPr>
        <sz val="10"/>
        <rFont val="WenQuanYi Zen Hei"/>
        <family val="2"/>
      </rPr>
      <t xml:space="preserve">超保本的投放，</t>
    </r>
    <r>
      <rPr>
        <sz val="10"/>
        <rFont val="微软雅黑"/>
        <family val="0"/>
        <charset val="1"/>
      </rPr>
      <t xml:space="preserve">4 </t>
    </r>
    <r>
      <rPr>
        <sz val="10"/>
        <rFont val="WenQuanYi Zen Hei"/>
        <family val="2"/>
      </rPr>
      <t xml:space="preserve">周内降到 </t>
    </r>
    <r>
      <rPr>
        <sz val="10"/>
        <rFont val="微软雅黑"/>
        <family val="0"/>
        <charset val="1"/>
      </rPr>
      <t xml:space="preserve">21.7%</t>
    </r>
    <r>
      <rPr>
        <sz val="10"/>
        <rFont val="WenQuanYi Zen Hei"/>
        <family val="2"/>
      </rPr>
      <t xml:space="preserve">；连续 </t>
    </r>
    <r>
      <rPr>
        <sz val="10"/>
        <rFont val="微软雅黑"/>
        <family val="0"/>
        <charset val="1"/>
      </rPr>
      <t xml:space="preserve">4 </t>
    </r>
    <r>
      <rPr>
        <sz val="10"/>
        <rFont val="WenQuanYi Zen Hei"/>
        <family val="2"/>
      </rPr>
      <t xml:space="preserve">周无改善转压缩</t>
    </r>
  </si>
  <si>
    <r>
      <rPr>
        <sz val="10"/>
        <rFont val="微软雅黑"/>
        <family val="0"/>
        <charset val="1"/>
      </rPr>
      <t xml:space="preserve">T50</t>
    </r>
    <r>
      <rPr>
        <sz val="10"/>
        <rFont val="WenQuanYi Zen Hei"/>
        <family val="2"/>
      </rPr>
      <t xml:space="preserve">无绳订书机</t>
    </r>
  </si>
  <si>
    <r>
      <rPr>
        <sz val="10"/>
        <rFont val="WenQuanYi Zen Hei"/>
        <family val="2"/>
      </rPr>
      <t xml:space="preserve">新品保本期：广告费率不超过 </t>
    </r>
    <r>
      <rPr>
        <sz val="10"/>
        <rFont val="微软雅黑"/>
        <family val="0"/>
        <charset val="1"/>
      </rPr>
      <t xml:space="preserve">21.7%</t>
    </r>
    <r>
      <rPr>
        <sz val="10"/>
        <rFont val="WenQuanYi Zen Hei"/>
        <family val="2"/>
      </rPr>
      <t xml:space="preserve">（保本 </t>
    </r>
    <r>
      <rPr>
        <sz val="10"/>
        <rFont val="微软雅黑"/>
        <family val="0"/>
        <charset val="1"/>
      </rPr>
      <t xml:space="preserve">24.6%</t>
    </r>
    <r>
      <rPr>
        <sz val="10"/>
        <rFont val="WenQuanYi Zen Hei"/>
        <family val="2"/>
      </rPr>
      <t xml:space="preserve">）；</t>
    </r>
    <r>
      <rPr>
        <sz val="10"/>
        <rFont val="微软雅黑"/>
        <family val="0"/>
        <charset val="1"/>
      </rPr>
      <t xml:space="preserve">90 </t>
    </r>
    <r>
      <rPr>
        <sz val="10"/>
        <rFont val="WenQuanYi Zen Hei"/>
        <family val="2"/>
      </rPr>
      <t xml:space="preserve">天内净毛利未到 </t>
    </r>
    <r>
      <rPr>
        <sz val="10"/>
        <rFont val="微软雅黑"/>
        <family val="0"/>
        <charset val="1"/>
      </rPr>
      <t xml:space="preserve">5% </t>
    </r>
    <r>
      <rPr>
        <sz val="10"/>
        <rFont val="WenQuanYi Zen Hei"/>
        <family val="2"/>
      </rPr>
      <t xml:space="preserve">转入压缩</t>
    </r>
  </si>
  <si>
    <r>
      <rPr>
        <sz val="10"/>
        <rFont val="WenQuanYi Zen Hei"/>
        <family val="2"/>
      </rPr>
      <t xml:space="preserve">切割机</t>
    </r>
    <r>
      <rPr>
        <sz val="10"/>
        <rFont val="微软雅黑"/>
        <family val="0"/>
        <charset val="1"/>
      </rPr>
      <t xml:space="preserve">-4</t>
    </r>
    <r>
      <rPr>
        <sz val="10"/>
        <rFont val="WenQuanYi Zen Hei"/>
        <family val="2"/>
      </rPr>
      <t xml:space="preserve">英寸带</t>
    </r>
    <r>
      <rPr>
        <sz val="10"/>
        <rFont val="微软雅黑"/>
        <family val="0"/>
        <charset val="1"/>
      </rPr>
      <t xml:space="preserve">4pcs</t>
    </r>
    <r>
      <rPr>
        <sz val="10"/>
        <rFont val="WenQuanYi Zen Hei"/>
        <family val="2"/>
      </rPr>
      <t xml:space="preserve">锯片</t>
    </r>
  </si>
  <si>
    <t xml:space="preserve">吸尘器</t>
  </si>
  <si>
    <r>
      <rPr>
        <sz val="10"/>
        <rFont val="WenQuanYi Zen Hei"/>
        <family val="2"/>
      </rPr>
      <t xml:space="preserve">干湿吸尘器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无刷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</si>
  <si>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4.3%</t>
    </r>
    <r>
      <rPr>
        <sz val="10"/>
        <rFont val="WenQuanYi Zen Hei"/>
        <family val="2"/>
      </rPr>
      <t xml:space="preserve">，广告费率压到 </t>
    </r>
    <r>
      <rPr>
        <sz val="10"/>
        <rFont val="微软雅黑"/>
        <family val="0"/>
        <charset val="1"/>
      </rPr>
      <t xml:space="preserve">11.7% </t>
    </r>
    <r>
      <rPr>
        <sz val="10"/>
        <rFont val="WenQuanYi Zen Hei"/>
        <family val="2"/>
      </rPr>
      <t xml:space="preserve">以内：砍 </t>
    </r>
    <r>
      <rPr>
        <sz val="10"/>
        <rFont val="微软雅黑"/>
        <family val="0"/>
        <charset val="1"/>
      </rPr>
      <t xml:space="preserve">ACOS </t>
    </r>
    <r>
      <rPr>
        <sz val="10"/>
        <rFont val="WenQuanYi Zen Hei"/>
        <family val="2"/>
      </rPr>
      <t xml:space="preserve">超保本的词，</t>
    </r>
    <r>
      <rPr>
        <sz val="10"/>
        <rFont val="微软雅黑"/>
        <family val="0"/>
        <charset val="1"/>
      </rPr>
      <t xml:space="preserve">SB/SD </t>
    </r>
    <r>
      <rPr>
        <sz val="10"/>
        <rFont val="WenQuanYi Zen Hei"/>
        <family val="2"/>
      </rPr>
      <t xml:space="preserve">预算回收到 </t>
    </r>
    <r>
      <rPr>
        <sz val="10"/>
        <rFont val="微软雅黑"/>
        <family val="0"/>
        <charset val="1"/>
      </rPr>
      <t xml:space="preserve">SP </t>
    </r>
    <r>
      <rPr>
        <sz val="10"/>
        <rFont val="WenQuanYi Zen Hei"/>
        <family val="2"/>
      </rPr>
      <t xml:space="preserve">精准</t>
    </r>
  </si>
  <si>
    <t xml:space="preserve">带锯</t>
  </si>
  <si>
    <r>
      <rPr>
        <sz val="10"/>
        <rFont val="WenQuanYi Zen Hei"/>
        <family val="2"/>
      </rPr>
      <t xml:space="preserve">转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便携式带锯</t>
    </r>
    <r>
      <rPr>
        <sz val="10"/>
        <rFont val="微软雅黑"/>
        <family val="0"/>
        <charset val="1"/>
      </rPr>
      <t xml:space="preserve">2.5in-</t>
    </r>
    <r>
      <rPr>
        <sz val="10"/>
        <rFont val="WenQuanYi Zen Hei"/>
        <family val="2"/>
      </rPr>
      <t xml:space="preserve">手持</t>
    </r>
  </si>
  <si>
    <t xml:space="preserve">往复锯</t>
  </si>
  <si>
    <r>
      <rPr>
        <sz val="10"/>
        <rFont val="WenQuanYi Zen Hei"/>
        <family val="2"/>
      </rPr>
      <t xml:space="preserve">往复锯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双手</t>
    </r>
  </si>
  <si>
    <r>
      <rPr>
        <sz val="10"/>
        <rFont val="WenQuanYi Zen Hei"/>
        <family val="2"/>
      </rPr>
      <t xml:space="preserve">利润空间充足：月预算可上调至 </t>
    </r>
    <r>
      <rPr>
        <sz val="10"/>
        <rFont val="微软雅黑"/>
        <family val="0"/>
        <charset val="1"/>
      </rPr>
      <t xml:space="preserve">$2,784</t>
    </r>
    <r>
      <rPr>
        <sz val="10"/>
        <rFont val="WenQuanYi Zen Hei"/>
        <family val="2"/>
      </rPr>
      <t xml:space="preserve">（单月增幅 ≤</t>
    </r>
    <r>
      <rPr>
        <sz val="10"/>
        <rFont val="微软雅黑"/>
        <family val="0"/>
        <charset val="1"/>
      </rPr>
      <t xml:space="preserve">30%</t>
    </r>
    <r>
      <rPr>
        <sz val="10"/>
        <rFont val="WenQuanYi Zen Hei"/>
        <family val="2"/>
      </rPr>
      <t xml:space="preserve">），优先加精准词与 </t>
    </r>
    <r>
      <rPr>
        <sz val="10"/>
        <rFont val="微软雅黑"/>
        <family val="0"/>
        <charset val="1"/>
      </rPr>
      <t xml:space="preserve">SBV</t>
    </r>
  </si>
  <si>
    <t xml:space="preserve">填缝胶枪</t>
  </si>
  <si>
    <r>
      <rPr>
        <sz val="10"/>
        <rFont val="WenQuanYi Zen Hei"/>
        <family val="2"/>
      </rPr>
      <t xml:space="preserve">填缝胶枪</t>
    </r>
    <r>
      <rPr>
        <sz val="10"/>
        <rFont val="微软雅黑"/>
        <family val="0"/>
        <charset val="1"/>
      </rPr>
      <t xml:space="preserve">-4</t>
    </r>
    <r>
      <rPr>
        <sz val="10"/>
        <rFont val="WenQuanYi Zen Hei"/>
        <family val="2"/>
      </rPr>
      <t xml:space="preserve">档调速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</si>
  <si>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20.2% </t>
    </r>
    <r>
      <rPr>
        <sz val="10"/>
        <rFont val="WenQuanYi Zen Hei"/>
        <family val="2"/>
      </rPr>
      <t xml:space="preserve">偏高（保本 </t>
    </r>
    <r>
      <rPr>
        <sz val="10"/>
        <rFont val="微软雅黑"/>
        <family val="0"/>
        <charset val="1"/>
      </rPr>
      <t xml:space="preserve">27.7%</t>
    </r>
    <r>
      <rPr>
        <sz val="10"/>
        <rFont val="WenQuanYi Zen Hei"/>
        <family val="2"/>
      </rPr>
      <t xml:space="preserve">）：砍高花费 </t>
    </r>
    <r>
      <rPr>
        <sz val="10"/>
        <rFont val="微软雅黑"/>
        <family val="0"/>
        <charset val="1"/>
      </rPr>
      <t xml:space="preserve">0 </t>
    </r>
    <r>
      <rPr>
        <sz val="10"/>
        <rFont val="WenQuanYi Zen Hei"/>
        <family val="2"/>
      </rPr>
      <t xml:space="preserve">单词和 </t>
    </r>
    <r>
      <rPr>
        <sz val="10"/>
        <rFont val="微软雅黑"/>
        <family val="0"/>
        <charset val="1"/>
      </rPr>
      <t xml:space="preserve">ACOS </t>
    </r>
    <r>
      <rPr>
        <sz val="10"/>
        <rFont val="WenQuanYi Zen Hei"/>
        <family val="2"/>
      </rPr>
      <t xml:space="preserve">超保本的投放，</t>
    </r>
    <r>
      <rPr>
        <sz val="10"/>
        <rFont val="微软雅黑"/>
        <family val="0"/>
        <charset val="1"/>
      </rPr>
      <t xml:space="preserve">4 </t>
    </r>
    <r>
      <rPr>
        <sz val="10"/>
        <rFont val="WenQuanYi Zen Hei"/>
        <family val="2"/>
      </rPr>
      <t xml:space="preserve">周内降到 </t>
    </r>
    <r>
      <rPr>
        <sz val="10"/>
        <rFont val="微软雅黑"/>
        <family val="0"/>
        <charset val="1"/>
      </rPr>
      <t xml:space="preserve">17.7%</t>
    </r>
    <r>
      <rPr>
        <sz val="10"/>
        <rFont val="WenQuanYi Zen Hei"/>
        <family val="2"/>
      </rPr>
      <t xml:space="preserve">；连续 </t>
    </r>
    <r>
      <rPr>
        <sz val="10"/>
        <rFont val="微软雅黑"/>
        <family val="0"/>
        <charset val="1"/>
      </rPr>
      <t xml:space="preserve">4 </t>
    </r>
    <r>
      <rPr>
        <sz val="10"/>
        <rFont val="WenQuanYi Zen Hei"/>
        <family val="2"/>
      </rPr>
      <t xml:space="preserve">周无改善转压缩</t>
    </r>
  </si>
  <si>
    <r>
      <rPr>
        <sz val="10"/>
        <rFont val="WenQuanYi Zen Hei"/>
        <family val="2"/>
      </rPr>
      <t xml:space="preserve">潜水泵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线</t>
    </r>
    <r>
      <rPr>
        <sz val="10"/>
        <rFont val="微软雅黑"/>
        <family val="0"/>
        <charset val="1"/>
      </rPr>
      <t xml:space="preserve">4</t>
    </r>
    <r>
      <rPr>
        <sz val="10"/>
        <rFont val="WenQuanYi Zen Hei"/>
        <family val="2"/>
      </rPr>
      <t xml:space="preserve">米 软管</t>
    </r>
    <r>
      <rPr>
        <sz val="10"/>
        <rFont val="微软雅黑"/>
        <family val="0"/>
        <charset val="1"/>
      </rPr>
      <t xml:space="preserve">2</t>
    </r>
    <r>
      <rPr>
        <sz val="10"/>
        <rFont val="WenQuanYi Zen Hei"/>
        <family val="2"/>
      </rPr>
      <t xml:space="preserve">米 管箍</t>
    </r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个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</si>
  <si>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23.1% </t>
    </r>
    <r>
      <rPr>
        <sz val="10"/>
        <rFont val="WenQuanYi Zen Hei"/>
        <family val="2"/>
      </rPr>
      <t xml:space="preserve">偏高（保本 </t>
    </r>
    <r>
      <rPr>
        <sz val="10"/>
        <rFont val="微软雅黑"/>
        <family val="0"/>
        <charset val="1"/>
      </rPr>
      <t xml:space="preserve">32.5%</t>
    </r>
    <r>
      <rPr>
        <sz val="10"/>
        <rFont val="WenQuanYi Zen Hei"/>
        <family val="2"/>
      </rPr>
      <t xml:space="preserve">）：砍高花费 </t>
    </r>
    <r>
      <rPr>
        <sz val="10"/>
        <rFont val="微软雅黑"/>
        <family val="0"/>
        <charset val="1"/>
      </rPr>
      <t xml:space="preserve">0 </t>
    </r>
    <r>
      <rPr>
        <sz val="10"/>
        <rFont val="WenQuanYi Zen Hei"/>
        <family val="2"/>
      </rPr>
      <t xml:space="preserve">单词和 </t>
    </r>
    <r>
      <rPr>
        <sz val="10"/>
        <rFont val="微软雅黑"/>
        <family val="0"/>
        <charset val="1"/>
      </rPr>
      <t xml:space="preserve">ACOS </t>
    </r>
    <r>
      <rPr>
        <sz val="10"/>
        <rFont val="WenQuanYi Zen Hei"/>
        <family val="2"/>
      </rPr>
      <t xml:space="preserve">超保本的投放，</t>
    </r>
    <r>
      <rPr>
        <sz val="10"/>
        <rFont val="微软雅黑"/>
        <family val="0"/>
        <charset val="1"/>
      </rPr>
      <t xml:space="preserve">4 </t>
    </r>
    <r>
      <rPr>
        <sz val="10"/>
        <rFont val="WenQuanYi Zen Hei"/>
        <family val="2"/>
      </rPr>
      <t xml:space="preserve">周内降到 </t>
    </r>
    <r>
      <rPr>
        <sz val="10"/>
        <rFont val="微软雅黑"/>
        <family val="0"/>
        <charset val="1"/>
      </rPr>
      <t xml:space="preserve">18.0%</t>
    </r>
    <r>
      <rPr>
        <sz val="10"/>
        <rFont val="WenQuanYi Zen Hei"/>
        <family val="2"/>
      </rPr>
      <t xml:space="preserve">；连续 </t>
    </r>
    <r>
      <rPr>
        <sz val="10"/>
        <rFont val="微软雅黑"/>
        <family val="0"/>
        <charset val="1"/>
      </rPr>
      <t xml:space="preserve">4 </t>
    </r>
    <r>
      <rPr>
        <sz val="10"/>
        <rFont val="WenQuanYi Zen Hei"/>
        <family val="2"/>
      </rPr>
      <t xml:space="preserve">周无改善转压缩</t>
    </r>
  </si>
  <si>
    <t xml:space="preserve">未分类</t>
  </si>
  <si>
    <t xml:space="preserve">品名缺失</t>
  </si>
  <si>
    <t xml:space="preserve">—</t>
  </si>
  <si>
    <r>
      <rPr>
        <sz val="10"/>
        <rFont val="WenQuanYi Zen Hei"/>
        <family val="2"/>
      </rPr>
      <t xml:space="preserve">品名缺失，需先补齐 </t>
    </r>
    <r>
      <rPr>
        <sz val="10"/>
        <rFont val="微软雅黑"/>
        <family val="0"/>
        <charset val="1"/>
      </rPr>
      <t xml:space="preserve">SPU </t>
    </r>
    <r>
      <rPr>
        <sz val="10"/>
        <rFont val="WenQuanYi Zen Hei"/>
        <family val="2"/>
      </rPr>
      <t xml:space="preserve">归属</t>
    </r>
  </si>
  <si>
    <t xml:space="preserve">曲线锯</t>
  </si>
  <si>
    <r>
      <rPr>
        <sz val="10"/>
        <rFont val="WenQuanYi Zen Hei"/>
        <family val="2"/>
      </rPr>
      <t xml:space="preserve">曲线锯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锯条</t>
    </r>
    <r>
      <rPr>
        <sz val="10"/>
        <rFont val="微软雅黑"/>
        <family val="0"/>
        <charset val="1"/>
      </rPr>
      <t xml:space="preserve">*6</t>
    </r>
  </si>
  <si>
    <r>
      <rPr>
        <sz val="10"/>
        <rFont val="WenQuanYi Zen Hei"/>
        <family val="2"/>
      </rPr>
      <t xml:space="preserve">工作灯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双开关</t>
    </r>
    <r>
      <rPr>
        <sz val="10"/>
        <rFont val="微软雅黑"/>
        <family val="0"/>
        <charset val="1"/>
      </rPr>
      <t xml:space="preserve">56</t>
    </r>
    <r>
      <rPr>
        <sz val="10"/>
        <rFont val="WenQuanYi Zen Hei"/>
        <family val="2"/>
      </rPr>
      <t xml:space="preserve">珠</t>
    </r>
    <r>
      <rPr>
        <sz val="10"/>
        <rFont val="微软雅黑"/>
        <family val="0"/>
        <charset val="1"/>
      </rPr>
      <t xml:space="preserve">19W</t>
    </r>
  </si>
  <si>
    <r>
      <rPr>
        <sz val="10"/>
        <rFont val="WenQuanYi Zen Hei"/>
        <family val="2"/>
      </rPr>
      <t xml:space="preserve">电动管道压接工具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枪式</t>
    </r>
  </si>
  <si>
    <r>
      <rPr>
        <sz val="10"/>
        <rFont val="WenQuanYi Zen Hei"/>
        <family val="2"/>
      </rPr>
      <t xml:space="preserve">往复锯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单手款</t>
    </r>
  </si>
  <si>
    <t xml:space="preserve">泡沫切割刀</t>
  </si>
  <si>
    <r>
      <rPr>
        <sz val="10"/>
        <rFont val="WenQuanYi Zen Hei"/>
        <family val="2"/>
      </rPr>
      <t xml:space="preserve">锂电泡沫切割刀</t>
    </r>
    <r>
      <rPr>
        <sz val="10"/>
        <rFont val="微软雅黑"/>
        <family val="0"/>
        <charset val="1"/>
      </rPr>
      <t xml:space="preserve">-7.5V</t>
    </r>
    <r>
      <rPr>
        <sz val="10"/>
        <rFont val="WenQuanYi Zen Hei"/>
        <family val="2"/>
      </rPr>
      <t xml:space="preserve">尾插款带适配器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</si>
  <si>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22.1%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20.0%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</si>
  <si>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冲击扳手</t>
    </r>
    <r>
      <rPr>
        <sz val="10"/>
        <rFont val="微软雅黑"/>
        <family val="0"/>
        <charset val="1"/>
      </rPr>
      <t xml:space="preserve">-1/2</t>
    </r>
    <r>
      <rPr>
        <sz val="10"/>
        <rFont val="WenQuanYi Zen Hei"/>
        <family val="2"/>
      </rPr>
      <t xml:space="preserve">英寸</t>
    </r>
    <r>
      <rPr>
        <sz val="10"/>
        <rFont val="微软雅黑"/>
        <family val="0"/>
        <charset val="1"/>
      </rPr>
      <t xml:space="preserve">900N</t>
    </r>
  </si>
  <si>
    <t xml:space="preserve">清洁刷</t>
  </si>
  <si>
    <r>
      <rPr>
        <sz val="10"/>
        <rFont val="WenQuanYi Zen Hei"/>
        <family val="2"/>
      </rPr>
      <t xml:space="preserve">单头清洁刷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裸机</t>
    </r>
    <r>
      <rPr>
        <sz val="10"/>
        <rFont val="微软雅黑"/>
        <family val="0"/>
        <charset val="1"/>
      </rPr>
      <t xml:space="preserve">8</t>
    </r>
    <r>
      <rPr>
        <sz val="10"/>
        <rFont val="WenQuanYi Zen Hei"/>
        <family val="2"/>
      </rPr>
      <t xml:space="preserve">个装刷头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</si>
  <si>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5.0%</t>
    </r>
    <r>
      <rPr>
        <sz val="10"/>
        <rFont val="WenQuanYi Zen Hei"/>
        <family val="2"/>
      </rPr>
      <t xml:space="preserve">，广告费率压到 </t>
    </r>
    <r>
      <rPr>
        <sz val="10"/>
        <rFont val="微软雅黑"/>
        <family val="0"/>
        <charset val="1"/>
      </rPr>
      <t xml:space="preserve">15.0% </t>
    </r>
    <r>
      <rPr>
        <sz val="10"/>
        <rFont val="WenQuanYi Zen Hei"/>
        <family val="2"/>
      </rPr>
      <t xml:space="preserve">以内：砍 </t>
    </r>
    <r>
      <rPr>
        <sz val="10"/>
        <rFont val="微软雅黑"/>
        <family val="0"/>
        <charset val="1"/>
      </rPr>
      <t xml:space="preserve">ACOS </t>
    </r>
    <r>
      <rPr>
        <sz val="10"/>
        <rFont val="WenQuanYi Zen Hei"/>
        <family val="2"/>
      </rPr>
      <t xml:space="preserve">超保本的词，</t>
    </r>
    <r>
      <rPr>
        <sz val="10"/>
        <rFont val="微软雅黑"/>
        <family val="0"/>
        <charset val="1"/>
      </rPr>
      <t xml:space="preserve">SB/SD </t>
    </r>
    <r>
      <rPr>
        <sz val="10"/>
        <rFont val="WenQuanYi Zen Hei"/>
        <family val="2"/>
      </rPr>
      <t xml:space="preserve">预算回收到 </t>
    </r>
    <r>
      <rPr>
        <sz val="10"/>
        <rFont val="微软雅黑"/>
        <family val="0"/>
        <charset val="1"/>
      </rPr>
      <t xml:space="preserve">SP </t>
    </r>
    <r>
      <rPr>
        <sz val="10"/>
        <rFont val="WenQuanYi Zen Hei"/>
        <family val="2"/>
      </rPr>
      <t xml:space="preserve">精准</t>
    </r>
  </si>
  <si>
    <r>
      <rPr>
        <sz val="10"/>
        <rFont val="WenQuanYi Zen Hei"/>
        <family val="2"/>
      </rPr>
      <t xml:space="preserve">手持吹叶机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无刷三速可旋转把手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</si>
  <si>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26.9%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-4.9%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</si>
  <si>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锂电池工作灯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三头支架款</t>
    </r>
  </si>
  <si>
    <r>
      <rPr>
        <sz val="10"/>
        <rFont val="WenQuanYi Zen Hei"/>
        <family val="2"/>
      </rPr>
      <t xml:space="preserve">冲击扳手</t>
    </r>
    <r>
      <rPr>
        <sz val="10"/>
        <rFont val="微软雅黑"/>
        <family val="0"/>
        <charset val="1"/>
      </rPr>
      <t xml:space="preserve">-1/2</t>
    </r>
    <r>
      <rPr>
        <sz val="10"/>
        <rFont val="WenQuanYi Zen Hei"/>
        <family val="2"/>
      </rPr>
      <t xml:space="preserve">英寸</t>
    </r>
    <r>
      <rPr>
        <sz val="10"/>
        <rFont val="微软雅黑"/>
        <family val="0"/>
        <charset val="1"/>
      </rPr>
      <t xml:space="preserve">1300N</t>
    </r>
  </si>
  <si>
    <t xml:space="preserve">磨刀器</t>
  </si>
  <si>
    <r>
      <rPr>
        <sz val="10"/>
        <rFont val="WenQuanYi Zen Hei"/>
        <family val="2"/>
      </rPr>
      <t xml:space="preserve">锂电磨刀器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尾插款</t>
    </r>
  </si>
  <si>
    <r>
      <rPr>
        <sz val="10"/>
        <rFont val="WenQuanYi Zen Hei"/>
        <family val="2"/>
      </rPr>
      <t xml:space="preserve">万用宝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裸机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</si>
  <si>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3.4%</t>
    </r>
    <r>
      <rPr>
        <sz val="10"/>
        <rFont val="WenQuanYi Zen Hei"/>
        <family val="2"/>
      </rPr>
      <t xml:space="preserve">，广告费率压到 </t>
    </r>
    <r>
      <rPr>
        <sz val="10"/>
        <rFont val="微软雅黑"/>
        <family val="0"/>
        <charset val="1"/>
      </rPr>
      <t xml:space="preserve">18.0% </t>
    </r>
    <r>
      <rPr>
        <sz val="10"/>
        <rFont val="WenQuanYi Zen Hei"/>
        <family val="2"/>
      </rPr>
      <t xml:space="preserve">以内：砍 </t>
    </r>
    <r>
      <rPr>
        <sz val="10"/>
        <rFont val="微软雅黑"/>
        <family val="0"/>
        <charset val="1"/>
      </rPr>
      <t xml:space="preserve">ACOS </t>
    </r>
    <r>
      <rPr>
        <sz val="10"/>
        <rFont val="WenQuanYi Zen Hei"/>
        <family val="2"/>
      </rPr>
      <t xml:space="preserve">超保本的词，</t>
    </r>
    <r>
      <rPr>
        <sz val="10"/>
        <rFont val="微软雅黑"/>
        <family val="0"/>
        <charset val="1"/>
      </rPr>
      <t xml:space="preserve">SB/SD </t>
    </r>
    <r>
      <rPr>
        <sz val="10"/>
        <rFont val="WenQuanYi Zen Hei"/>
        <family val="2"/>
      </rPr>
      <t xml:space="preserve">预算回收到 </t>
    </r>
    <r>
      <rPr>
        <sz val="10"/>
        <rFont val="微软雅黑"/>
        <family val="0"/>
        <charset val="1"/>
      </rPr>
      <t xml:space="preserve">SP </t>
    </r>
    <r>
      <rPr>
        <sz val="10"/>
        <rFont val="WenQuanYi Zen Hei"/>
        <family val="2"/>
      </rPr>
      <t xml:space="preserve">精准</t>
    </r>
  </si>
  <si>
    <r>
      <rPr>
        <sz val="10"/>
        <rFont val="WenQuanYi Zen Hei"/>
        <family val="2"/>
      </rPr>
      <t xml:space="preserve">大钉枪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两用有刷</t>
    </r>
  </si>
  <si>
    <t xml:space="preserve">铆钉枪</t>
  </si>
  <si>
    <r>
      <rPr>
        <sz val="10"/>
        <rFont val="WenQuanYi Zen Hei"/>
        <family val="2"/>
      </rPr>
      <t xml:space="preserve">铆钉枪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无刷铝钉</t>
    </r>
  </si>
  <si>
    <r>
      <rPr>
        <sz val="10"/>
        <rFont val="WenQuanYi Zen Hei"/>
        <family val="2"/>
      </rPr>
      <t xml:space="preserve">钉枪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大型两用款</t>
    </r>
  </si>
  <si>
    <t xml:space="preserve">平铺机</t>
  </si>
  <si>
    <r>
      <rPr>
        <sz val="10"/>
        <rFont val="WenQuanYi Zen Hei"/>
        <family val="2"/>
      </rPr>
      <t xml:space="preserve">平铺机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普通款</t>
    </r>
  </si>
  <si>
    <r>
      <rPr>
        <sz val="10"/>
        <rFont val="WenQuanYi Zen Hei"/>
        <family val="2"/>
      </rPr>
      <t xml:space="preserve">利润空间充足：月预算可上调至 </t>
    </r>
    <r>
      <rPr>
        <sz val="10"/>
        <rFont val="微软雅黑"/>
        <family val="0"/>
        <charset val="1"/>
      </rPr>
      <t xml:space="preserve">$885</t>
    </r>
    <r>
      <rPr>
        <sz val="10"/>
        <rFont val="WenQuanYi Zen Hei"/>
        <family val="2"/>
      </rPr>
      <t xml:space="preserve">（单月增幅 ≤</t>
    </r>
    <r>
      <rPr>
        <sz val="10"/>
        <rFont val="微软雅黑"/>
        <family val="0"/>
        <charset val="1"/>
      </rPr>
      <t xml:space="preserve">30%</t>
    </r>
    <r>
      <rPr>
        <sz val="10"/>
        <rFont val="WenQuanYi Zen Hei"/>
        <family val="2"/>
      </rPr>
      <t xml:space="preserve">），优先加精准词与 </t>
    </r>
    <r>
      <rPr>
        <sz val="10"/>
        <rFont val="微软雅黑"/>
        <family val="0"/>
        <charset val="1"/>
      </rPr>
      <t xml:space="preserve">SBV</t>
    </r>
  </si>
  <si>
    <t xml:space="preserve">石膏板切割机</t>
  </si>
  <si>
    <r>
      <rPr>
        <sz val="10"/>
        <rFont val="WenQuanYi Zen Hei"/>
        <family val="2"/>
      </rPr>
      <t xml:space="preserve">开孔机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六档调节</t>
    </r>
  </si>
  <si>
    <t xml:space="preserve">电锤钻</t>
  </si>
  <si>
    <r>
      <rPr>
        <sz val="10"/>
        <rFont val="WenQuanYi Zen Hei"/>
        <family val="2"/>
      </rPr>
      <t xml:space="preserve">电锤钻</t>
    </r>
    <r>
      <rPr>
        <sz val="10"/>
        <rFont val="微软雅黑"/>
        <family val="0"/>
        <charset val="1"/>
      </rPr>
      <t xml:space="preserve">-1</t>
    </r>
    <r>
      <rPr>
        <sz val="10"/>
        <rFont val="WenQuanYi Zen Hei"/>
        <family val="2"/>
      </rPr>
      <t xml:space="preserve">英寸</t>
    </r>
  </si>
  <si>
    <t xml:space="preserve">链锯</t>
  </si>
  <si>
    <r>
      <rPr>
        <sz val="10"/>
        <rFont val="WenQuanYi Zen Hei"/>
        <family val="2"/>
      </rPr>
      <t xml:space="preserve">电链锯</t>
    </r>
    <r>
      <rPr>
        <sz val="10"/>
        <rFont val="微软雅黑"/>
        <family val="0"/>
        <charset val="1"/>
      </rPr>
      <t xml:space="preserve">-6&amp;8</t>
    </r>
    <r>
      <rPr>
        <sz val="10"/>
        <rFont val="WenQuanYi Zen Hei"/>
        <family val="2"/>
      </rPr>
      <t xml:space="preserve">寸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</si>
  <si>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19.7%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17.8%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</si>
  <si>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角磨机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桨式开关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</si>
  <si>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22.4% </t>
    </r>
    <r>
      <rPr>
        <sz val="10"/>
        <rFont val="WenQuanYi Zen Hei"/>
        <family val="2"/>
      </rPr>
      <t xml:space="preserve">偏高（保本 </t>
    </r>
    <r>
      <rPr>
        <sz val="10"/>
        <rFont val="微软雅黑"/>
        <family val="0"/>
        <charset val="1"/>
      </rPr>
      <t xml:space="preserve">31.0%</t>
    </r>
    <r>
      <rPr>
        <sz val="10"/>
        <rFont val="WenQuanYi Zen Hei"/>
        <family val="2"/>
      </rPr>
      <t xml:space="preserve">）：砍高花费 </t>
    </r>
    <r>
      <rPr>
        <sz val="10"/>
        <rFont val="微软雅黑"/>
        <family val="0"/>
        <charset val="1"/>
      </rPr>
      <t xml:space="preserve">0 </t>
    </r>
    <r>
      <rPr>
        <sz val="10"/>
        <rFont val="WenQuanYi Zen Hei"/>
        <family val="2"/>
      </rPr>
      <t xml:space="preserve">单词和 </t>
    </r>
    <r>
      <rPr>
        <sz val="10"/>
        <rFont val="微软雅黑"/>
        <family val="0"/>
        <charset val="1"/>
      </rPr>
      <t xml:space="preserve">ACOS </t>
    </r>
    <r>
      <rPr>
        <sz val="10"/>
        <rFont val="WenQuanYi Zen Hei"/>
        <family val="2"/>
      </rPr>
      <t xml:space="preserve">超保本的投放，</t>
    </r>
    <r>
      <rPr>
        <sz val="10"/>
        <rFont val="微软雅黑"/>
        <family val="0"/>
        <charset val="1"/>
      </rPr>
      <t xml:space="preserve">4 </t>
    </r>
    <r>
      <rPr>
        <sz val="10"/>
        <rFont val="WenQuanYi Zen Hei"/>
        <family val="2"/>
      </rPr>
      <t xml:space="preserve">周内降到 </t>
    </r>
    <r>
      <rPr>
        <sz val="10"/>
        <rFont val="微软雅黑"/>
        <family val="0"/>
        <charset val="1"/>
      </rPr>
      <t xml:space="preserve">15.0%</t>
    </r>
    <r>
      <rPr>
        <sz val="10"/>
        <rFont val="WenQuanYi Zen Hei"/>
        <family val="2"/>
      </rPr>
      <t xml:space="preserve">；连续 </t>
    </r>
    <r>
      <rPr>
        <sz val="10"/>
        <rFont val="微软雅黑"/>
        <family val="0"/>
        <charset val="1"/>
      </rPr>
      <t xml:space="preserve">4 </t>
    </r>
    <r>
      <rPr>
        <sz val="10"/>
        <rFont val="WenQuanYi Zen Hei"/>
        <family val="2"/>
      </rPr>
      <t xml:space="preserve">周无改善转压缩</t>
    </r>
  </si>
  <si>
    <r>
      <rPr>
        <sz val="10"/>
        <rFont val="WenQuanYi Zen Hei"/>
        <family val="2"/>
      </rPr>
      <t xml:space="preserve">无绳风扇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落地式</t>
    </r>
    <r>
      <rPr>
        <sz val="10"/>
        <rFont val="微软雅黑"/>
        <family val="0"/>
        <charset val="1"/>
      </rPr>
      <t xml:space="preserve">10</t>
    </r>
    <r>
      <rPr>
        <sz val="10"/>
        <rFont val="WenQuanYi Zen Hei"/>
        <family val="2"/>
      </rPr>
      <t xml:space="preserve">寸款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</si>
  <si>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17.2%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13.6%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</si>
  <si>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t xml:space="preserve">直磨机</t>
  </si>
  <si>
    <r>
      <rPr>
        <sz val="10"/>
        <rFont val="WenQuanYi Zen Hei"/>
        <family val="2"/>
      </rPr>
      <t xml:space="preserve">直磨机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三档调节无刷电机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</si>
  <si>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20.3% </t>
    </r>
    <r>
      <rPr>
        <sz val="10"/>
        <rFont val="WenQuanYi Zen Hei"/>
        <family val="2"/>
      </rPr>
      <t xml:space="preserve">偏高（保本 </t>
    </r>
    <r>
      <rPr>
        <sz val="10"/>
        <rFont val="微软雅黑"/>
        <family val="0"/>
        <charset val="1"/>
      </rPr>
      <t xml:space="preserve">31.9%</t>
    </r>
    <r>
      <rPr>
        <sz val="10"/>
        <rFont val="WenQuanYi Zen Hei"/>
        <family val="2"/>
      </rPr>
      <t xml:space="preserve">）：砍高花费 </t>
    </r>
    <r>
      <rPr>
        <sz val="10"/>
        <rFont val="微软雅黑"/>
        <family val="0"/>
        <charset val="1"/>
      </rPr>
      <t xml:space="preserve">0 </t>
    </r>
    <r>
      <rPr>
        <sz val="10"/>
        <rFont val="WenQuanYi Zen Hei"/>
        <family val="2"/>
      </rPr>
      <t xml:space="preserve">单词和 </t>
    </r>
    <r>
      <rPr>
        <sz val="10"/>
        <rFont val="微软雅黑"/>
        <family val="0"/>
        <charset val="1"/>
      </rPr>
      <t xml:space="preserve">ACOS </t>
    </r>
    <r>
      <rPr>
        <sz val="10"/>
        <rFont val="WenQuanYi Zen Hei"/>
        <family val="2"/>
      </rPr>
      <t xml:space="preserve">超保本的投放，</t>
    </r>
    <r>
      <rPr>
        <sz val="10"/>
        <rFont val="微软雅黑"/>
        <family val="0"/>
        <charset val="1"/>
      </rPr>
      <t xml:space="preserve">4 </t>
    </r>
    <r>
      <rPr>
        <sz val="10"/>
        <rFont val="WenQuanYi Zen Hei"/>
        <family val="2"/>
      </rPr>
      <t xml:space="preserve">周内降到 </t>
    </r>
    <r>
      <rPr>
        <sz val="10"/>
        <rFont val="微软雅黑"/>
        <family val="0"/>
        <charset val="1"/>
      </rPr>
      <t xml:space="preserve">15.0%</t>
    </r>
    <r>
      <rPr>
        <sz val="10"/>
        <rFont val="WenQuanYi Zen Hei"/>
        <family val="2"/>
      </rPr>
      <t xml:space="preserve">；连续 </t>
    </r>
    <r>
      <rPr>
        <sz val="10"/>
        <rFont val="微软雅黑"/>
        <family val="0"/>
        <charset val="1"/>
      </rPr>
      <t xml:space="preserve">4 </t>
    </r>
    <r>
      <rPr>
        <sz val="10"/>
        <rFont val="WenQuanYi Zen Hei"/>
        <family val="2"/>
      </rPr>
      <t xml:space="preserve">周无改善转压缩</t>
    </r>
  </si>
  <si>
    <r>
      <rPr>
        <sz val="10"/>
        <rFont val="WenQuanYi Zen Hei"/>
        <family val="2"/>
      </rPr>
      <t xml:space="preserve">手持吹叶机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无刷两电一充套装</t>
    </r>
  </si>
  <si>
    <t xml:space="preserve">绿篱机</t>
  </si>
  <si>
    <r>
      <rPr>
        <sz val="10"/>
        <rFont val="WenQuanYi Zen Hei"/>
        <family val="2"/>
      </rPr>
      <t xml:space="preserve">高枝绿篱机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有刷</t>
    </r>
    <r>
      <rPr>
        <sz val="10"/>
        <rFont val="微软雅黑"/>
        <family val="0"/>
        <charset val="1"/>
      </rPr>
      <t xml:space="preserve">20</t>
    </r>
    <r>
      <rPr>
        <sz val="10"/>
        <rFont val="WenQuanYi Zen Hei"/>
        <family val="2"/>
      </rPr>
      <t xml:space="preserve">寸</t>
    </r>
  </si>
  <si>
    <r>
      <rPr>
        <sz val="10"/>
        <rFont val="WenQuanYi Zen Hei"/>
        <family val="2"/>
      </rPr>
      <t xml:space="preserve">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天销售环比 </t>
    </r>
    <r>
      <rPr>
        <sz val="10"/>
        <rFont val="微软雅黑"/>
        <family val="0"/>
        <charset val="1"/>
      </rPr>
      <t xml:space="preserve">-62%</t>
    </r>
    <r>
      <rPr>
        <sz val="10"/>
        <rFont val="WenQuanYi Zen Hei"/>
        <family val="2"/>
      </rPr>
      <t xml:space="preserve">，广告要跟着降：预算按近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天销售重算为 </t>
    </r>
    <r>
      <rPr>
        <sz val="10"/>
        <rFont val="微软雅黑"/>
        <family val="0"/>
        <charset val="1"/>
      </rPr>
      <t xml:space="preserve">$854/</t>
    </r>
    <r>
      <rPr>
        <sz val="10"/>
        <rFont val="WenQuanYi Zen Hei"/>
        <family val="2"/>
      </rPr>
      <t xml:space="preserve">月，排查排名、断货、差评或竞品降价</t>
    </r>
  </si>
  <si>
    <r>
      <rPr>
        <sz val="10"/>
        <rFont val="WenQuanYi Zen Hei"/>
        <family val="2"/>
      </rPr>
      <t xml:space="preserve">开孔机</t>
    </r>
    <r>
      <rPr>
        <sz val="10"/>
        <rFont val="微软雅黑"/>
        <family val="0"/>
        <charset val="1"/>
      </rPr>
      <t xml:space="preserve">-20V</t>
    </r>
  </si>
  <si>
    <r>
      <rPr>
        <sz val="10"/>
        <rFont val="WenQuanYi Zen Hei"/>
        <family val="2"/>
      </rPr>
      <t xml:space="preserve">支架灯</t>
    </r>
    <r>
      <rPr>
        <sz val="10"/>
        <rFont val="微软雅黑"/>
        <family val="0"/>
        <charset val="1"/>
      </rPr>
      <t xml:space="preserve">-1.6</t>
    </r>
    <r>
      <rPr>
        <sz val="10"/>
        <rFont val="WenQuanYi Zen Hei"/>
        <family val="2"/>
      </rPr>
      <t xml:space="preserve">米</t>
    </r>
  </si>
  <si>
    <r>
      <rPr>
        <sz val="10"/>
        <rFont val="WenQuanYi Zen Hei"/>
        <family val="2"/>
      </rPr>
      <t xml:space="preserve">无线电动刷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拖把</t>
    </r>
    <r>
      <rPr>
        <sz val="10"/>
        <rFont val="微软雅黑"/>
        <family val="0"/>
        <charset val="1"/>
      </rPr>
      <t xml:space="preserve">-1.0</t>
    </r>
    <r>
      <rPr>
        <sz val="10"/>
        <rFont val="WenQuanYi Zen Hei"/>
        <family val="2"/>
      </rPr>
      <t xml:space="preserve">双头裸机</t>
    </r>
  </si>
  <si>
    <t xml:space="preserve">金工配件</t>
  </si>
  <si>
    <r>
      <rPr>
        <sz val="10"/>
        <rFont val="WenQuanYi Zen Hei"/>
        <family val="2"/>
      </rPr>
      <t xml:space="preserve">多尺寸磨轮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五金四件套</t>
    </r>
  </si>
  <si>
    <t xml:space="preserve">喷漆枪</t>
  </si>
  <si>
    <r>
      <rPr>
        <sz val="10"/>
        <rFont val="WenQuanYi Zen Hei"/>
        <family val="2"/>
      </rPr>
      <t xml:space="preserve">喷漆器</t>
    </r>
    <r>
      <rPr>
        <sz val="10"/>
        <rFont val="微软雅黑"/>
        <family val="0"/>
        <charset val="1"/>
      </rPr>
      <t xml:space="preserve">-1200ml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</si>
  <si>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21.8%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19.5%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</si>
  <si>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冲击起子</t>
    </r>
    <r>
      <rPr>
        <sz val="10"/>
        <rFont val="微软雅黑"/>
        <family val="0"/>
        <charset val="1"/>
      </rPr>
      <t xml:space="preserve">-280N</t>
    </r>
    <r>
      <rPr>
        <sz val="10"/>
        <rFont val="WenQuanYi Zen Hei"/>
        <family val="2"/>
      </rPr>
      <t xml:space="preserve">无刷</t>
    </r>
  </si>
  <si>
    <r>
      <rPr>
        <sz val="10"/>
        <rFont val="WenQuanYi Zen Hei"/>
        <family val="2"/>
      </rPr>
      <t xml:space="preserve">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天销售环比 </t>
    </r>
    <r>
      <rPr>
        <sz val="10"/>
        <rFont val="微软雅黑"/>
        <family val="0"/>
        <charset val="1"/>
      </rPr>
      <t xml:space="preserve">-69%</t>
    </r>
    <r>
      <rPr>
        <sz val="10"/>
        <rFont val="WenQuanYi Zen Hei"/>
        <family val="2"/>
      </rPr>
      <t xml:space="preserve">，广告要跟着降：预算按近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天销售重算为 </t>
    </r>
    <r>
      <rPr>
        <sz val="10"/>
        <rFont val="微软雅黑"/>
        <family val="0"/>
        <charset val="1"/>
      </rPr>
      <t xml:space="preserve">$437/</t>
    </r>
    <r>
      <rPr>
        <sz val="10"/>
        <rFont val="WenQuanYi Zen Hei"/>
        <family val="2"/>
      </rPr>
      <t xml:space="preserve">月，排查排名、断货、差评或竞品降价</t>
    </r>
  </si>
  <si>
    <t xml:space="preserve">轨道砂光机</t>
  </si>
  <si>
    <r>
      <rPr>
        <sz val="10"/>
        <rFont val="WenQuanYi Zen Hei"/>
        <family val="2"/>
      </rPr>
      <t xml:space="preserve">皮带锉</t>
    </r>
    <r>
      <rPr>
        <sz val="10"/>
        <rFont val="微软雅黑"/>
        <family val="0"/>
        <charset val="1"/>
      </rPr>
      <t xml:space="preserve">-0.5*18</t>
    </r>
    <r>
      <rPr>
        <sz val="10"/>
        <rFont val="WenQuanYi Zen Hei"/>
        <family val="2"/>
      </rPr>
      <t xml:space="preserve">英寸</t>
    </r>
  </si>
  <si>
    <r>
      <rPr>
        <sz val="10"/>
        <rFont val="WenQuanYi Zen Hei"/>
        <family val="2"/>
      </rPr>
      <t xml:space="preserve">修边机</t>
    </r>
    <r>
      <rPr>
        <sz val="10"/>
        <rFont val="微软雅黑"/>
        <family val="0"/>
        <charset val="1"/>
      </rPr>
      <t xml:space="preserve">-15</t>
    </r>
    <r>
      <rPr>
        <sz val="10"/>
        <rFont val="WenQuanYi Zen Hei"/>
        <family val="2"/>
      </rPr>
      <t xml:space="preserve">件套刀头套装</t>
    </r>
  </si>
  <si>
    <r>
      <rPr>
        <sz val="10"/>
        <rFont val="WenQuanYi Zen Hei"/>
        <family val="2"/>
      </rPr>
      <t xml:space="preserve">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天销售环比 </t>
    </r>
    <r>
      <rPr>
        <sz val="10"/>
        <rFont val="微软雅黑"/>
        <family val="0"/>
        <charset val="1"/>
      </rPr>
      <t xml:space="preserve">-42%</t>
    </r>
    <r>
      <rPr>
        <sz val="10"/>
        <rFont val="WenQuanYi Zen Hei"/>
        <family val="2"/>
      </rPr>
      <t xml:space="preserve">，广告要跟着降：预算按近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天销售重算为 </t>
    </r>
    <r>
      <rPr>
        <sz val="10"/>
        <rFont val="微软雅黑"/>
        <family val="0"/>
        <charset val="1"/>
      </rPr>
      <t xml:space="preserve">$12/</t>
    </r>
    <r>
      <rPr>
        <sz val="10"/>
        <rFont val="WenQuanYi Zen Hei"/>
        <family val="2"/>
      </rPr>
      <t xml:space="preserve">月，排查排名、断货、差评或竞品降价</t>
    </r>
  </si>
  <si>
    <r>
      <rPr>
        <sz val="10"/>
        <rFont val="WenQuanYi Zen Hei"/>
        <family val="2"/>
      </rPr>
      <t xml:space="preserve">逆变器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双向</t>
    </r>
    <r>
      <rPr>
        <sz val="10"/>
        <rFont val="微软雅黑"/>
        <family val="0"/>
        <charset val="1"/>
      </rPr>
      <t xml:space="preserve">65W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</si>
  <si>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23.8%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20.6%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</si>
  <si>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热风枪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数显</t>
    </r>
    <r>
      <rPr>
        <sz val="10"/>
        <rFont val="微软雅黑"/>
        <family val="0"/>
        <charset val="1"/>
      </rPr>
      <t xml:space="preserve">600°C</t>
    </r>
  </si>
  <si>
    <r>
      <rPr>
        <sz val="10"/>
        <rFont val="WenQuanYi Zen Hei"/>
        <family val="2"/>
      </rPr>
      <t xml:space="preserve">绿篱机</t>
    </r>
    <r>
      <rPr>
        <sz val="10"/>
        <rFont val="微软雅黑"/>
        <family val="0"/>
        <charset val="1"/>
      </rPr>
      <t xml:space="preserve">-22</t>
    </r>
    <r>
      <rPr>
        <sz val="10"/>
        <rFont val="WenQuanYi Zen Hei"/>
        <family val="2"/>
      </rPr>
      <t xml:space="preserve">寸数显无刷</t>
    </r>
  </si>
  <si>
    <r>
      <rPr>
        <sz val="10"/>
        <rFont val="WenQuanYi Zen Hei"/>
        <family val="2"/>
      </rPr>
      <t xml:space="preserve">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天销售环比 </t>
    </r>
    <r>
      <rPr>
        <sz val="10"/>
        <rFont val="微软雅黑"/>
        <family val="0"/>
        <charset val="1"/>
      </rPr>
      <t xml:space="preserve">-100%</t>
    </r>
    <r>
      <rPr>
        <sz val="10"/>
        <rFont val="WenQuanYi Zen Hei"/>
        <family val="2"/>
      </rPr>
      <t xml:space="preserve">，广告要跟着降：预算按近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天销售重算为 </t>
    </r>
    <r>
      <rPr>
        <sz val="10"/>
        <rFont val="微软雅黑"/>
        <family val="0"/>
        <charset val="1"/>
      </rPr>
      <t xml:space="preserve">$0/</t>
    </r>
    <r>
      <rPr>
        <sz val="10"/>
        <rFont val="WenQuanYi Zen Hei"/>
        <family val="2"/>
      </rPr>
      <t xml:space="preserve">月，排查排名、断货、差评或竞品降价</t>
    </r>
  </si>
  <si>
    <r>
      <rPr>
        <sz val="10"/>
        <rFont val="WenQuanYi Zen Hei"/>
        <family val="2"/>
      </rPr>
      <t xml:space="preserve">热风枪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大屏数显</t>
    </r>
  </si>
  <si>
    <r>
      <rPr>
        <sz val="10"/>
        <rFont val="WenQuanYi Zen Hei"/>
        <family val="2"/>
      </rPr>
      <t xml:space="preserve">利润空间充足：月预算可上调至 </t>
    </r>
    <r>
      <rPr>
        <sz val="10"/>
        <rFont val="微软雅黑"/>
        <family val="0"/>
        <charset val="1"/>
      </rPr>
      <t xml:space="preserve">$872</t>
    </r>
    <r>
      <rPr>
        <sz val="10"/>
        <rFont val="WenQuanYi Zen Hei"/>
        <family val="2"/>
      </rPr>
      <t xml:space="preserve">（单月增幅 ≤</t>
    </r>
    <r>
      <rPr>
        <sz val="10"/>
        <rFont val="微软雅黑"/>
        <family val="0"/>
        <charset val="1"/>
      </rPr>
      <t xml:space="preserve">30%</t>
    </r>
    <r>
      <rPr>
        <sz val="10"/>
        <rFont val="WenQuanYi Zen Hei"/>
        <family val="2"/>
      </rPr>
      <t xml:space="preserve">），优先加精准词与 </t>
    </r>
    <r>
      <rPr>
        <sz val="10"/>
        <rFont val="微软雅黑"/>
        <family val="0"/>
        <charset val="1"/>
      </rPr>
      <t xml:space="preserve">SBV</t>
    </r>
  </si>
  <si>
    <r>
      <rPr>
        <sz val="10"/>
        <rFont val="WenQuanYi Zen Hei"/>
        <family val="2"/>
      </rPr>
      <t xml:space="preserve">角磨机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扁头角磨适配刀锋电池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</si>
  <si>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25.4% </t>
    </r>
    <r>
      <rPr>
        <sz val="10"/>
        <rFont val="WenQuanYi Zen Hei"/>
        <family val="2"/>
      </rPr>
      <t xml:space="preserve">偏高（保本 </t>
    </r>
    <r>
      <rPr>
        <sz val="10"/>
        <rFont val="微软雅黑"/>
        <family val="0"/>
        <charset val="1"/>
      </rPr>
      <t xml:space="preserve">31.3%</t>
    </r>
    <r>
      <rPr>
        <sz val="10"/>
        <rFont val="WenQuanYi Zen Hei"/>
        <family val="2"/>
      </rPr>
      <t xml:space="preserve">）：砍高花费 </t>
    </r>
    <r>
      <rPr>
        <sz val="10"/>
        <rFont val="微软雅黑"/>
        <family val="0"/>
        <charset val="1"/>
      </rPr>
      <t xml:space="preserve">0 </t>
    </r>
    <r>
      <rPr>
        <sz val="10"/>
        <rFont val="WenQuanYi Zen Hei"/>
        <family val="2"/>
      </rPr>
      <t xml:space="preserve">单词和 </t>
    </r>
    <r>
      <rPr>
        <sz val="10"/>
        <rFont val="微软雅黑"/>
        <family val="0"/>
        <charset val="1"/>
      </rPr>
      <t xml:space="preserve">ACOS </t>
    </r>
    <r>
      <rPr>
        <sz val="10"/>
        <rFont val="WenQuanYi Zen Hei"/>
        <family val="2"/>
      </rPr>
      <t xml:space="preserve">超保本的投放，</t>
    </r>
    <r>
      <rPr>
        <sz val="10"/>
        <rFont val="微软雅黑"/>
        <family val="0"/>
        <charset val="1"/>
      </rPr>
      <t xml:space="preserve">4 </t>
    </r>
    <r>
      <rPr>
        <sz val="10"/>
        <rFont val="WenQuanYi Zen Hei"/>
        <family val="2"/>
      </rPr>
      <t xml:space="preserve">周内降到 </t>
    </r>
    <r>
      <rPr>
        <sz val="10"/>
        <rFont val="微软雅黑"/>
        <family val="0"/>
        <charset val="1"/>
      </rPr>
      <t xml:space="preserve">15.0%</t>
    </r>
    <r>
      <rPr>
        <sz val="10"/>
        <rFont val="WenQuanYi Zen Hei"/>
        <family val="2"/>
      </rPr>
      <t xml:space="preserve">；连续 </t>
    </r>
    <r>
      <rPr>
        <sz val="10"/>
        <rFont val="微软雅黑"/>
        <family val="0"/>
        <charset val="1"/>
      </rPr>
      <t xml:space="preserve">4 </t>
    </r>
    <r>
      <rPr>
        <sz val="10"/>
        <rFont val="WenQuanYi Zen Hei"/>
        <family val="2"/>
      </rPr>
      <t xml:space="preserve">周无改善转压缩</t>
    </r>
  </si>
  <si>
    <r>
      <rPr>
        <sz val="10"/>
        <rFont val="WenQuanYi Zen Hei"/>
        <family val="2"/>
      </rPr>
      <t xml:space="preserve">支架灯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支架高</t>
    </r>
    <r>
      <rPr>
        <sz val="10"/>
        <rFont val="微软雅黑"/>
        <family val="0"/>
        <charset val="1"/>
      </rPr>
      <t xml:space="preserve">1.6</t>
    </r>
    <r>
      <rPr>
        <sz val="10"/>
        <rFont val="WenQuanYi Zen Hei"/>
        <family val="2"/>
      </rPr>
      <t xml:space="preserve">米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</si>
  <si>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32.0%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27.8%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</si>
  <si>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逆变器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双向</t>
    </r>
    <r>
      <rPr>
        <sz val="10"/>
        <rFont val="微软雅黑"/>
        <family val="0"/>
        <charset val="1"/>
      </rPr>
      <t xml:space="preserve">100W</t>
    </r>
  </si>
  <si>
    <r>
      <rPr>
        <sz val="10"/>
        <rFont val="WenQuanYi Zen Hei"/>
        <family val="2"/>
      </rPr>
      <t xml:space="preserve">利润空间充足：月预算可上调至 </t>
    </r>
    <r>
      <rPr>
        <sz val="10"/>
        <rFont val="微软雅黑"/>
        <family val="0"/>
        <charset val="1"/>
      </rPr>
      <t xml:space="preserve">$579</t>
    </r>
    <r>
      <rPr>
        <sz val="10"/>
        <rFont val="WenQuanYi Zen Hei"/>
        <family val="2"/>
      </rPr>
      <t xml:space="preserve">（单月增幅 ≤</t>
    </r>
    <r>
      <rPr>
        <sz val="10"/>
        <rFont val="微软雅黑"/>
        <family val="0"/>
        <charset val="1"/>
      </rPr>
      <t xml:space="preserve">30%</t>
    </r>
    <r>
      <rPr>
        <sz val="10"/>
        <rFont val="WenQuanYi Zen Hei"/>
        <family val="2"/>
      </rPr>
      <t xml:space="preserve">），优先加精准词与 </t>
    </r>
    <r>
      <rPr>
        <sz val="10"/>
        <rFont val="微软雅黑"/>
        <family val="0"/>
        <charset val="1"/>
      </rPr>
      <t xml:space="preserve">SBV</t>
    </r>
  </si>
  <si>
    <r>
      <rPr>
        <sz val="10"/>
        <rFont val="WenQuanYi Zen Hei"/>
        <family val="2"/>
      </rPr>
      <t xml:space="preserve">小电钻</t>
    </r>
    <r>
      <rPr>
        <sz val="10"/>
        <rFont val="微软雅黑"/>
        <family val="0"/>
        <charset val="1"/>
      </rPr>
      <t xml:space="preserve">-13mm</t>
    </r>
  </si>
  <si>
    <r>
      <rPr>
        <sz val="10"/>
        <rFont val="WenQuanYi Zen Hei"/>
        <family val="2"/>
      </rPr>
      <t xml:space="preserve">角磨机</t>
    </r>
    <r>
      <rPr>
        <sz val="10"/>
        <rFont val="微软雅黑"/>
        <family val="0"/>
        <charset val="1"/>
      </rPr>
      <t xml:space="preserve">-M14</t>
    </r>
    <r>
      <rPr>
        <sz val="10"/>
        <rFont val="WenQuanYi Zen Hei"/>
        <family val="2"/>
      </rPr>
      <t xml:space="preserve">芯轴</t>
    </r>
    <r>
      <rPr>
        <sz val="10"/>
        <rFont val="微软雅黑"/>
        <family val="0"/>
        <charset val="1"/>
      </rPr>
      <t xml:space="preserve">12.5cm</t>
    </r>
    <r>
      <rPr>
        <sz val="10"/>
        <rFont val="WenQuanYi Zen Hei"/>
        <family val="2"/>
      </rPr>
      <t xml:space="preserve">角磨片</t>
    </r>
  </si>
  <si>
    <r>
      <rPr>
        <sz val="10"/>
        <rFont val="WenQuanYi Zen Hei"/>
        <family val="2"/>
      </rPr>
      <t xml:space="preserve">利润空间充足：月预算可上调至 </t>
    </r>
    <r>
      <rPr>
        <sz val="10"/>
        <rFont val="微软雅黑"/>
        <family val="0"/>
        <charset val="1"/>
      </rPr>
      <t xml:space="preserve">$1,367</t>
    </r>
    <r>
      <rPr>
        <sz val="10"/>
        <rFont val="WenQuanYi Zen Hei"/>
        <family val="2"/>
      </rPr>
      <t xml:space="preserve">（单月增幅 ≤</t>
    </r>
    <r>
      <rPr>
        <sz val="10"/>
        <rFont val="微软雅黑"/>
        <family val="0"/>
        <charset val="1"/>
      </rPr>
      <t xml:space="preserve">30%</t>
    </r>
    <r>
      <rPr>
        <sz val="10"/>
        <rFont val="WenQuanYi Zen Hei"/>
        <family val="2"/>
      </rPr>
      <t xml:space="preserve">），优先加精准词与 </t>
    </r>
    <r>
      <rPr>
        <sz val="10"/>
        <rFont val="微软雅黑"/>
        <family val="0"/>
        <charset val="1"/>
      </rPr>
      <t xml:space="preserve">SBV</t>
    </r>
  </si>
  <si>
    <t xml:space="preserve">棘轮扳手</t>
  </si>
  <si>
    <r>
      <rPr>
        <sz val="10"/>
        <rFont val="WenQuanYi Zen Hei"/>
        <family val="2"/>
      </rPr>
      <t xml:space="preserve">棘轮扳手</t>
    </r>
    <r>
      <rPr>
        <sz val="10"/>
        <rFont val="微软雅黑"/>
        <family val="0"/>
        <charset val="1"/>
      </rPr>
      <t xml:space="preserve">-20V</t>
    </r>
    <r>
      <rPr>
        <sz val="10"/>
        <rFont val="WenQuanYi Zen Hei"/>
        <family val="2"/>
      </rPr>
      <t xml:space="preserve">常规款</t>
    </r>
  </si>
  <si>
    <t xml:space="preserve">砂光机</t>
  </si>
  <si>
    <r>
      <rPr>
        <sz val="10"/>
        <rFont val="WenQuanYi Zen Hei"/>
        <family val="2"/>
      </rPr>
      <t xml:space="preserve">圆砂机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手持式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</si>
  <si>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0.7%</t>
    </r>
    <r>
      <rPr>
        <sz val="10"/>
        <rFont val="WenQuanYi Zen Hei"/>
        <family val="2"/>
      </rPr>
      <t xml:space="preserve">，广告费率压到 </t>
    </r>
    <r>
      <rPr>
        <sz val="10"/>
        <rFont val="微软雅黑"/>
        <family val="0"/>
        <charset val="1"/>
      </rPr>
      <t xml:space="preserve">10.1% </t>
    </r>
    <r>
      <rPr>
        <sz val="10"/>
        <rFont val="WenQuanYi Zen Hei"/>
        <family val="2"/>
      </rPr>
      <t xml:space="preserve">以内：砍 </t>
    </r>
    <r>
      <rPr>
        <sz val="10"/>
        <rFont val="微软雅黑"/>
        <family val="0"/>
        <charset val="1"/>
      </rPr>
      <t xml:space="preserve">ACOS </t>
    </r>
    <r>
      <rPr>
        <sz val="10"/>
        <rFont val="WenQuanYi Zen Hei"/>
        <family val="2"/>
      </rPr>
      <t xml:space="preserve">超保本的词，</t>
    </r>
    <r>
      <rPr>
        <sz val="10"/>
        <rFont val="微软雅黑"/>
        <family val="0"/>
        <charset val="1"/>
      </rPr>
      <t xml:space="preserve">SB/SD </t>
    </r>
    <r>
      <rPr>
        <sz val="10"/>
        <rFont val="WenQuanYi Zen Hei"/>
        <family val="2"/>
      </rPr>
      <t xml:space="preserve">预算回收到 </t>
    </r>
    <r>
      <rPr>
        <sz val="10"/>
        <rFont val="微软雅黑"/>
        <family val="0"/>
        <charset val="1"/>
      </rPr>
      <t xml:space="preserve">SP </t>
    </r>
    <r>
      <rPr>
        <sz val="10"/>
        <rFont val="WenQuanYi Zen Hei"/>
        <family val="2"/>
      </rPr>
      <t xml:space="preserve">精准</t>
    </r>
  </si>
  <si>
    <r>
      <rPr>
        <sz val="10"/>
        <rFont val="WenQuanYi Zen Hei"/>
        <family val="2"/>
      </rPr>
      <t xml:space="preserve">无绳泛光灯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多色温款</t>
    </r>
  </si>
  <si>
    <r>
      <rPr>
        <sz val="10"/>
        <rFont val="WenQuanYi Zen Hei"/>
        <family val="2"/>
      </rPr>
      <t xml:space="preserve">新品保本期：广告费率不超过 </t>
    </r>
    <r>
      <rPr>
        <sz val="10"/>
        <rFont val="微软雅黑"/>
        <family val="0"/>
        <charset val="1"/>
      </rPr>
      <t xml:space="preserve">25.0%</t>
    </r>
    <r>
      <rPr>
        <sz val="10"/>
        <rFont val="WenQuanYi Zen Hei"/>
        <family val="2"/>
      </rPr>
      <t xml:space="preserve">（保本 </t>
    </r>
    <r>
      <rPr>
        <sz val="10"/>
        <rFont val="微软雅黑"/>
        <family val="0"/>
        <charset val="1"/>
      </rPr>
      <t xml:space="preserve">29.8%</t>
    </r>
    <r>
      <rPr>
        <sz val="10"/>
        <rFont val="WenQuanYi Zen Hei"/>
        <family val="2"/>
      </rPr>
      <t xml:space="preserve">）；</t>
    </r>
    <r>
      <rPr>
        <sz val="10"/>
        <rFont val="微软雅黑"/>
        <family val="0"/>
        <charset val="1"/>
      </rPr>
      <t xml:space="preserve">90 </t>
    </r>
    <r>
      <rPr>
        <sz val="10"/>
        <rFont val="WenQuanYi Zen Hei"/>
        <family val="2"/>
      </rPr>
      <t xml:space="preserve">天内净毛利未到 </t>
    </r>
    <r>
      <rPr>
        <sz val="10"/>
        <rFont val="微软雅黑"/>
        <family val="0"/>
        <charset val="1"/>
      </rPr>
      <t xml:space="preserve">5% </t>
    </r>
    <r>
      <rPr>
        <sz val="10"/>
        <rFont val="WenQuanYi Zen Hei"/>
        <family val="2"/>
      </rPr>
      <t xml:space="preserve">转入压缩</t>
    </r>
  </si>
  <si>
    <r>
      <rPr>
        <sz val="10"/>
        <rFont val="WenQuanYi Zen Hei"/>
        <family val="2"/>
      </rPr>
      <t xml:space="preserve">修边机</t>
    </r>
    <r>
      <rPr>
        <sz val="10"/>
        <rFont val="微软雅黑"/>
        <family val="0"/>
        <charset val="1"/>
      </rPr>
      <t xml:space="preserve">-15pcs</t>
    </r>
    <r>
      <rPr>
        <sz val="10"/>
        <rFont val="WenQuanYi Zen Hei"/>
        <family val="2"/>
      </rPr>
      <t xml:space="preserve">铣刀</t>
    </r>
    <r>
      <rPr>
        <sz val="10"/>
        <rFont val="微软雅黑"/>
        <family val="0"/>
        <charset val="1"/>
      </rPr>
      <t xml:space="preserve">+</t>
    </r>
    <r>
      <rPr>
        <sz val="10"/>
        <rFont val="WenQuanYi Zen Hei"/>
        <family val="2"/>
      </rPr>
      <t xml:space="preserve">双手手柄附件套装</t>
    </r>
  </si>
  <si>
    <r>
      <rPr>
        <sz val="10"/>
        <rFont val="WenQuanYi Zen Hei"/>
        <family val="2"/>
      </rPr>
      <t xml:space="preserve">新品保本期：广告费率不超过 </t>
    </r>
    <r>
      <rPr>
        <sz val="10"/>
        <rFont val="微软雅黑"/>
        <family val="0"/>
        <charset val="1"/>
      </rPr>
      <t xml:space="preserve">13.2%</t>
    </r>
    <r>
      <rPr>
        <sz val="10"/>
        <rFont val="WenQuanYi Zen Hei"/>
        <family val="2"/>
      </rPr>
      <t xml:space="preserve">（保本 </t>
    </r>
    <r>
      <rPr>
        <sz val="10"/>
        <rFont val="微软雅黑"/>
        <family val="0"/>
        <charset val="1"/>
      </rPr>
      <t xml:space="preserve">13.2%</t>
    </r>
    <r>
      <rPr>
        <sz val="10"/>
        <rFont val="WenQuanYi Zen Hei"/>
        <family val="2"/>
      </rPr>
      <t xml:space="preserve">）；</t>
    </r>
    <r>
      <rPr>
        <sz val="10"/>
        <rFont val="微软雅黑"/>
        <family val="0"/>
        <charset val="1"/>
      </rPr>
      <t xml:space="preserve">90 </t>
    </r>
    <r>
      <rPr>
        <sz val="10"/>
        <rFont val="WenQuanYi Zen Hei"/>
        <family val="2"/>
      </rPr>
      <t xml:space="preserve">天内净毛利未到 </t>
    </r>
    <r>
      <rPr>
        <sz val="10"/>
        <rFont val="微软雅黑"/>
        <family val="0"/>
        <charset val="1"/>
      </rPr>
      <t xml:space="preserve">5% </t>
    </r>
    <r>
      <rPr>
        <sz val="10"/>
        <rFont val="WenQuanYi Zen Hei"/>
        <family val="2"/>
      </rPr>
      <t xml:space="preserve">转入压缩</t>
    </r>
  </si>
  <si>
    <r>
      <rPr>
        <sz val="10"/>
        <rFont val="WenQuanYi Zen Hei"/>
        <family val="2"/>
      </rPr>
      <t xml:space="preserve">锂电油泵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手提自动款</t>
    </r>
    <r>
      <rPr>
        <sz val="10"/>
        <rFont val="微软雅黑"/>
        <family val="0"/>
        <charset val="1"/>
      </rPr>
      <t xml:space="preserve">3.2GPM3</t>
    </r>
    <r>
      <rPr>
        <sz val="10"/>
        <rFont val="WenQuanYi Zen Hei"/>
        <family val="2"/>
      </rPr>
      <t xml:space="preserve">个适配器</t>
    </r>
  </si>
  <si>
    <r>
      <rPr>
        <sz val="10"/>
        <rFont val="WenQuanYi Zen Hei"/>
        <family val="2"/>
      </rPr>
      <t xml:space="preserve">曲线锯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有刷拨盘款</t>
    </r>
  </si>
  <si>
    <r>
      <rPr>
        <sz val="10"/>
        <rFont val="WenQuanYi Zen Hei"/>
        <family val="2"/>
      </rPr>
      <t xml:space="preserve">掌上钉枪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配一盒钉子</t>
    </r>
  </si>
  <si>
    <r>
      <rPr>
        <sz val="10"/>
        <rFont val="WenQuanYi Zen Hei"/>
        <family val="2"/>
      </rPr>
      <t xml:space="preserve">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天销售环比 </t>
    </r>
    <r>
      <rPr>
        <sz val="10"/>
        <rFont val="微软雅黑"/>
        <family val="0"/>
        <charset val="1"/>
      </rPr>
      <t xml:space="preserve">-47%</t>
    </r>
    <r>
      <rPr>
        <sz val="10"/>
        <rFont val="WenQuanYi Zen Hei"/>
        <family val="2"/>
      </rPr>
      <t xml:space="preserve">，广告要跟着降：预算按近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天销售重算为 </t>
    </r>
    <r>
      <rPr>
        <sz val="10"/>
        <rFont val="微软雅黑"/>
        <family val="0"/>
        <charset val="1"/>
      </rPr>
      <t xml:space="preserve">$373/</t>
    </r>
    <r>
      <rPr>
        <sz val="10"/>
        <rFont val="WenQuanYi Zen Hei"/>
        <family val="2"/>
      </rPr>
      <t xml:space="preserve">月，排查排名、断货、差评或竞品降价</t>
    </r>
  </si>
  <si>
    <r>
      <rPr>
        <sz val="10"/>
        <rFont val="WenQuanYi Zen Hei"/>
        <family val="2"/>
      </rPr>
      <t xml:space="preserve">冲击起子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无刷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</si>
  <si>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23.5% </t>
    </r>
    <r>
      <rPr>
        <sz val="10"/>
        <rFont val="WenQuanYi Zen Hei"/>
        <family val="2"/>
      </rPr>
      <t xml:space="preserve">偏高（保本 </t>
    </r>
    <r>
      <rPr>
        <sz val="10"/>
        <rFont val="微软雅黑"/>
        <family val="0"/>
        <charset val="1"/>
      </rPr>
      <t xml:space="preserve">45.5%</t>
    </r>
    <r>
      <rPr>
        <sz val="10"/>
        <rFont val="WenQuanYi Zen Hei"/>
        <family val="2"/>
      </rPr>
      <t xml:space="preserve">）：砍高花费 </t>
    </r>
    <r>
      <rPr>
        <sz val="10"/>
        <rFont val="微软雅黑"/>
        <family val="0"/>
        <charset val="1"/>
      </rPr>
      <t xml:space="preserve">0 </t>
    </r>
    <r>
      <rPr>
        <sz val="10"/>
        <rFont val="WenQuanYi Zen Hei"/>
        <family val="2"/>
      </rPr>
      <t xml:space="preserve">单词和 </t>
    </r>
    <r>
      <rPr>
        <sz val="10"/>
        <rFont val="微软雅黑"/>
        <family val="0"/>
        <charset val="1"/>
      </rPr>
      <t xml:space="preserve">ACOS </t>
    </r>
    <r>
      <rPr>
        <sz val="10"/>
        <rFont val="WenQuanYi Zen Hei"/>
        <family val="2"/>
      </rPr>
      <t xml:space="preserve">超保本的投放，</t>
    </r>
    <r>
      <rPr>
        <sz val="10"/>
        <rFont val="微软雅黑"/>
        <family val="0"/>
        <charset val="1"/>
      </rPr>
      <t xml:space="preserve">4 </t>
    </r>
    <r>
      <rPr>
        <sz val="10"/>
        <rFont val="WenQuanYi Zen Hei"/>
        <family val="2"/>
      </rPr>
      <t xml:space="preserve">周内降到 </t>
    </r>
    <r>
      <rPr>
        <sz val="10"/>
        <rFont val="微软雅黑"/>
        <family val="0"/>
        <charset val="1"/>
      </rPr>
      <t xml:space="preserve">18.0%</t>
    </r>
    <r>
      <rPr>
        <sz val="10"/>
        <rFont val="WenQuanYi Zen Hei"/>
        <family val="2"/>
      </rPr>
      <t xml:space="preserve">；连续 </t>
    </r>
    <r>
      <rPr>
        <sz val="10"/>
        <rFont val="微软雅黑"/>
        <family val="0"/>
        <charset val="1"/>
      </rPr>
      <t xml:space="preserve">4 </t>
    </r>
    <r>
      <rPr>
        <sz val="10"/>
        <rFont val="WenQuanYi Zen Hei"/>
        <family val="2"/>
      </rPr>
      <t xml:space="preserve">周无改善转压缩</t>
    </r>
  </si>
  <si>
    <r>
      <rPr>
        <sz val="10"/>
        <rFont val="WenQuanYi Zen Hei"/>
        <family val="2"/>
      </rPr>
      <t xml:space="preserve">电链锯</t>
    </r>
    <r>
      <rPr>
        <sz val="10"/>
        <rFont val="微软雅黑"/>
        <family val="0"/>
        <charset val="1"/>
      </rPr>
      <t xml:space="preserve">-16</t>
    </r>
    <r>
      <rPr>
        <sz val="10"/>
        <rFont val="WenQuanYi Zen Hei"/>
        <family val="2"/>
      </rPr>
      <t xml:space="preserve">寸</t>
    </r>
  </si>
  <si>
    <r>
      <rPr>
        <sz val="10"/>
        <rFont val="WenQuanYi Zen Hei"/>
        <family val="2"/>
      </rPr>
      <t xml:space="preserve">新品保本期：广告费率不超过 </t>
    </r>
    <r>
      <rPr>
        <sz val="10"/>
        <rFont val="微软雅黑"/>
        <family val="0"/>
        <charset val="1"/>
      </rPr>
      <t xml:space="preserve">5.2%</t>
    </r>
    <r>
      <rPr>
        <sz val="10"/>
        <rFont val="WenQuanYi Zen Hei"/>
        <family val="2"/>
      </rPr>
      <t xml:space="preserve">（保本 </t>
    </r>
    <r>
      <rPr>
        <sz val="10"/>
        <rFont val="微软雅黑"/>
        <family val="0"/>
        <charset val="1"/>
      </rPr>
      <t xml:space="preserve">5.2%</t>
    </r>
    <r>
      <rPr>
        <sz val="10"/>
        <rFont val="WenQuanYi Zen Hei"/>
        <family val="2"/>
      </rPr>
      <t xml:space="preserve">）；</t>
    </r>
    <r>
      <rPr>
        <sz val="10"/>
        <rFont val="微软雅黑"/>
        <family val="0"/>
        <charset val="1"/>
      </rPr>
      <t xml:space="preserve">90 </t>
    </r>
    <r>
      <rPr>
        <sz val="10"/>
        <rFont val="WenQuanYi Zen Hei"/>
        <family val="2"/>
      </rPr>
      <t xml:space="preserve">天内净毛利未到 </t>
    </r>
    <r>
      <rPr>
        <sz val="10"/>
        <rFont val="微软雅黑"/>
        <family val="0"/>
        <charset val="1"/>
      </rPr>
      <t xml:space="preserve">5% </t>
    </r>
    <r>
      <rPr>
        <sz val="10"/>
        <rFont val="WenQuanYi Zen Hei"/>
        <family val="2"/>
      </rPr>
      <t xml:space="preserve">转入压缩</t>
    </r>
  </si>
  <si>
    <r>
      <rPr>
        <sz val="10"/>
        <rFont val="WenQuanYi Zen Hei"/>
        <family val="2"/>
      </rPr>
      <t xml:space="preserve">支架灯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单头</t>
    </r>
    <r>
      <rPr>
        <sz val="10"/>
        <rFont val="微软雅黑"/>
        <family val="0"/>
        <charset val="1"/>
      </rPr>
      <t xml:space="preserve">1.6</t>
    </r>
    <r>
      <rPr>
        <sz val="10"/>
        <rFont val="WenQuanYi Zen Hei"/>
        <family val="2"/>
      </rPr>
      <t xml:space="preserve">米</t>
    </r>
    <r>
      <rPr>
        <sz val="10"/>
        <rFont val="微软雅黑"/>
        <family val="0"/>
        <charset val="1"/>
      </rPr>
      <t xml:space="preserve">AC</t>
    </r>
  </si>
  <si>
    <r>
      <rPr>
        <sz val="10"/>
        <rFont val="WenQuanYi Zen Hei"/>
        <family val="2"/>
      </rPr>
      <t xml:space="preserve">修枝剪</t>
    </r>
    <r>
      <rPr>
        <sz val="10"/>
        <rFont val="微软雅黑"/>
        <family val="0"/>
        <charset val="1"/>
      </rPr>
      <t xml:space="preserve">-3.0cm</t>
    </r>
  </si>
  <si>
    <t xml:space="preserve">旋转工具</t>
  </si>
  <si>
    <r>
      <rPr>
        <sz val="10"/>
        <rFont val="WenQuanYi Zen Hei"/>
        <family val="2"/>
      </rPr>
      <t xml:space="preserve">多功能旋转工具</t>
    </r>
    <r>
      <rPr>
        <sz val="10"/>
        <rFont val="微软雅黑"/>
        <family val="0"/>
        <charset val="1"/>
      </rPr>
      <t xml:space="preserve">-20000</t>
    </r>
    <r>
      <rPr>
        <sz val="10"/>
        <rFont val="WenQuanYi Zen Hei"/>
        <family val="2"/>
      </rPr>
      <t xml:space="preserve">转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</si>
  <si>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4.8%</t>
    </r>
    <r>
      <rPr>
        <sz val="10"/>
        <rFont val="WenQuanYi Zen Hei"/>
        <family val="2"/>
      </rPr>
      <t xml:space="preserve">，广告费率压到 </t>
    </r>
    <r>
      <rPr>
        <sz val="10"/>
        <rFont val="微软雅黑"/>
        <family val="0"/>
        <charset val="1"/>
      </rPr>
      <t xml:space="preserve">15.0% </t>
    </r>
    <r>
      <rPr>
        <sz val="10"/>
        <rFont val="WenQuanYi Zen Hei"/>
        <family val="2"/>
      </rPr>
      <t xml:space="preserve">以内：砍 </t>
    </r>
    <r>
      <rPr>
        <sz val="10"/>
        <rFont val="微软雅黑"/>
        <family val="0"/>
        <charset val="1"/>
      </rPr>
      <t xml:space="preserve">ACOS </t>
    </r>
    <r>
      <rPr>
        <sz val="10"/>
        <rFont val="WenQuanYi Zen Hei"/>
        <family val="2"/>
      </rPr>
      <t xml:space="preserve">超保本的词，</t>
    </r>
    <r>
      <rPr>
        <sz val="10"/>
        <rFont val="微软雅黑"/>
        <family val="0"/>
        <charset val="1"/>
      </rPr>
      <t xml:space="preserve">SB/SD </t>
    </r>
    <r>
      <rPr>
        <sz val="10"/>
        <rFont val="WenQuanYi Zen Hei"/>
        <family val="2"/>
      </rPr>
      <t xml:space="preserve">预算回收到 </t>
    </r>
    <r>
      <rPr>
        <sz val="10"/>
        <rFont val="微软雅黑"/>
        <family val="0"/>
        <charset val="1"/>
      </rPr>
      <t xml:space="preserve">SP </t>
    </r>
    <r>
      <rPr>
        <sz val="10"/>
        <rFont val="WenQuanYi Zen Hei"/>
        <family val="2"/>
      </rPr>
      <t xml:space="preserve">精准</t>
    </r>
  </si>
  <si>
    <t xml:space="preserve">黄油枪配件</t>
  </si>
  <si>
    <r>
      <rPr>
        <sz val="10"/>
        <rFont val="WenQuanYi Zen Hei"/>
        <family val="2"/>
      </rPr>
      <t xml:space="preserve">黄油枪耦合器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不带电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</si>
  <si>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44.6%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41.7%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</si>
  <si>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t xml:space="preserve">干墙螺丝枪</t>
  </si>
  <si>
    <r>
      <rPr>
        <sz val="10"/>
        <rFont val="WenQuanYi Zen Hei"/>
        <family val="2"/>
      </rPr>
      <t xml:space="preserve">石膏板螺丝枪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裸机</t>
    </r>
  </si>
  <si>
    <t xml:space="preserve">管道疏通机</t>
  </si>
  <si>
    <r>
      <rPr>
        <sz val="10"/>
        <rFont val="WenQuanYi Zen Hei"/>
        <family val="2"/>
      </rPr>
      <t xml:space="preserve">马桶吸盘</t>
    </r>
    <r>
      <rPr>
        <sz val="10"/>
        <rFont val="微软雅黑"/>
        <family val="0"/>
        <charset val="1"/>
      </rPr>
      <t xml:space="preserve">-6</t>
    </r>
    <r>
      <rPr>
        <sz val="10"/>
        <rFont val="WenQuanYi Zen Hei"/>
        <family val="2"/>
      </rPr>
      <t xml:space="preserve">个配件装数显款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</si>
  <si>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0.5%</t>
    </r>
    <r>
      <rPr>
        <sz val="10"/>
        <rFont val="WenQuanYi Zen Hei"/>
        <family val="2"/>
      </rPr>
      <t xml:space="preserve">，广告费率压到 </t>
    </r>
    <r>
      <rPr>
        <sz val="10"/>
        <rFont val="微软雅黑"/>
        <family val="0"/>
        <charset val="1"/>
      </rPr>
      <t xml:space="preserve">12.5% </t>
    </r>
    <r>
      <rPr>
        <sz val="10"/>
        <rFont val="WenQuanYi Zen Hei"/>
        <family val="2"/>
      </rPr>
      <t xml:space="preserve">以内：砍 </t>
    </r>
    <r>
      <rPr>
        <sz val="10"/>
        <rFont val="微软雅黑"/>
        <family val="0"/>
        <charset val="1"/>
      </rPr>
      <t xml:space="preserve">ACOS </t>
    </r>
    <r>
      <rPr>
        <sz val="10"/>
        <rFont val="WenQuanYi Zen Hei"/>
        <family val="2"/>
      </rPr>
      <t xml:space="preserve">超保本的词，</t>
    </r>
    <r>
      <rPr>
        <sz val="10"/>
        <rFont val="微软雅黑"/>
        <family val="0"/>
        <charset val="1"/>
      </rPr>
      <t xml:space="preserve">SB/SD </t>
    </r>
    <r>
      <rPr>
        <sz val="10"/>
        <rFont val="WenQuanYi Zen Hei"/>
        <family val="2"/>
      </rPr>
      <t xml:space="preserve">预算回收到 </t>
    </r>
    <r>
      <rPr>
        <sz val="10"/>
        <rFont val="微软雅黑"/>
        <family val="0"/>
        <charset val="1"/>
      </rPr>
      <t xml:space="preserve">SP </t>
    </r>
    <r>
      <rPr>
        <sz val="10"/>
        <rFont val="WenQuanYi Zen Hei"/>
        <family val="2"/>
      </rPr>
      <t xml:space="preserve">精准</t>
    </r>
  </si>
  <si>
    <r>
      <rPr>
        <sz val="10"/>
        <rFont val="WenQuanYi Zen Hei"/>
        <family val="2"/>
      </rPr>
      <t xml:space="preserve">电磁辐射检测仪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数显款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</si>
  <si>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20.5%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20.5%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</si>
  <si>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微耕机</t>
    </r>
    <r>
      <rPr>
        <sz val="10"/>
        <rFont val="微软雅黑"/>
        <family val="0"/>
        <charset val="1"/>
      </rPr>
      <t xml:space="preserve">-500W</t>
    </r>
    <r>
      <rPr>
        <sz val="10"/>
        <rFont val="WenQuanYi Zen Hei"/>
        <family val="2"/>
      </rPr>
      <t xml:space="preserve">有刷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</si>
  <si>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11.5%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-25.4%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</si>
  <si>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切割机</t>
    </r>
    <r>
      <rPr>
        <sz val="10"/>
        <rFont val="微软雅黑"/>
        <family val="0"/>
        <charset val="1"/>
      </rPr>
      <t xml:space="preserve">-3</t>
    </r>
    <r>
      <rPr>
        <sz val="10"/>
        <rFont val="WenQuanYi Zen Hei"/>
        <family val="2"/>
      </rPr>
      <t xml:space="preserve">寸无刷款</t>
    </r>
  </si>
  <si>
    <r>
      <rPr>
        <sz val="10"/>
        <rFont val="WenQuanYi Zen Hei"/>
        <family val="2"/>
      </rPr>
      <t xml:space="preserve">支架灯</t>
    </r>
    <r>
      <rPr>
        <sz val="10"/>
        <rFont val="微软雅黑"/>
        <family val="0"/>
        <charset val="1"/>
      </rPr>
      <t xml:space="preserve">-AC4</t>
    </r>
    <r>
      <rPr>
        <sz val="10"/>
        <rFont val="WenQuanYi Zen Hei"/>
        <family val="2"/>
      </rPr>
      <t xml:space="preserve">个装单头支架高</t>
    </r>
    <r>
      <rPr>
        <sz val="10"/>
        <rFont val="微软雅黑"/>
        <family val="0"/>
        <charset val="1"/>
      </rPr>
      <t xml:space="preserve">1.6</t>
    </r>
    <r>
      <rPr>
        <sz val="10"/>
        <rFont val="WenQuanYi Zen Hei"/>
        <family val="2"/>
      </rPr>
      <t xml:space="preserve">米</t>
    </r>
  </si>
  <si>
    <r>
      <rPr>
        <sz val="10"/>
        <rFont val="WenQuanYi Zen Hei"/>
        <family val="2"/>
      </rPr>
      <t xml:space="preserve">吹尘枪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四档调节</t>
    </r>
  </si>
  <si>
    <r>
      <rPr>
        <sz val="10"/>
        <rFont val="WenQuanYi Zen Hei"/>
        <family val="2"/>
      </rPr>
      <t xml:space="preserve">万用宝锯片机</t>
    </r>
    <r>
      <rPr>
        <sz val="10"/>
        <rFont val="微软雅黑"/>
        <family val="0"/>
        <charset val="1"/>
      </rPr>
      <t xml:space="preserve">-6</t>
    </r>
    <r>
      <rPr>
        <sz val="10"/>
        <rFont val="WenQuanYi Zen Hei"/>
        <family val="2"/>
      </rPr>
      <t xml:space="preserve">档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加规</t>
    </r>
  </si>
  <si>
    <r>
      <rPr>
        <sz val="10"/>
        <rFont val="WenQuanYi Zen Hei"/>
        <family val="2"/>
      </rPr>
      <t xml:space="preserve">铁皮剪刀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附小扳手套件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</si>
  <si>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21.7% </t>
    </r>
    <r>
      <rPr>
        <sz val="10"/>
        <rFont val="WenQuanYi Zen Hei"/>
        <family val="2"/>
      </rPr>
      <t xml:space="preserve">偏高（保本 </t>
    </r>
    <r>
      <rPr>
        <sz val="10"/>
        <rFont val="微软雅黑"/>
        <family val="0"/>
        <charset val="1"/>
      </rPr>
      <t xml:space="preserve">27.0%</t>
    </r>
    <r>
      <rPr>
        <sz val="10"/>
        <rFont val="WenQuanYi Zen Hei"/>
        <family val="2"/>
      </rPr>
      <t xml:space="preserve">）：砍高花费 </t>
    </r>
    <r>
      <rPr>
        <sz val="10"/>
        <rFont val="微软雅黑"/>
        <family val="0"/>
        <charset val="1"/>
      </rPr>
      <t xml:space="preserve">0 </t>
    </r>
    <r>
      <rPr>
        <sz val="10"/>
        <rFont val="WenQuanYi Zen Hei"/>
        <family val="2"/>
      </rPr>
      <t xml:space="preserve">单词和 </t>
    </r>
    <r>
      <rPr>
        <sz val="10"/>
        <rFont val="微软雅黑"/>
        <family val="0"/>
        <charset val="1"/>
      </rPr>
      <t xml:space="preserve">ACOS </t>
    </r>
    <r>
      <rPr>
        <sz val="10"/>
        <rFont val="WenQuanYi Zen Hei"/>
        <family val="2"/>
      </rPr>
      <t xml:space="preserve">超保本的投放，</t>
    </r>
    <r>
      <rPr>
        <sz val="10"/>
        <rFont val="微软雅黑"/>
        <family val="0"/>
        <charset val="1"/>
      </rPr>
      <t xml:space="preserve">4 </t>
    </r>
    <r>
      <rPr>
        <sz val="10"/>
        <rFont val="WenQuanYi Zen Hei"/>
        <family val="2"/>
      </rPr>
      <t xml:space="preserve">周内降到 </t>
    </r>
    <r>
      <rPr>
        <sz val="10"/>
        <rFont val="微软雅黑"/>
        <family val="0"/>
        <charset val="1"/>
      </rPr>
      <t xml:space="preserve">15.0%</t>
    </r>
    <r>
      <rPr>
        <sz val="10"/>
        <rFont val="WenQuanYi Zen Hei"/>
        <family val="2"/>
      </rPr>
      <t xml:space="preserve">；连续 </t>
    </r>
    <r>
      <rPr>
        <sz val="10"/>
        <rFont val="微软雅黑"/>
        <family val="0"/>
        <charset val="1"/>
      </rPr>
      <t xml:space="preserve">4 </t>
    </r>
    <r>
      <rPr>
        <sz val="10"/>
        <rFont val="WenQuanYi Zen Hei"/>
        <family val="2"/>
      </rPr>
      <t xml:space="preserve">周无改善转压缩</t>
    </r>
  </si>
  <si>
    <r>
      <rPr>
        <sz val="10"/>
        <rFont val="WenQuanYi Zen Hei"/>
        <family val="2"/>
      </rPr>
      <t xml:space="preserve">卧式水泵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大流量款水油泵两用</t>
    </r>
  </si>
  <si>
    <r>
      <rPr>
        <sz val="10"/>
        <rFont val="WenQuanYi Zen Hei"/>
        <family val="2"/>
      </rPr>
      <t xml:space="preserve">新品保本期：广告费率不超过 </t>
    </r>
    <r>
      <rPr>
        <sz val="10"/>
        <rFont val="微软雅黑"/>
        <family val="0"/>
        <charset val="1"/>
      </rPr>
      <t xml:space="preserve">13.9%</t>
    </r>
    <r>
      <rPr>
        <sz val="10"/>
        <rFont val="WenQuanYi Zen Hei"/>
        <family val="2"/>
      </rPr>
      <t xml:space="preserve">（保本 </t>
    </r>
    <r>
      <rPr>
        <sz val="10"/>
        <rFont val="微软雅黑"/>
        <family val="0"/>
        <charset val="1"/>
      </rPr>
      <t xml:space="preserve">13.9%</t>
    </r>
    <r>
      <rPr>
        <sz val="10"/>
        <rFont val="WenQuanYi Zen Hei"/>
        <family val="2"/>
      </rPr>
      <t xml:space="preserve">）；</t>
    </r>
    <r>
      <rPr>
        <sz val="10"/>
        <rFont val="微软雅黑"/>
        <family val="0"/>
        <charset val="1"/>
      </rPr>
      <t xml:space="preserve">90 </t>
    </r>
    <r>
      <rPr>
        <sz val="10"/>
        <rFont val="WenQuanYi Zen Hei"/>
        <family val="2"/>
      </rPr>
      <t xml:space="preserve">天内净毛利未到 </t>
    </r>
    <r>
      <rPr>
        <sz val="10"/>
        <rFont val="微软雅黑"/>
        <family val="0"/>
        <charset val="1"/>
      </rPr>
      <t xml:space="preserve">5% </t>
    </r>
    <r>
      <rPr>
        <sz val="10"/>
        <rFont val="WenQuanYi Zen Hei"/>
        <family val="2"/>
      </rPr>
      <t xml:space="preserve">转入压缩</t>
    </r>
  </si>
  <si>
    <r>
      <rPr>
        <sz val="10"/>
        <rFont val="WenQuanYi Zen Hei"/>
        <family val="2"/>
      </rPr>
      <t xml:space="preserve">角磨机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套装款</t>
    </r>
  </si>
  <si>
    <r>
      <rPr>
        <sz val="10"/>
        <rFont val="WenQuanYi Zen Hei"/>
        <family val="2"/>
      </rPr>
      <t xml:space="preserve">曲线锯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无刷直柄款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</si>
  <si>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10.9%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7.8%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</si>
  <si>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高枝锯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两用无刷</t>
    </r>
    <r>
      <rPr>
        <sz val="10"/>
        <rFont val="微软雅黑"/>
        <family val="0"/>
        <charset val="1"/>
      </rPr>
      <t xml:space="preserve">8</t>
    </r>
    <r>
      <rPr>
        <sz val="10"/>
        <rFont val="WenQuanYi Zen Hei"/>
        <family val="2"/>
      </rPr>
      <t xml:space="preserve">寸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</si>
  <si>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13.2%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3.4%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</si>
  <si>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t xml:space="preserve">暴风机</t>
  </si>
  <si>
    <r>
      <rPr>
        <sz val="10"/>
        <rFont val="WenQuanYi Zen Hei"/>
        <family val="2"/>
      </rPr>
      <t xml:space="preserve">暴风机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普通款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</si>
  <si>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16.6%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10.9%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</si>
  <si>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t xml:space="preserve">汽车配件</t>
  </si>
  <si>
    <r>
      <rPr>
        <sz val="10"/>
        <rFont val="WenQuanYi Zen Hei"/>
        <family val="2"/>
      </rPr>
      <t xml:space="preserve">汽车排气管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单层不锈钢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无品牌</t>
    </r>
  </si>
  <si>
    <r>
      <rPr>
        <sz val="10"/>
        <rFont val="WenQuanYi Zen Hei"/>
        <family val="2"/>
      </rPr>
      <t xml:space="preserve">利润空间充足：月预算可上调至 </t>
    </r>
    <r>
      <rPr>
        <sz val="10"/>
        <rFont val="微软雅黑"/>
        <family val="0"/>
        <charset val="1"/>
      </rPr>
      <t xml:space="preserve">$704</t>
    </r>
    <r>
      <rPr>
        <sz val="10"/>
        <rFont val="WenQuanYi Zen Hei"/>
        <family val="2"/>
      </rPr>
      <t xml:space="preserve">（单月增幅 ≤</t>
    </r>
    <r>
      <rPr>
        <sz val="10"/>
        <rFont val="微软雅黑"/>
        <family val="0"/>
        <charset val="1"/>
      </rPr>
      <t xml:space="preserve">30%</t>
    </r>
    <r>
      <rPr>
        <sz val="10"/>
        <rFont val="WenQuanYi Zen Hei"/>
        <family val="2"/>
      </rPr>
      <t xml:space="preserve">），优先加精准词与 </t>
    </r>
    <r>
      <rPr>
        <sz val="10"/>
        <rFont val="微软雅黑"/>
        <family val="0"/>
        <charset val="1"/>
      </rPr>
      <t xml:space="preserve">SBV</t>
    </r>
  </si>
  <si>
    <t xml:space="preserve">直角钻</t>
  </si>
  <si>
    <r>
      <rPr>
        <sz val="10"/>
        <rFont val="WenQuanYi Zen Hei"/>
        <family val="2"/>
      </rPr>
      <t xml:space="preserve">转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直角钻</t>
    </r>
    <r>
      <rPr>
        <sz val="10"/>
        <rFont val="微软雅黑"/>
        <family val="0"/>
        <charset val="1"/>
      </rPr>
      <t xml:space="preserve">-20V</t>
    </r>
  </si>
  <si>
    <r>
      <rPr>
        <sz val="10"/>
        <rFont val="WenQuanYi Zen Hei"/>
        <family val="2"/>
      </rPr>
      <t xml:space="preserve">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天销售环比 </t>
    </r>
    <r>
      <rPr>
        <sz val="10"/>
        <rFont val="微软雅黑"/>
        <family val="0"/>
        <charset val="1"/>
      </rPr>
      <t xml:space="preserve">-92%</t>
    </r>
    <r>
      <rPr>
        <sz val="10"/>
        <rFont val="WenQuanYi Zen Hei"/>
        <family val="2"/>
      </rPr>
      <t xml:space="preserve">，广告要跟着降：预算按近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天销售重算为 </t>
    </r>
    <r>
      <rPr>
        <sz val="10"/>
        <rFont val="微软雅黑"/>
        <family val="0"/>
        <charset val="1"/>
      </rPr>
      <t xml:space="preserve">$100/</t>
    </r>
    <r>
      <rPr>
        <sz val="10"/>
        <rFont val="WenQuanYi Zen Hei"/>
        <family val="2"/>
      </rPr>
      <t xml:space="preserve">月，排查排名、断货、差评或竞品降价</t>
    </r>
  </si>
  <si>
    <t xml:space="preserve">热熔胶枪</t>
  </si>
  <si>
    <r>
      <rPr>
        <sz val="10"/>
        <rFont val="WenQuanYi Zen Hei"/>
        <family val="2"/>
      </rPr>
      <t xml:space="preserve">热熔胶枪</t>
    </r>
    <r>
      <rPr>
        <sz val="10"/>
        <rFont val="微软雅黑"/>
        <family val="0"/>
        <charset val="1"/>
      </rPr>
      <t xml:space="preserve">-30</t>
    </r>
    <r>
      <rPr>
        <sz val="10"/>
        <rFont val="WenQuanYi Zen Hei"/>
        <family val="2"/>
      </rPr>
      <t xml:space="preserve">根胶棒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</si>
  <si>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24.4%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22.5%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</si>
  <si>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冲击扳手</t>
    </r>
    <r>
      <rPr>
        <sz val="10"/>
        <rFont val="微软雅黑"/>
        <family val="0"/>
        <charset val="1"/>
      </rPr>
      <t xml:space="preserve">-1/2</t>
    </r>
    <r>
      <rPr>
        <sz val="10"/>
        <rFont val="WenQuanYi Zen Hei"/>
        <family val="2"/>
      </rPr>
      <t xml:space="preserve">英寸</t>
    </r>
    <r>
      <rPr>
        <sz val="10"/>
        <rFont val="微软雅黑"/>
        <family val="0"/>
        <charset val="1"/>
      </rPr>
      <t xml:space="preserve">340N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</si>
  <si>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4.0%</t>
    </r>
    <r>
      <rPr>
        <sz val="10"/>
        <rFont val="WenQuanYi Zen Hei"/>
        <family val="2"/>
      </rPr>
      <t xml:space="preserve">，广告费率压到 </t>
    </r>
    <r>
      <rPr>
        <sz val="10"/>
        <rFont val="微软雅黑"/>
        <family val="0"/>
        <charset val="1"/>
      </rPr>
      <t xml:space="preserve">10.9% </t>
    </r>
    <r>
      <rPr>
        <sz val="10"/>
        <rFont val="WenQuanYi Zen Hei"/>
        <family val="2"/>
      </rPr>
      <t xml:space="preserve">以内：砍 </t>
    </r>
    <r>
      <rPr>
        <sz val="10"/>
        <rFont val="微软雅黑"/>
        <family val="0"/>
        <charset val="1"/>
      </rPr>
      <t xml:space="preserve">ACOS </t>
    </r>
    <r>
      <rPr>
        <sz val="10"/>
        <rFont val="WenQuanYi Zen Hei"/>
        <family val="2"/>
      </rPr>
      <t xml:space="preserve">超保本的词，</t>
    </r>
    <r>
      <rPr>
        <sz val="10"/>
        <rFont val="微软雅黑"/>
        <family val="0"/>
        <charset val="1"/>
      </rPr>
      <t xml:space="preserve">SB/SD </t>
    </r>
    <r>
      <rPr>
        <sz val="10"/>
        <rFont val="WenQuanYi Zen Hei"/>
        <family val="2"/>
      </rPr>
      <t xml:space="preserve">预算回收到 </t>
    </r>
    <r>
      <rPr>
        <sz val="10"/>
        <rFont val="微软雅黑"/>
        <family val="0"/>
        <charset val="1"/>
      </rPr>
      <t xml:space="preserve">SP </t>
    </r>
    <r>
      <rPr>
        <sz val="10"/>
        <rFont val="WenQuanYi Zen Hei"/>
        <family val="2"/>
      </rPr>
      <t xml:space="preserve">精准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</si>
  <si>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21.8%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20.0%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</si>
  <si>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往复锯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双手</t>
    </r>
    <r>
      <rPr>
        <sz val="10"/>
        <rFont val="微软雅黑"/>
        <family val="0"/>
        <charset val="1"/>
      </rPr>
      <t xml:space="preserve">1-1/8</t>
    </r>
    <r>
      <rPr>
        <sz val="10"/>
        <rFont val="WenQuanYi Zen Hei"/>
        <family val="2"/>
      </rPr>
      <t xml:space="preserve">英寸</t>
    </r>
  </si>
  <si>
    <r>
      <rPr>
        <sz val="10"/>
        <rFont val="WenQuanYi Zen Hei"/>
        <family val="2"/>
      </rPr>
      <t xml:space="preserve">新品保本期：广告费率不超过 </t>
    </r>
    <r>
      <rPr>
        <sz val="10"/>
        <rFont val="微软雅黑"/>
        <family val="0"/>
        <charset val="1"/>
      </rPr>
      <t xml:space="preserve">11.2%</t>
    </r>
    <r>
      <rPr>
        <sz val="10"/>
        <rFont val="WenQuanYi Zen Hei"/>
        <family val="2"/>
      </rPr>
      <t xml:space="preserve">（保本 </t>
    </r>
    <r>
      <rPr>
        <sz val="10"/>
        <rFont val="微软雅黑"/>
        <family val="0"/>
        <charset val="1"/>
      </rPr>
      <t xml:space="preserve">11.2%</t>
    </r>
    <r>
      <rPr>
        <sz val="10"/>
        <rFont val="WenQuanYi Zen Hei"/>
        <family val="2"/>
      </rPr>
      <t xml:space="preserve">）；</t>
    </r>
    <r>
      <rPr>
        <sz val="10"/>
        <rFont val="微软雅黑"/>
        <family val="0"/>
        <charset val="1"/>
      </rPr>
      <t xml:space="preserve">90 </t>
    </r>
    <r>
      <rPr>
        <sz val="10"/>
        <rFont val="WenQuanYi Zen Hei"/>
        <family val="2"/>
      </rPr>
      <t xml:space="preserve">天内净毛利未到 </t>
    </r>
    <r>
      <rPr>
        <sz val="10"/>
        <rFont val="微软雅黑"/>
        <family val="0"/>
        <charset val="1"/>
      </rPr>
      <t xml:space="preserve">5% </t>
    </r>
    <r>
      <rPr>
        <sz val="10"/>
        <rFont val="WenQuanYi Zen Hei"/>
        <family val="2"/>
      </rPr>
      <t xml:space="preserve">转入压缩</t>
    </r>
  </si>
  <si>
    <t xml:space="preserve">管剪</t>
  </si>
  <si>
    <r>
      <rPr>
        <sz val="10"/>
        <rFont val="WenQuanYi Zen Hei"/>
        <family val="2"/>
      </rPr>
      <t xml:space="preserve">塑料</t>
    </r>
    <r>
      <rPr>
        <sz val="10"/>
        <rFont val="微软雅黑"/>
        <family val="0"/>
        <charset val="1"/>
      </rPr>
      <t xml:space="preserve">PVC</t>
    </r>
    <r>
      <rPr>
        <sz val="10"/>
        <rFont val="WenQuanYi Zen Hei"/>
        <family val="2"/>
      </rPr>
      <t xml:space="preserve">管剪</t>
    </r>
    <r>
      <rPr>
        <sz val="10"/>
        <rFont val="微软雅黑"/>
        <family val="0"/>
        <charset val="1"/>
      </rPr>
      <t xml:space="preserve">-32mm</t>
    </r>
  </si>
  <si>
    <r>
      <rPr>
        <sz val="10"/>
        <rFont val="WenQuanYi Zen Hei"/>
        <family val="2"/>
      </rPr>
      <t xml:space="preserve">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天销售环比 </t>
    </r>
    <r>
      <rPr>
        <sz val="10"/>
        <rFont val="微软雅黑"/>
        <family val="0"/>
        <charset val="1"/>
      </rPr>
      <t xml:space="preserve">-37%</t>
    </r>
    <r>
      <rPr>
        <sz val="10"/>
        <rFont val="WenQuanYi Zen Hei"/>
        <family val="2"/>
      </rPr>
      <t xml:space="preserve">，广告要跟着降：预算按近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天销售重算为 </t>
    </r>
    <r>
      <rPr>
        <sz val="10"/>
        <rFont val="微软雅黑"/>
        <family val="0"/>
        <charset val="1"/>
      </rPr>
      <t xml:space="preserve">$392/</t>
    </r>
    <r>
      <rPr>
        <sz val="10"/>
        <rFont val="WenQuanYi Zen Hei"/>
        <family val="2"/>
      </rPr>
      <t xml:space="preserve">月，排查排名、断货、差评或竞品降价</t>
    </r>
  </si>
  <si>
    <r>
      <rPr>
        <sz val="10"/>
        <rFont val="WenQuanYi Zen Hei"/>
        <family val="2"/>
      </rPr>
      <t xml:space="preserve">曲线锯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激光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锯条</t>
    </r>
    <r>
      <rPr>
        <sz val="10"/>
        <rFont val="微软雅黑"/>
        <family val="0"/>
        <charset val="1"/>
      </rPr>
      <t xml:space="preserve">*6</t>
    </r>
  </si>
  <si>
    <t xml:space="preserve">拔草机</t>
  </si>
  <si>
    <r>
      <rPr>
        <sz val="10"/>
        <rFont val="WenQuanYi Zen Hei"/>
        <family val="2"/>
      </rPr>
      <t xml:space="preserve">拔草机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直插款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</si>
  <si>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29.4%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-4.3%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</si>
  <si>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风扇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双开关</t>
    </r>
    <r>
      <rPr>
        <sz val="10"/>
        <rFont val="微软雅黑"/>
        <family val="0"/>
        <charset val="1"/>
      </rPr>
      <t xml:space="preserve">6</t>
    </r>
    <r>
      <rPr>
        <sz val="10"/>
        <rFont val="WenQuanYi Zen Hei"/>
        <family val="2"/>
      </rPr>
      <t xml:space="preserve">寸两档调节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</si>
  <si>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15.2%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5.5%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</si>
  <si>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热熔胶枪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调温款</t>
    </r>
  </si>
  <si>
    <r>
      <rPr>
        <sz val="10"/>
        <rFont val="WenQuanYi Zen Hei"/>
        <family val="2"/>
      </rPr>
      <t xml:space="preserve">锂电油泵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卧式款</t>
    </r>
  </si>
  <si>
    <r>
      <rPr>
        <sz val="10"/>
        <rFont val="微软雅黑"/>
        <family val="0"/>
        <charset val="1"/>
      </rPr>
      <t xml:space="preserve">DIY</t>
    </r>
    <r>
      <rPr>
        <sz val="10"/>
        <rFont val="WenQuanYi Zen Hei"/>
        <family val="2"/>
      </rPr>
      <t xml:space="preserve">配件</t>
    </r>
  </si>
  <si>
    <r>
      <rPr>
        <sz val="10"/>
        <rFont val="WenQuanYi Zen Hei"/>
        <family val="2"/>
      </rPr>
      <t xml:space="preserve">摄影支架适配器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测试款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</si>
  <si>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133.0%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12.7%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</si>
  <si>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0.2%</t>
    </r>
    <r>
      <rPr>
        <sz val="10"/>
        <rFont val="WenQuanYi Zen Hei"/>
        <family val="2"/>
      </rPr>
      <t xml:space="preserve">，广告费率压到 </t>
    </r>
    <r>
      <rPr>
        <sz val="10"/>
        <rFont val="微软雅黑"/>
        <family val="0"/>
        <charset val="1"/>
      </rPr>
      <t xml:space="preserve">11.1% </t>
    </r>
    <r>
      <rPr>
        <sz val="10"/>
        <rFont val="WenQuanYi Zen Hei"/>
        <family val="2"/>
      </rPr>
      <t xml:space="preserve">以内：砍 </t>
    </r>
    <r>
      <rPr>
        <sz val="10"/>
        <rFont val="微软雅黑"/>
        <family val="0"/>
        <charset val="1"/>
      </rPr>
      <t xml:space="preserve">ACOS </t>
    </r>
    <r>
      <rPr>
        <sz val="10"/>
        <rFont val="WenQuanYi Zen Hei"/>
        <family val="2"/>
      </rPr>
      <t xml:space="preserve">超保本的词，</t>
    </r>
    <r>
      <rPr>
        <sz val="10"/>
        <rFont val="微软雅黑"/>
        <family val="0"/>
        <charset val="1"/>
      </rPr>
      <t xml:space="preserve">SB/SD </t>
    </r>
    <r>
      <rPr>
        <sz val="10"/>
        <rFont val="WenQuanYi Zen Hei"/>
        <family val="2"/>
      </rPr>
      <t xml:space="preserve">预算回收到 </t>
    </r>
    <r>
      <rPr>
        <sz val="10"/>
        <rFont val="微软雅黑"/>
        <family val="0"/>
        <charset val="1"/>
      </rPr>
      <t xml:space="preserve">SP </t>
    </r>
    <r>
      <rPr>
        <sz val="10"/>
        <rFont val="WenQuanYi Zen Hei"/>
        <family val="2"/>
      </rPr>
      <t xml:space="preserve">精准</t>
    </r>
  </si>
  <si>
    <r>
      <rPr>
        <sz val="10"/>
        <rFont val="WenQuanYi Zen Hei"/>
        <family val="2"/>
      </rPr>
      <t xml:space="preserve">电锤钻</t>
    </r>
    <r>
      <rPr>
        <sz val="10"/>
        <rFont val="微软雅黑"/>
        <family val="0"/>
        <charset val="1"/>
      </rPr>
      <t xml:space="preserve">-2.5</t>
    </r>
    <r>
      <rPr>
        <sz val="10"/>
        <rFont val="WenQuanYi Zen Hei"/>
        <family val="2"/>
      </rPr>
      <t xml:space="preserve">焦耳</t>
    </r>
  </si>
  <si>
    <r>
      <rPr>
        <sz val="10"/>
        <rFont val="WenQuanYi Zen Hei"/>
        <family val="2"/>
      </rPr>
      <t xml:space="preserve">利润空间充足：月预算可上调至 </t>
    </r>
    <r>
      <rPr>
        <sz val="10"/>
        <rFont val="微软雅黑"/>
        <family val="0"/>
        <charset val="1"/>
      </rPr>
      <t xml:space="preserve">$241</t>
    </r>
    <r>
      <rPr>
        <sz val="10"/>
        <rFont val="WenQuanYi Zen Hei"/>
        <family val="2"/>
      </rPr>
      <t xml:space="preserve">（单月增幅 ≤</t>
    </r>
    <r>
      <rPr>
        <sz val="10"/>
        <rFont val="微软雅黑"/>
        <family val="0"/>
        <charset val="1"/>
      </rPr>
      <t xml:space="preserve">30%</t>
    </r>
    <r>
      <rPr>
        <sz val="10"/>
        <rFont val="WenQuanYi Zen Hei"/>
        <family val="2"/>
      </rPr>
      <t xml:space="preserve">），优先加精准词与 </t>
    </r>
    <r>
      <rPr>
        <sz val="10"/>
        <rFont val="微软雅黑"/>
        <family val="0"/>
        <charset val="1"/>
      </rPr>
      <t xml:space="preserve">SBV</t>
    </r>
  </si>
  <si>
    <r>
      <rPr>
        <sz val="10"/>
        <rFont val="WenQuanYi Zen Hei"/>
        <family val="2"/>
      </rPr>
      <t xml:space="preserve">角磨机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基础款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</si>
  <si>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24.0%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14.7%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</si>
  <si>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小支架投光灯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普通款</t>
    </r>
  </si>
  <si>
    <r>
      <rPr>
        <sz val="10"/>
        <rFont val="WenQuanYi Zen Hei"/>
        <family val="2"/>
      </rPr>
      <t xml:space="preserve">无线电动刷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拖把</t>
    </r>
    <r>
      <rPr>
        <sz val="10"/>
        <rFont val="微软雅黑"/>
        <family val="0"/>
        <charset val="1"/>
      </rPr>
      <t xml:space="preserve">-1.0</t>
    </r>
    <r>
      <rPr>
        <sz val="10"/>
        <rFont val="WenQuanYi Zen Hei"/>
        <family val="2"/>
      </rPr>
      <t xml:space="preserve">双头整机两电一充蓝黑色电池</t>
    </r>
  </si>
  <si>
    <r>
      <rPr>
        <sz val="10"/>
        <rFont val="WenQuanYi Zen Hei"/>
        <family val="2"/>
      </rPr>
      <t xml:space="preserve">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天销售环比 </t>
    </r>
    <r>
      <rPr>
        <sz val="10"/>
        <rFont val="微软雅黑"/>
        <family val="0"/>
        <charset val="1"/>
      </rPr>
      <t xml:space="preserve">-63%</t>
    </r>
    <r>
      <rPr>
        <sz val="10"/>
        <rFont val="WenQuanYi Zen Hei"/>
        <family val="2"/>
      </rPr>
      <t xml:space="preserve">，广告要跟着降：预算按近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天销售重算为 </t>
    </r>
    <r>
      <rPr>
        <sz val="10"/>
        <rFont val="微软雅黑"/>
        <family val="0"/>
        <charset val="1"/>
      </rPr>
      <t xml:space="preserve">$283/</t>
    </r>
    <r>
      <rPr>
        <sz val="10"/>
        <rFont val="WenQuanYi Zen Hei"/>
        <family val="2"/>
      </rPr>
      <t xml:space="preserve">月，排查排名、断货、差评或竞品降价</t>
    </r>
  </si>
  <si>
    <r>
      <rPr>
        <sz val="10"/>
        <rFont val="WenQuanYi Zen Hei"/>
        <family val="2"/>
      </rPr>
      <t xml:space="preserve">工作灯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薄款双开关</t>
    </r>
    <r>
      <rPr>
        <sz val="10"/>
        <rFont val="微软雅黑"/>
        <family val="0"/>
        <charset val="1"/>
      </rPr>
      <t xml:space="preserve">5</t>
    </r>
    <r>
      <rPr>
        <sz val="10"/>
        <rFont val="WenQuanYi Zen Hei"/>
        <family val="2"/>
      </rPr>
      <t xml:space="preserve">寸</t>
    </r>
    <r>
      <rPr>
        <sz val="10"/>
        <rFont val="微软雅黑"/>
        <family val="0"/>
        <charset val="1"/>
      </rPr>
      <t xml:space="preserve">32W</t>
    </r>
  </si>
  <si>
    <r>
      <rPr>
        <sz val="10"/>
        <rFont val="WenQuanYi Zen Hei"/>
        <family val="2"/>
      </rPr>
      <t xml:space="preserve">冲击扳手</t>
    </r>
    <r>
      <rPr>
        <sz val="10"/>
        <rFont val="微软雅黑"/>
        <family val="0"/>
        <charset val="1"/>
      </rPr>
      <t xml:space="preserve">-1/2</t>
    </r>
    <r>
      <rPr>
        <sz val="10"/>
        <rFont val="WenQuanYi Zen Hei"/>
        <family val="2"/>
      </rPr>
      <t xml:space="preserve">英寸</t>
    </r>
    <r>
      <rPr>
        <sz val="10"/>
        <rFont val="微软雅黑"/>
        <family val="0"/>
        <charset val="1"/>
      </rPr>
      <t xml:space="preserve">1000N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</si>
  <si>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13.2%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12.5%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</si>
  <si>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转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角磨机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桨式开关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</si>
  <si>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30.9%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5.2%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</si>
  <si>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砂光机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尾插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含集尘袋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</si>
  <si>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20.9%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20.0%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</si>
  <si>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管道疏通机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配毛巾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</si>
  <si>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2.5%</t>
    </r>
    <r>
      <rPr>
        <sz val="10"/>
        <rFont val="WenQuanYi Zen Hei"/>
        <family val="2"/>
      </rPr>
      <t xml:space="preserve">，广告费率压到 </t>
    </r>
    <r>
      <rPr>
        <sz val="10"/>
        <rFont val="微软雅黑"/>
        <family val="0"/>
        <charset val="1"/>
      </rPr>
      <t xml:space="preserve">13.4% </t>
    </r>
    <r>
      <rPr>
        <sz val="10"/>
        <rFont val="WenQuanYi Zen Hei"/>
        <family val="2"/>
      </rPr>
      <t xml:space="preserve">以内：砍 </t>
    </r>
    <r>
      <rPr>
        <sz val="10"/>
        <rFont val="微软雅黑"/>
        <family val="0"/>
        <charset val="1"/>
      </rPr>
      <t xml:space="preserve">ACOS </t>
    </r>
    <r>
      <rPr>
        <sz val="10"/>
        <rFont val="WenQuanYi Zen Hei"/>
        <family val="2"/>
      </rPr>
      <t xml:space="preserve">超保本的词，</t>
    </r>
    <r>
      <rPr>
        <sz val="10"/>
        <rFont val="微软雅黑"/>
        <family val="0"/>
        <charset val="1"/>
      </rPr>
      <t xml:space="preserve">SB/SD </t>
    </r>
    <r>
      <rPr>
        <sz val="10"/>
        <rFont val="WenQuanYi Zen Hei"/>
        <family val="2"/>
      </rPr>
      <t xml:space="preserve">预算回收到 </t>
    </r>
    <r>
      <rPr>
        <sz val="10"/>
        <rFont val="微软雅黑"/>
        <family val="0"/>
        <charset val="1"/>
      </rPr>
      <t xml:space="preserve">SP </t>
    </r>
    <r>
      <rPr>
        <sz val="10"/>
        <rFont val="WenQuanYi Zen Hei"/>
        <family val="2"/>
      </rPr>
      <t xml:space="preserve">精准</t>
    </r>
  </si>
  <si>
    <r>
      <rPr>
        <sz val="10"/>
        <rFont val="WenQuanYi Zen Hei"/>
        <family val="2"/>
      </rPr>
      <t xml:space="preserve">便携式带锯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手持</t>
    </r>
    <r>
      <rPr>
        <sz val="10"/>
        <rFont val="微软雅黑"/>
        <family val="0"/>
        <charset val="1"/>
      </rPr>
      <t xml:space="preserve">2.5in</t>
    </r>
  </si>
  <si>
    <r>
      <rPr>
        <sz val="10"/>
        <rFont val="WenQuanYi Zen Hei"/>
        <family val="2"/>
      </rPr>
      <t xml:space="preserve">新品保本期：广告费率不超过 </t>
    </r>
    <r>
      <rPr>
        <sz val="10"/>
        <rFont val="微软雅黑"/>
        <family val="0"/>
        <charset val="1"/>
      </rPr>
      <t xml:space="preserve">11.0%</t>
    </r>
    <r>
      <rPr>
        <sz val="10"/>
        <rFont val="WenQuanYi Zen Hei"/>
        <family val="2"/>
      </rPr>
      <t xml:space="preserve">（保本 </t>
    </r>
    <r>
      <rPr>
        <sz val="10"/>
        <rFont val="微软雅黑"/>
        <family val="0"/>
        <charset val="1"/>
      </rPr>
      <t xml:space="preserve">11.0%</t>
    </r>
    <r>
      <rPr>
        <sz val="10"/>
        <rFont val="WenQuanYi Zen Hei"/>
        <family val="2"/>
      </rPr>
      <t xml:space="preserve">）；</t>
    </r>
    <r>
      <rPr>
        <sz val="10"/>
        <rFont val="微软雅黑"/>
        <family val="0"/>
        <charset val="1"/>
      </rPr>
      <t xml:space="preserve">90 </t>
    </r>
    <r>
      <rPr>
        <sz val="10"/>
        <rFont val="WenQuanYi Zen Hei"/>
        <family val="2"/>
      </rPr>
      <t xml:space="preserve">天内净毛利未到 </t>
    </r>
    <r>
      <rPr>
        <sz val="10"/>
        <rFont val="微软雅黑"/>
        <family val="0"/>
        <charset val="1"/>
      </rPr>
      <t xml:space="preserve">5% </t>
    </r>
    <r>
      <rPr>
        <sz val="10"/>
        <rFont val="WenQuanYi Zen Hei"/>
        <family val="2"/>
      </rPr>
      <t xml:space="preserve">转入压缩</t>
    </r>
  </si>
  <si>
    <r>
      <rPr>
        <sz val="10"/>
        <rFont val="WenQuanYi Zen Hei"/>
        <family val="2"/>
      </rPr>
      <t xml:space="preserve">小钉枪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新款单用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</si>
  <si>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53.6%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27.3%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</si>
  <si>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t xml:space="preserve">除雪机</t>
  </si>
  <si>
    <r>
      <rPr>
        <sz val="10"/>
        <rFont val="WenQuanYi Zen Hei"/>
        <family val="2"/>
      </rPr>
      <t xml:space="preserve">除雪机</t>
    </r>
    <r>
      <rPr>
        <sz val="10"/>
        <rFont val="微软雅黑"/>
        <family val="0"/>
        <charset val="1"/>
      </rPr>
      <t xml:space="preserve">-20V12</t>
    </r>
    <r>
      <rPr>
        <sz val="10"/>
        <rFont val="WenQuanYi Zen Hei"/>
        <family val="2"/>
      </rPr>
      <t xml:space="preserve">寸带灯</t>
    </r>
  </si>
  <si>
    <t xml:space="preserve">蓝牙音响</t>
  </si>
  <si>
    <r>
      <rPr>
        <sz val="10"/>
        <rFont val="WenQuanYi Zen Hei"/>
        <family val="2"/>
      </rPr>
      <t xml:space="preserve">工地收音机</t>
    </r>
    <r>
      <rPr>
        <sz val="10"/>
        <rFont val="微软雅黑"/>
        <family val="0"/>
        <charset val="1"/>
      </rPr>
      <t xml:space="preserve">-03</t>
    </r>
    <r>
      <rPr>
        <sz val="10"/>
        <rFont val="WenQuanYi Zen Hei"/>
        <family val="2"/>
      </rPr>
      <t xml:space="preserve">款</t>
    </r>
  </si>
  <si>
    <t xml:space="preserve">电动液压压线工具</t>
  </si>
  <si>
    <r>
      <rPr>
        <sz val="10"/>
        <rFont val="WenQuanYi Zen Hei"/>
        <family val="2"/>
      </rPr>
      <t xml:space="preserve">电动液压压线工具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型号</t>
    </r>
    <r>
      <rPr>
        <sz val="10"/>
        <rFont val="微软雅黑"/>
        <family val="0"/>
        <charset val="1"/>
      </rPr>
      <t xml:space="preserve">400</t>
    </r>
  </si>
  <si>
    <r>
      <rPr>
        <sz val="10"/>
        <rFont val="WenQuanYi Zen Hei"/>
        <family val="2"/>
      </rPr>
      <t xml:space="preserve">除雪机</t>
    </r>
    <r>
      <rPr>
        <sz val="10"/>
        <rFont val="微软雅黑"/>
        <family val="0"/>
        <charset val="1"/>
      </rPr>
      <t xml:space="preserve">-36V13.2</t>
    </r>
    <r>
      <rPr>
        <sz val="10"/>
        <rFont val="WenQuanYi Zen Hei"/>
        <family val="2"/>
      </rPr>
      <t xml:space="preserve">寸</t>
    </r>
  </si>
  <si>
    <r>
      <rPr>
        <sz val="10"/>
        <rFont val="WenQuanYi Zen Hei"/>
        <family val="2"/>
      </rPr>
      <t xml:space="preserve">利润空间充足：月预算可上调至 </t>
    </r>
    <r>
      <rPr>
        <sz val="10"/>
        <rFont val="微软雅黑"/>
        <family val="0"/>
        <charset val="1"/>
      </rPr>
      <t xml:space="preserve">$129</t>
    </r>
    <r>
      <rPr>
        <sz val="10"/>
        <rFont val="WenQuanYi Zen Hei"/>
        <family val="2"/>
      </rPr>
      <t xml:space="preserve">（单月增幅 ≤</t>
    </r>
    <r>
      <rPr>
        <sz val="10"/>
        <rFont val="微软雅黑"/>
        <family val="0"/>
        <charset val="1"/>
      </rPr>
      <t xml:space="preserve">30%</t>
    </r>
    <r>
      <rPr>
        <sz val="10"/>
        <rFont val="WenQuanYi Zen Hei"/>
        <family val="2"/>
      </rPr>
      <t xml:space="preserve">），优先加精准词与 </t>
    </r>
    <r>
      <rPr>
        <sz val="10"/>
        <rFont val="微软雅黑"/>
        <family val="0"/>
        <charset val="1"/>
      </rPr>
      <t xml:space="preserve">SBV</t>
    </r>
  </si>
  <si>
    <r>
      <rPr>
        <sz val="10"/>
        <rFont val="WenQuanYi Zen Hei"/>
        <family val="2"/>
      </rPr>
      <t xml:space="preserve">吸尘器</t>
    </r>
    <r>
      <rPr>
        <sz val="10"/>
        <rFont val="微软雅黑"/>
        <family val="0"/>
        <charset val="1"/>
      </rPr>
      <t xml:space="preserve">-350W</t>
    </r>
    <r>
      <rPr>
        <sz val="10"/>
        <rFont val="WenQuanYi Zen Hei"/>
        <family val="2"/>
      </rPr>
      <t xml:space="preserve">数显双尘杯</t>
    </r>
  </si>
  <si>
    <r>
      <rPr>
        <sz val="10"/>
        <rFont val="WenQuanYi Zen Hei"/>
        <family val="2"/>
      </rPr>
      <t xml:space="preserve">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天销售环比 </t>
    </r>
    <r>
      <rPr>
        <sz val="10"/>
        <rFont val="微软雅黑"/>
        <family val="0"/>
        <charset val="1"/>
      </rPr>
      <t xml:space="preserve">-73%</t>
    </r>
    <r>
      <rPr>
        <sz val="10"/>
        <rFont val="WenQuanYi Zen Hei"/>
        <family val="2"/>
      </rPr>
      <t xml:space="preserve">，广告要跟着降：预算按近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天销售重算为 </t>
    </r>
    <r>
      <rPr>
        <sz val="10"/>
        <rFont val="微软雅黑"/>
        <family val="0"/>
        <charset val="1"/>
      </rPr>
      <t xml:space="preserve">$5/</t>
    </r>
    <r>
      <rPr>
        <sz val="10"/>
        <rFont val="WenQuanYi Zen Hei"/>
        <family val="2"/>
      </rPr>
      <t xml:space="preserve">月，排查排名、断货、差评或竞品降价</t>
    </r>
  </si>
  <si>
    <r>
      <rPr>
        <sz val="10"/>
        <rFont val="WenQuanYi Zen Hei"/>
        <family val="2"/>
      </rPr>
      <t xml:space="preserve">热熔胶枪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配</t>
    </r>
    <r>
      <rPr>
        <sz val="10"/>
        <rFont val="微软雅黑"/>
        <family val="0"/>
        <charset val="1"/>
      </rPr>
      <t xml:space="preserve">20</t>
    </r>
    <r>
      <rPr>
        <sz val="10"/>
        <rFont val="WenQuanYi Zen Hei"/>
        <family val="2"/>
      </rPr>
      <t xml:space="preserve">根胶棒</t>
    </r>
  </si>
  <si>
    <r>
      <rPr>
        <sz val="10"/>
        <rFont val="WenQuanYi Zen Hei"/>
        <family val="2"/>
      </rPr>
      <t xml:space="preserve">无绳手电筒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聚泛一体款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</si>
  <si>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31.9%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-7.4%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</si>
  <si>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小钉枪</t>
    </r>
    <r>
      <rPr>
        <sz val="10"/>
        <rFont val="微软雅黑"/>
        <family val="0"/>
        <charset val="1"/>
      </rPr>
      <t xml:space="preserve">-18GA</t>
    </r>
    <r>
      <rPr>
        <sz val="10"/>
        <rFont val="WenQuanYi Zen Hei"/>
        <family val="2"/>
      </rPr>
      <t xml:space="preserve">直钉码钉两用款</t>
    </r>
  </si>
  <si>
    <r>
      <rPr>
        <sz val="10"/>
        <rFont val="WenQuanYi Zen Hei"/>
        <family val="2"/>
      </rPr>
      <t xml:space="preserve">电锤钻</t>
    </r>
    <r>
      <rPr>
        <sz val="10"/>
        <rFont val="微软雅黑"/>
        <family val="0"/>
        <charset val="1"/>
      </rPr>
      <t xml:space="preserve">-3</t>
    </r>
    <r>
      <rPr>
        <sz val="10"/>
        <rFont val="WenQuanYi Zen Hei"/>
        <family val="2"/>
      </rPr>
      <t xml:space="preserve">焦耳</t>
    </r>
  </si>
  <si>
    <r>
      <rPr>
        <sz val="10"/>
        <rFont val="WenQuanYi Zen Hei"/>
        <family val="2"/>
      </rPr>
      <t xml:space="preserve">小钉枪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两用款</t>
    </r>
  </si>
  <si>
    <t xml:space="preserve">锂电池转换器</t>
  </si>
  <si>
    <r>
      <rPr>
        <sz val="10"/>
        <rFont val="WenQuanYi Zen Hei"/>
        <family val="2"/>
      </rPr>
      <t xml:space="preserve">转接器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兼容</t>
    </r>
    <r>
      <rPr>
        <sz val="10"/>
        <rFont val="微软雅黑"/>
        <family val="0"/>
        <charset val="1"/>
      </rPr>
      <t xml:space="preserve">DC9180</t>
    </r>
    <r>
      <rPr>
        <sz val="10"/>
        <rFont val="WenQuanYi Zen Hei"/>
        <family val="2"/>
      </rPr>
      <t xml:space="preserve">、</t>
    </r>
    <r>
      <rPr>
        <sz val="10"/>
        <rFont val="微软雅黑"/>
        <family val="0"/>
        <charset val="1"/>
      </rPr>
      <t xml:space="preserve">DC9096</t>
    </r>
  </si>
  <si>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套 </t>
    </r>
    <r>
      <rPr>
        <sz val="10"/>
        <rFont val="微软雅黑"/>
        <family val="0"/>
        <charset val="1"/>
      </rPr>
      <t xml:space="preserve">60CM 2.5cm</t>
    </r>
    <r>
      <rPr>
        <sz val="10"/>
        <rFont val="WenQuanYi Zen Hei"/>
        <family val="2"/>
      </rPr>
      <t xml:space="preserve">不锈钢排气管停车空气加热器</t>
    </r>
  </si>
  <si>
    <r>
      <rPr>
        <sz val="10"/>
        <rFont val="WenQuanYi Zen Hei"/>
        <family val="2"/>
      </rPr>
      <t xml:space="preserve">工作灯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薄款双开关</t>
    </r>
    <r>
      <rPr>
        <sz val="10"/>
        <rFont val="微软雅黑"/>
        <family val="0"/>
        <charset val="1"/>
      </rPr>
      <t xml:space="preserve">3</t>
    </r>
    <r>
      <rPr>
        <sz val="10"/>
        <rFont val="WenQuanYi Zen Hei"/>
        <family val="2"/>
      </rPr>
      <t xml:space="preserve">寸</t>
    </r>
    <r>
      <rPr>
        <sz val="10"/>
        <rFont val="微软雅黑"/>
        <family val="0"/>
        <charset val="1"/>
      </rPr>
      <t xml:space="preserve">12W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</si>
  <si>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20.9%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15.9%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</si>
  <si>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工作灯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薄款双开关</t>
    </r>
    <r>
      <rPr>
        <sz val="10"/>
        <rFont val="微软雅黑"/>
        <family val="0"/>
        <charset val="1"/>
      </rPr>
      <t xml:space="preserve">24</t>
    </r>
    <r>
      <rPr>
        <sz val="10"/>
        <rFont val="WenQuanYi Zen Hei"/>
        <family val="2"/>
      </rPr>
      <t xml:space="preserve">珠</t>
    </r>
    <r>
      <rPr>
        <sz val="10"/>
        <rFont val="微软雅黑"/>
        <family val="0"/>
        <charset val="1"/>
      </rPr>
      <t xml:space="preserve">31W</t>
    </r>
  </si>
  <si>
    <r>
      <rPr>
        <sz val="10"/>
        <rFont val="WenQuanYi Zen Hei"/>
        <family val="2"/>
      </rPr>
      <t xml:space="preserve">利润空间充足：月预算可上调至 </t>
    </r>
    <r>
      <rPr>
        <sz val="10"/>
        <rFont val="微软雅黑"/>
        <family val="0"/>
        <charset val="1"/>
      </rPr>
      <t xml:space="preserve">$218</t>
    </r>
    <r>
      <rPr>
        <sz val="10"/>
        <rFont val="WenQuanYi Zen Hei"/>
        <family val="2"/>
      </rPr>
      <t xml:space="preserve">（单月增幅 ≤</t>
    </r>
    <r>
      <rPr>
        <sz val="10"/>
        <rFont val="微软雅黑"/>
        <family val="0"/>
        <charset val="1"/>
      </rPr>
      <t xml:space="preserve">30%</t>
    </r>
    <r>
      <rPr>
        <sz val="10"/>
        <rFont val="WenQuanYi Zen Hei"/>
        <family val="2"/>
      </rPr>
      <t xml:space="preserve">），优先加精准词与 </t>
    </r>
    <r>
      <rPr>
        <sz val="10"/>
        <rFont val="微软雅黑"/>
        <family val="0"/>
        <charset val="1"/>
      </rPr>
      <t xml:space="preserve">SBV</t>
    </r>
  </si>
  <si>
    <r>
      <rPr>
        <sz val="10"/>
        <rFont val="WenQuanYi Zen Hei"/>
        <family val="2"/>
      </rPr>
      <t xml:space="preserve">冲击扳手</t>
    </r>
    <r>
      <rPr>
        <sz val="10"/>
        <rFont val="微软雅黑"/>
        <family val="0"/>
        <charset val="1"/>
      </rPr>
      <t xml:space="preserve">-1/2</t>
    </r>
    <r>
      <rPr>
        <sz val="10"/>
        <rFont val="WenQuanYi Zen Hei"/>
        <family val="2"/>
      </rPr>
      <t xml:space="preserve">英寸</t>
    </r>
    <r>
      <rPr>
        <sz val="10"/>
        <rFont val="微软雅黑"/>
        <family val="0"/>
        <charset val="1"/>
      </rPr>
      <t xml:space="preserve">700N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</si>
  <si>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18.0%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-1.6%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</si>
  <si>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支架灯</t>
    </r>
    <r>
      <rPr>
        <sz val="10"/>
        <rFont val="微软雅黑"/>
        <family val="0"/>
        <charset val="1"/>
      </rPr>
      <t xml:space="preserve">-AC</t>
    </r>
    <r>
      <rPr>
        <sz val="10"/>
        <rFont val="WenQuanYi Zen Hei"/>
        <family val="2"/>
      </rPr>
      <t xml:space="preserve">单头支架高</t>
    </r>
    <r>
      <rPr>
        <sz val="10"/>
        <rFont val="微软雅黑"/>
        <family val="0"/>
        <charset val="1"/>
      </rPr>
      <t xml:space="preserve">1.6</t>
    </r>
    <r>
      <rPr>
        <sz val="10"/>
        <rFont val="WenQuanYi Zen Hei"/>
        <family val="2"/>
      </rPr>
      <t xml:space="preserve">米</t>
    </r>
  </si>
  <si>
    <r>
      <rPr>
        <sz val="10"/>
        <rFont val="WenQuanYi Zen Hei"/>
        <family val="2"/>
      </rPr>
      <t xml:space="preserve">修边机</t>
    </r>
    <r>
      <rPr>
        <sz val="10"/>
        <rFont val="微软雅黑"/>
        <family val="0"/>
        <charset val="1"/>
      </rPr>
      <t xml:space="preserve">-15pcs</t>
    </r>
    <r>
      <rPr>
        <sz val="10"/>
        <rFont val="WenQuanYi Zen Hei"/>
        <family val="2"/>
      </rPr>
      <t xml:space="preserve">铣刀</t>
    </r>
    <r>
      <rPr>
        <sz val="10"/>
        <rFont val="微软雅黑"/>
        <family val="0"/>
        <charset val="1"/>
      </rPr>
      <t xml:space="preserve">+</t>
    </r>
    <r>
      <rPr>
        <sz val="10"/>
        <rFont val="WenQuanYi Zen Hei"/>
        <family val="2"/>
      </rPr>
      <t xml:space="preserve">切入式底座</t>
    </r>
    <r>
      <rPr>
        <sz val="10"/>
        <rFont val="微软雅黑"/>
        <family val="0"/>
        <charset val="1"/>
      </rPr>
      <t xml:space="preserve">+</t>
    </r>
    <r>
      <rPr>
        <sz val="10"/>
        <rFont val="WenQuanYi Zen Hei"/>
        <family val="2"/>
      </rPr>
      <t xml:space="preserve">双手手柄附件套装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</si>
  <si>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30.3%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26.6%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</si>
  <si>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个 双开关 </t>
    </r>
    <r>
      <rPr>
        <sz val="10"/>
        <rFont val="微软雅黑"/>
        <family val="0"/>
        <charset val="1"/>
      </rPr>
      <t xml:space="preserve">6</t>
    </r>
    <r>
      <rPr>
        <sz val="10"/>
        <rFont val="WenQuanYi Zen Hei"/>
        <family val="2"/>
      </rPr>
      <t xml:space="preserve">寸 金属外壳 </t>
    </r>
    <r>
      <rPr>
        <sz val="10"/>
        <rFont val="微软雅黑"/>
        <family val="0"/>
        <charset val="1"/>
      </rPr>
      <t xml:space="preserve">18v</t>
    </r>
    <r>
      <rPr>
        <sz val="10"/>
        <rFont val="WenQuanYi Zen Hei"/>
        <family val="2"/>
      </rPr>
      <t xml:space="preserve">风扇贴</t>
    </r>
    <r>
      <rPr>
        <sz val="10"/>
        <rFont val="微软雅黑"/>
        <family val="0"/>
        <charset val="1"/>
      </rPr>
      <t xml:space="preserve">LIVOW</t>
    </r>
  </si>
  <si>
    <r>
      <rPr>
        <sz val="10"/>
        <rFont val="WenQuanYi Zen Hei"/>
        <family val="2"/>
      </rPr>
      <t xml:space="preserve">修边机</t>
    </r>
    <r>
      <rPr>
        <sz val="10"/>
        <rFont val="微软雅黑"/>
        <family val="0"/>
        <charset val="1"/>
      </rPr>
      <t xml:space="preserve">-6pcs</t>
    </r>
    <r>
      <rPr>
        <sz val="10"/>
        <rFont val="WenQuanYi Zen Hei"/>
        <family val="2"/>
      </rPr>
      <t xml:space="preserve">刀头套装一电一充</t>
    </r>
  </si>
  <si>
    <r>
      <rPr>
        <sz val="10"/>
        <rFont val="WenQuanYi Zen Hei"/>
        <family val="2"/>
      </rPr>
      <t xml:space="preserve">不带点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曲线锯锯片</t>
    </r>
    <r>
      <rPr>
        <sz val="10"/>
        <rFont val="微软雅黑"/>
        <family val="0"/>
        <charset val="1"/>
      </rPr>
      <t xml:space="preserve">-T</t>
    </r>
    <r>
      <rPr>
        <sz val="10"/>
        <rFont val="WenQuanYi Zen Hei"/>
        <family val="2"/>
      </rPr>
      <t xml:space="preserve">型</t>
    </r>
  </si>
  <si>
    <r>
      <rPr>
        <sz val="10"/>
        <rFont val="WenQuanYi Zen Hei"/>
        <family val="2"/>
      </rPr>
      <t xml:space="preserve">新品保本期：广告费率不超过 </t>
    </r>
    <r>
      <rPr>
        <sz val="10"/>
        <rFont val="微软雅黑"/>
        <family val="0"/>
        <charset val="1"/>
      </rPr>
      <t xml:space="preserve">12.5%</t>
    </r>
    <r>
      <rPr>
        <sz val="10"/>
        <rFont val="WenQuanYi Zen Hei"/>
        <family val="2"/>
      </rPr>
      <t xml:space="preserve">（保本 </t>
    </r>
    <r>
      <rPr>
        <sz val="10"/>
        <rFont val="微软雅黑"/>
        <family val="0"/>
        <charset val="1"/>
      </rPr>
      <t xml:space="preserve">12.5%</t>
    </r>
    <r>
      <rPr>
        <sz val="10"/>
        <rFont val="WenQuanYi Zen Hei"/>
        <family val="2"/>
      </rPr>
      <t xml:space="preserve">）；</t>
    </r>
    <r>
      <rPr>
        <sz val="10"/>
        <rFont val="微软雅黑"/>
        <family val="0"/>
        <charset val="1"/>
      </rPr>
      <t xml:space="preserve">90 </t>
    </r>
    <r>
      <rPr>
        <sz val="10"/>
        <rFont val="WenQuanYi Zen Hei"/>
        <family val="2"/>
      </rPr>
      <t xml:space="preserve">天内净毛利未到 </t>
    </r>
    <r>
      <rPr>
        <sz val="10"/>
        <rFont val="微软雅黑"/>
        <family val="0"/>
        <charset val="1"/>
      </rPr>
      <t xml:space="preserve">5% </t>
    </r>
    <r>
      <rPr>
        <sz val="10"/>
        <rFont val="WenQuanYi Zen Hei"/>
        <family val="2"/>
      </rPr>
      <t xml:space="preserve">转入压缩</t>
    </r>
  </si>
  <si>
    <r>
      <rPr>
        <sz val="10"/>
        <rFont val="WenQuanYi Zen Hei"/>
        <family val="2"/>
      </rPr>
      <t xml:space="preserve">小钉枪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单用款</t>
    </r>
  </si>
  <si>
    <t xml:space="preserve">非标品名</t>
  </si>
  <si>
    <r>
      <rPr>
        <sz val="10"/>
        <rFont val="WenQuanYi Zen Hei"/>
        <family val="2"/>
      </rPr>
      <t xml:space="preserve">工作灯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薄款双开关</t>
    </r>
    <r>
      <rPr>
        <sz val="10"/>
        <rFont val="微软雅黑"/>
        <family val="0"/>
        <charset val="1"/>
      </rPr>
      <t xml:space="preserve">9</t>
    </r>
    <r>
      <rPr>
        <sz val="10"/>
        <rFont val="WenQuanYi Zen Hei"/>
        <family val="2"/>
      </rPr>
      <t xml:space="preserve">珠</t>
    </r>
    <r>
      <rPr>
        <sz val="10"/>
        <rFont val="微软雅黑"/>
        <family val="0"/>
        <charset val="1"/>
      </rPr>
      <t xml:space="preserve">19W</t>
    </r>
  </si>
  <si>
    <r>
      <rPr>
        <sz val="10"/>
        <rFont val="WenQuanYi Zen Hei"/>
        <family val="2"/>
      </rPr>
      <t xml:space="preserve">往复锯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单手</t>
    </r>
    <r>
      <rPr>
        <sz val="10"/>
        <rFont val="微软雅黑"/>
        <family val="0"/>
        <charset val="1"/>
      </rPr>
      <t xml:space="preserve">7/8</t>
    </r>
    <r>
      <rPr>
        <sz val="10"/>
        <rFont val="WenQuanYi Zen Hei"/>
        <family val="2"/>
      </rPr>
      <t xml:space="preserve">英寸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</si>
  <si>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52.4%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27.0%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</si>
  <si>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转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修枝剪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四合一款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</si>
  <si>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18.6%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-6.1%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</si>
  <si>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角磨机</t>
    </r>
    <r>
      <rPr>
        <sz val="10"/>
        <rFont val="微软雅黑"/>
        <family val="0"/>
        <charset val="1"/>
      </rPr>
      <t xml:space="preserve">-M14</t>
    </r>
    <r>
      <rPr>
        <sz val="10"/>
        <rFont val="WenQuanYi Zen Hei"/>
        <family val="2"/>
      </rPr>
      <t xml:space="preserve">芯轴</t>
    </r>
  </si>
  <si>
    <r>
      <rPr>
        <sz val="10"/>
        <rFont val="WenQuanYi Zen Hei"/>
        <family val="2"/>
      </rPr>
      <t xml:space="preserve">热风枪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双温基础款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</si>
  <si>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0.7%</t>
    </r>
    <r>
      <rPr>
        <sz val="10"/>
        <rFont val="WenQuanYi Zen Hei"/>
        <family val="2"/>
      </rPr>
      <t xml:space="preserve">，广告费率压到 </t>
    </r>
    <r>
      <rPr>
        <sz val="10"/>
        <rFont val="微软雅黑"/>
        <family val="0"/>
        <charset val="1"/>
      </rPr>
      <t xml:space="preserve">15.0% </t>
    </r>
    <r>
      <rPr>
        <sz val="10"/>
        <rFont val="WenQuanYi Zen Hei"/>
        <family val="2"/>
      </rPr>
      <t xml:space="preserve">以内：砍 </t>
    </r>
    <r>
      <rPr>
        <sz val="10"/>
        <rFont val="微软雅黑"/>
        <family val="0"/>
        <charset val="1"/>
      </rPr>
      <t xml:space="preserve">ACOS </t>
    </r>
    <r>
      <rPr>
        <sz val="10"/>
        <rFont val="WenQuanYi Zen Hei"/>
        <family val="2"/>
      </rPr>
      <t xml:space="preserve">超保本的词，</t>
    </r>
    <r>
      <rPr>
        <sz val="10"/>
        <rFont val="微软雅黑"/>
        <family val="0"/>
        <charset val="1"/>
      </rPr>
      <t xml:space="preserve">SB/SD </t>
    </r>
    <r>
      <rPr>
        <sz val="10"/>
        <rFont val="WenQuanYi Zen Hei"/>
        <family val="2"/>
      </rPr>
      <t xml:space="preserve">预算回收到 </t>
    </r>
    <r>
      <rPr>
        <sz val="10"/>
        <rFont val="微软雅黑"/>
        <family val="0"/>
        <charset val="1"/>
      </rPr>
      <t xml:space="preserve">SP </t>
    </r>
    <r>
      <rPr>
        <sz val="10"/>
        <rFont val="WenQuanYi Zen Hei"/>
        <family val="2"/>
      </rPr>
      <t xml:space="preserve">精准</t>
    </r>
  </si>
  <si>
    <t xml:space="preserve">工具推车</t>
  </si>
  <si>
    <r>
      <rPr>
        <sz val="10"/>
        <rFont val="WenQuanYi Zen Hei"/>
        <family val="2"/>
      </rPr>
      <t xml:space="preserve">可调高木工桌</t>
    </r>
    <r>
      <rPr>
        <sz val="10"/>
        <rFont val="微软雅黑"/>
        <family val="0"/>
        <charset val="1"/>
      </rPr>
      <t xml:space="preserve">120*60cm+</t>
    </r>
    <r>
      <rPr>
        <sz val="10"/>
        <rFont val="WenQuanYi Zen Hei"/>
        <family val="2"/>
      </rPr>
      <t xml:space="preserve">洞洞板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</si>
  <si>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6.6%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-50.5%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</si>
  <si>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t xml:space="preserve">收纳工具</t>
  </si>
  <si>
    <r>
      <rPr>
        <sz val="10"/>
        <rFont val="WenQuanYi Zen Hei"/>
        <family val="2"/>
      </rPr>
      <t xml:space="preserve">墙面收纳架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带</t>
    </r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个清洁工具收纳架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</si>
  <si>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16.2%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-23.6%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</si>
  <si>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砂带机</t>
    </r>
    <r>
      <rPr>
        <sz val="10"/>
        <rFont val="微软雅黑"/>
        <family val="0"/>
        <charset val="1"/>
      </rPr>
      <t xml:space="preserve">-3*18</t>
    </r>
    <r>
      <rPr>
        <sz val="10"/>
        <rFont val="WenQuanYi Zen Hei"/>
        <family val="2"/>
      </rPr>
      <t xml:space="preserve">英寸</t>
    </r>
  </si>
  <si>
    <r>
      <rPr>
        <sz val="10"/>
        <rFont val="微软雅黑"/>
        <family val="0"/>
        <charset val="1"/>
      </rPr>
      <t xml:space="preserve">3C</t>
    </r>
    <r>
      <rPr>
        <sz val="10"/>
        <rFont val="WenQuanYi Zen Hei"/>
        <family val="2"/>
      </rPr>
      <t xml:space="preserve">电子产品</t>
    </r>
  </si>
  <si>
    <r>
      <rPr>
        <sz val="10"/>
        <rFont val="WenQuanYi Zen Hei"/>
        <family val="2"/>
      </rPr>
      <t xml:space="preserve">迷你小键盘</t>
    </r>
    <r>
      <rPr>
        <sz val="10"/>
        <rFont val="微软雅黑"/>
        <family val="0"/>
        <charset val="1"/>
      </rPr>
      <t xml:space="preserve">4</t>
    </r>
    <r>
      <rPr>
        <sz val="10"/>
        <rFont val="WenQuanYi Zen Hei"/>
        <family val="2"/>
      </rPr>
      <t xml:space="preserve">键</t>
    </r>
    <r>
      <rPr>
        <sz val="10"/>
        <rFont val="微软雅黑"/>
        <family val="0"/>
        <charset val="1"/>
      </rPr>
      <t xml:space="preserve">-cherry</t>
    </r>
    <r>
      <rPr>
        <sz val="10"/>
        <rFont val="WenQuanYi Zen Hei"/>
        <family val="2"/>
      </rPr>
      <t xml:space="preserve">红轴</t>
    </r>
  </si>
  <si>
    <r>
      <rPr>
        <sz val="10"/>
        <rFont val="WenQuanYi Zen Hei"/>
        <family val="2"/>
      </rPr>
      <t xml:space="preserve">转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瓷砖平铺机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基础款</t>
    </r>
  </si>
  <si>
    <r>
      <rPr>
        <sz val="10"/>
        <rFont val="WenQuanYi Zen Hei"/>
        <family val="2"/>
      </rPr>
      <t xml:space="preserve">新品保本期：广告费率不超过 </t>
    </r>
    <r>
      <rPr>
        <sz val="10"/>
        <rFont val="微软雅黑"/>
        <family val="0"/>
        <charset val="1"/>
      </rPr>
      <t xml:space="preserve">3.6%</t>
    </r>
    <r>
      <rPr>
        <sz val="10"/>
        <rFont val="WenQuanYi Zen Hei"/>
        <family val="2"/>
      </rPr>
      <t xml:space="preserve">（保本 </t>
    </r>
    <r>
      <rPr>
        <sz val="10"/>
        <rFont val="微软雅黑"/>
        <family val="0"/>
        <charset val="1"/>
      </rPr>
      <t xml:space="preserve">3.6%</t>
    </r>
    <r>
      <rPr>
        <sz val="10"/>
        <rFont val="WenQuanYi Zen Hei"/>
        <family val="2"/>
      </rPr>
      <t xml:space="preserve">）；</t>
    </r>
    <r>
      <rPr>
        <sz val="10"/>
        <rFont val="微软雅黑"/>
        <family val="0"/>
        <charset val="1"/>
      </rPr>
      <t xml:space="preserve">90 </t>
    </r>
    <r>
      <rPr>
        <sz val="10"/>
        <rFont val="WenQuanYi Zen Hei"/>
        <family val="2"/>
      </rPr>
      <t xml:space="preserve">天内净毛利未到 </t>
    </r>
    <r>
      <rPr>
        <sz val="10"/>
        <rFont val="微软雅黑"/>
        <family val="0"/>
        <charset val="1"/>
      </rPr>
      <t xml:space="preserve">5% </t>
    </r>
    <r>
      <rPr>
        <sz val="10"/>
        <rFont val="WenQuanYi Zen Hei"/>
        <family val="2"/>
      </rPr>
      <t xml:space="preserve">转入压缩</t>
    </r>
  </si>
  <si>
    <r>
      <rPr>
        <sz val="10"/>
        <rFont val="WenQuanYi Zen Hei"/>
        <family val="2"/>
      </rPr>
      <t xml:space="preserve">支架灯</t>
    </r>
    <r>
      <rPr>
        <sz val="10"/>
        <rFont val="微软雅黑"/>
        <family val="0"/>
        <charset val="1"/>
      </rPr>
      <t xml:space="preserve">-AC</t>
    </r>
    <r>
      <rPr>
        <sz val="10"/>
        <rFont val="WenQuanYi Zen Hei"/>
        <family val="2"/>
      </rPr>
      <t xml:space="preserve">双头支架高</t>
    </r>
    <r>
      <rPr>
        <sz val="10"/>
        <rFont val="微软雅黑"/>
        <family val="0"/>
        <charset val="1"/>
      </rPr>
      <t xml:space="preserve">1.6</t>
    </r>
    <r>
      <rPr>
        <sz val="10"/>
        <rFont val="WenQuanYi Zen Hei"/>
        <family val="2"/>
      </rPr>
      <t xml:space="preserve">米</t>
    </r>
  </si>
  <si>
    <t xml:space="preserve">其他</t>
  </si>
  <si>
    <r>
      <rPr>
        <sz val="10"/>
        <rFont val="WenQuanYi Zen Hei"/>
        <family val="2"/>
      </rPr>
      <t xml:space="preserve">丙烷填充适配器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非一体式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</si>
  <si>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21.3% </t>
    </r>
    <r>
      <rPr>
        <sz val="10"/>
        <rFont val="WenQuanYi Zen Hei"/>
        <family val="2"/>
      </rPr>
      <t xml:space="preserve">偏高（保本 </t>
    </r>
    <r>
      <rPr>
        <sz val="10"/>
        <rFont val="微软雅黑"/>
        <family val="0"/>
        <charset val="1"/>
      </rPr>
      <t xml:space="preserve">28.8%</t>
    </r>
    <r>
      <rPr>
        <sz val="10"/>
        <rFont val="WenQuanYi Zen Hei"/>
        <family val="2"/>
      </rPr>
      <t xml:space="preserve">）：砍高花费 </t>
    </r>
    <r>
      <rPr>
        <sz val="10"/>
        <rFont val="微软雅黑"/>
        <family val="0"/>
        <charset val="1"/>
      </rPr>
      <t xml:space="preserve">0 </t>
    </r>
    <r>
      <rPr>
        <sz val="10"/>
        <rFont val="WenQuanYi Zen Hei"/>
        <family val="2"/>
      </rPr>
      <t xml:space="preserve">单词和 </t>
    </r>
    <r>
      <rPr>
        <sz val="10"/>
        <rFont val="微软雅黑"/>
        <family val="0"/>
        <charset val="1"/>
      </rPr>
      <t xml:space="preserve">ACOS </t>
    </r>
    <r>
      <rPr>
        <sz val="10"/>
        <rFont val="WenQuanYi Zen Hei"/>
        <family val="2"/>
      </rPr>
      <t xml:space="preserve">超保本的投放，</t>
    </r>
    <r>
      <rPr>
        <sz val="10"/>
        <rFont val="微软雅黑"/>
        <family val="0"/>
        <charset val="1"/>
      </rPr>
      <t xml:space="preserve">4 </t>
    </r>
    <r>
      <rPr>
        <sz val="10"/>
        <rFont val="WenQuanYi Zen Hei"/>
        <family val="2"/>
      </rPr>
      <t xml:space="preserve">周内降到 </t>
    </r>
    <r>
      <rPr>
        <sz val="10"/>
        <rFont val="微软雅黑"/>
        <family val="0"/>
        <charset val="1"/>
      </rPr>
      <t xml:space="preserve">18.0%</t>
    </r>
    <r>
      <rPr>
        <sz val="10"/>
        <rFont val="WenQuanYi Zen Hei"/>
        <family val="2"/>
      </rPr>
      <t xml:space="preserve">；连续 </t>
    </r>
    <r>
      <rPr>
        <sz val="10"/>
        <rFont val="微软雅黑"/>
        <family val="0"/>
        <charset val="1"/>
      </rPr>
      <t xml:space="preserve">4 </t>
    </r>
    <r>
      <rPr>
        <sz val="10"/>
        <rFont val="WenQuanYi Zen Hei"/>
        <family val="2"/>
      </rPr>
      <t xml:space="preserve">周无改善转压缩</t>
    </r>
  </si>
  <si>
    <r>
      <rPr>
        <sz val="10"/>
        <rFont val="WenQuanYi Zen Hei"/>
        <family val="2"/>
      </rPr>
      <t xml:space="preserve">单头清洁刷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整机</t>
    </r>
    <r>
      <rPr>
        <sz val="10"/>
        <rFont val="微软雅黑"/>
        <family val="0"/>
        <charset val="1"/>
      </rPr>
      <t xml:space="preserve">8</t>
    </r>
    <r>
      <rPr>
        <sz val="10"/>
        <rFont val="WenQuanYi Zen Hei"/>
        <family val="2"/>
      </rPr>
      <t xml:space="preserve">个装刷头蓝黑线充电池包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</si>
  <si>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25.3%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-69.6%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</si>
  <si>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螺丝扳手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角磨机版本</t>
    </r>
  </si>
  <si>
    <r>
      <rPr>
        <sz val="10"/>
        <rFont val="WenQuanYi Zen Hei"/>
        <family val="2"/>
      </rPr>
      <t xml:space="preserve">转接器</t>
    </r>
    <r>
      <rPr>
        <sz val="10"/>
        <rFont val="微软雅黑"/>
        <family val="0"/>
        <charset val="1"/>
      </rPr>
      <t xml:space="preserve">-M1818V</t>
    </r>
    <r>
      <rPr>
        <sz val="10"/>
        <rFont val="WenQuanYi Zen Hei"/>
        <family val="2"/>
      </rPr>
      <t xml:space="preserve">电池转新款</t>
    </r>
    <r>
      <rPr>
        <sz val="10"/>
        <rFont val="微软雅黑"/>
        <family val="0"/>
        <charset val="1"/>
      </rPr>
      <t xml:space="preserve">18V</t>
    </r>
    <r>
      <rPr>
        <sz val="10"/>
        <rFont val="WenQuanYi Zen Hei"/>
        <family val="2"/>
      </rPr>
      <t xml:space="preserve">镍电</t>
    </r>
    <r>
      <rPr>
        <sz val="10"/>
        <rFont val="微软雅黑"/>
        <family val="0"/>
        <charset val="1"/>
      </rPr>
      <t xml:space="preserve">M18V18</t>
    </r>
  </si>
  <si>
    <r>
      <rPr>
        <sz val="10"/>
        <rFont val="WenQuanYi Zen Hei"/>
        <family val="2"/>
      </rPr>
      <t xml:space="preserve">修枝剪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枪式款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</si>
  <si>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20.9%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-18.8%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</si>
  <si>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工作灯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底座</t>
    </r>
    <r>
      <rPr>
        <sz val="10"/>
        <rFont val="微软雅黑"/>
        <family val="0"/>
        <charset val="1"/>
      </rPr>
      <t xml:space="preserve">56</t>
    </r>
    <r>
      <rPr>
        <sz val="10"/>
        <rFont val="WenQuanYi Zen Hei"/>
        <family val="2"/>
      </rPr>
      <t xml:space="preserve">珠</t>
    </r>
  </si>
  <si>
    <t xml:space="preserve">除冰刷</t>
  </si>
  <si>
    <r>
      <rPr>
        <sz val="10"/>
        <rFont val="WenQuanYi Zen Hei"/>
        <family val="2"/>
      </rPr>
      <t xml:space="preserve">破冰刷</t>
    </r>
    <r>
      <rPr>
        <sz val="10"/>
        <rFont val="微软雅黑"/>
        <family val="0"/>
        <charset val="1"/>
      </rPr>
      <t xml:space="preserve">-3</t>
    </r>
    <r>
      <rPr>
        <sz val="10"/>
        <rFont val="WenQuanYi Zen Hei"/>
        <family val="2"/>
      </rPr>
      <t xml:space="preserve">节手持式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</si>
  <si>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22.6% </t>
    </r>
    <r>
      <rPr>
        <sz val="10"/>
        <rFont val="WenQuanYi Zen Hei"/>
        <family val="2"/>
      </rPr>
      <t xml:space="preserve">偏高（保本 </t>
    </r>
    <r>
      <rPr>
        <sz val="10"/>
        <rFont val="微软雅黑"/>
        <family val="0"/>
        <charset val="1"/>
      </rPr>
      <t xml:space="preserve">33.4%</t>
    </r>
    <r>
      <rPr>
        <sz val="10"/>
        <rFont val="WenQuanYi Zen Hei"/>
        <family val="2"/>
      </rPr>
      <t xml:space="preserve">）：砍高花费 </t>
    </r>
    <r>
      <rPr>
        <sz val="10"/>
        <rFont val="微软雅黑"/>
        <family val="0"/>
        <charset val="1"/>
      </rPr>
      <t xml:space="preserve">0 </t>
    </r>
    <r>
      <rPr>
        <sz val="10"/>
        <rFont val="WenQuanYi Zen Hei"/>
        <family val="2"/>
      </rPr>
      <t xml:space="preserve">单词和 </t>
    </r>
    <r>
      <rPr>
        <sz val="10"/>
        <rFont val="微软雅黑"/>
        <family val="0"/>
        <charset val="1"/>
      </rPr>
      <t xml:space="preserve">ACOS </t>
    </r>
    <r>
      <rPr>
        <sz val="10"/>
        <rFont val="WenQuanYi Zen Hei"/>
        <family val="2"/>
      </rPr>
      <t xml:space="preserve">超保本的投放，</t>
    </r>
    <r>
      <rPr>
        <sz val="10"/>
        <rFont val="微软雅黑"/>
        <family val="0"/>
        <charset val="1"/>
      </rPr>
      <t xml:space="preserve">4 </t>
    </r>
    <r>
      <rPr>
        <sz val="10"/>
        <rFont val="WenQuanYi Zen Hei"/>
        <family val="2"/>
      </rPr>
      <t xml:space="preserve">周内降到 </t>
    </r>
    <r>
      <rPr>
        <sz val="10"/>
        <rFont val="微软雅黑"/>
        <family val="0"/>
        <charset val="1"/>
      </rPr>
      <t xml:space="preserve">18.0%</t>
    </r>
    <r>
      <rPr>
        <sz val="10"/>
        <rFont val="WenQuanYi Zen Hei"/>
        <family val="2"/>
      </rPr>
      <t xml:space="preserve">；连续 </t>
    </r>
    <r>
      <rPr>
        <sz val="10"/>
        <rFont val="微软雅黑"/>
        <family val="0"/>
        <charset val="1"/>
      </rPr>
      <t xml:space="preserve">4 </t>
    </r>
    <r>
      <rPr>
        <sz val="10"/>
        <rFont val="WenQuanYi Zen Hei"/>
        <family val="2"/>
      </rPr>
      <t xml:space="preserve">周无改善转压缩</t>
    </r>
  </si>
  <si>
    <r>
      <rPr>
        <sz val="10"/>
        <rFont val="WenQuanYi Zen Hei"/>
        <family val="2"/>
      </rPr>
      <t xml:space="preserve">除雪机</t>
    </r>
    <r>
      <rPr>
        <sz val="10"/>
        <rFont val="微软雅黑"/>
        <family val="0"/>
        <charset val="1"/>
      </rPr>
      <t xml:space="preserve">-18V12</t>
    </r>
    <r>
      <rPr>
        <sz val="10"/>
        <rFont val="WenQuanYi Zen Hei"/>
        <family val="2"/>
      </rPr>
      <t xml:space="preserve">寸带灯</t>
    </r>
  </si>
  <si>
    <r>
      <rPr>
        <sz val="10"/>
        <rFont val="WenQuanYi Zen Hei"/>
        <family val="2"/>
      </rPr>
      <t xml:space="preserve">工作灯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底座</t>
    </r>
    <r>
      <rPr>
        <sz val="10"/>
        <rFont val="微软雅黑"/>
        <family val="0"/>
        <charset val="1"/>
      </rPr>
      <t xml:space="preserve">56</t>
    </r>
    <r>
      <rPr>
        <sz val="10"/>
        <rFont val="WenQuanYi Zen Hei"/>
        <family val="2"/>
      </rPr>
      <t xml:space="preserve">珠</t>
    </r>
    <r>
      <rPr>
        <sz val="10"/>
        <rFont val="微软雅黑"/>
        <family val="0"/>
        <charset val="1"/>
      </rPr>
      <t xml:space="preserve">19W</t>
    </r>
  </si>
  <si>
    <r>
      <rPr>
        <sz val="10"/>
        <rFont val="WenQuanYi Zen Hei"/>
        <family val="2"/>
      </rPr>
      <t xml:space="preserve">角磨机</t>
    </r>
    <r>
      <rPr>
        <sz val="10"/>
        <rFont val="微软雅黑"/>
        <family val="0"/>
        <charset val="1"/>
      </rPr>
      <t xml:space="preserve">-11</t>
    </r>
    <r>
      <rPr>
        <sz val="10"/>
        <rFont val="WenQuanYi Zen Hei"/>
        <family val="2"/>
      </rPr>
      <t xml:space="preserve">芯轴</t>
    </r>
    <r>
      <rPr>
        <sz val="10"/>
        <rFont val="微软雅黑"/>
        <family val="0"/>
        <charset val="1"/>
      </rPr>
      <t xml:space="preserve">125mm</t>
    </r>
    <r>
      <rPr>
        <sz val="10"/>
        <rFont val="WenQuanYi Zen Hei"/>
        <family val="2"/>
      </rPr>
      <t xml:space="preserve">角磨片</t>
    </r>
    <r>
      <rPr>
        <sz val="10"/>
        <rFont val="微软雅黑"/>
        <family val="0"/>
        <charset val="1"/>
      </rPr>
      <t xml:space="preserve">5/8"</t>
    </r>
  </si>
  <si>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个 </t>
    </r>
    <r>
      <rPr>
        <sz val="10"/>
        <rFont val="微软雅黑"/>
        <family val="0"/>
        <charset val="1"/>
      </rPr>
      <t xml:space="preserve">Y </t>
    </r>
    <r>
      <rPr>
        <sz val="10"/>
        <rFont val="WenQuanYi Zen Hei"/>
        <family val="2"/>
      </rPr>
      <t xml:space="preserve">欧美 林德叉车配件操纵杆操作手柄</t>
    </r>
  </si>
  <si>
    <r>
      <rPr>
        <sz val="10"/>
        <rFont val="WenQuanYi Zen Hei"/>
        <family val="2"/>
      </rPr>
      <t xml:space="preserve">工作灯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双开关</t>
    </r>
    <r>
      <rPr>
        <sz val="10"/>
        <rFont val="微软雅黑"/>
        <family val="0"/>
        <charset val="1"/>
      </rPr>
      <t xml:space="preserve">24</t>
    </r>
    <r>
      <rPr>
        <sz val="10"/>
        <rFont val="WenQuanYi Zen Hei"/>
        <family val="2"/>
      </rPr>
      <t xml:space="preserve">珠</t>
    </r>
    <r>
      <rPr>
        <sz val="10"/>
        <rFont val="微软雅黑"/>
        <family val="0"/>
        <charset val="1"/>
      </rPr>
      <t xml:space="preserve">37W</t>
    </r>
  </si>
  <si>
    <r>
      <rPr>
        <sz val="10"/>
        <rFont val="WenQuanYi Zen Hei"/>
        <family val="2"/>
      </rPr>
      <t xml:space="preserve">迷你小键盘</t>
    </r>
    <r>
      <rPr>
        <sz val="10"/>
        <rFont val="微软雅黑"/>
        <family val="0"/>
        <charset val="1"/>
      </rPr>
      <t xml:space="preserve">5</t>
    </r>
    <r>
      <rPr>
        <sz val="10"/>
        <rFont val="WenQuanYi Zen Hei"/>
        <family val="2"/>
      </rPr>
      <t xml:space="preserve">键</t>
    </r>
    <r>
      <rPr>
        <sz val="10"/>
        <rFont val="微软雅黑"/>
        <family val="0"/>
        <charset val="1"/>
      </rPr>
      <t xml:space="preserve">-cherry</t>
    </r>
    <r>
      <rPr>
        <sz val="10"/>
        <rFont val="WenQuanYi Zen Hei"/>
        <family val="2"/>
      </rPr>
      <t xml:space="preserve">红轴</t>
    </r>
  </si>
  <si>
    <r>
      <rPr>
        <sz val="10"/>
        <rFont val="WenQuanYi Zen Hei"/>
        <family val="2"/>
      </rPr>
      <t xml:space="preserve">热熔胶枪</t>
    </r>
    <r>
      <rPr>
        <sz val="10"/>
        <rFont val="微软雅黑"/>
        <family val="0"/>
        <charset val="1"/>
      </rPr>
      <t xml:space="preserve">-20</t>
    </r>
    <r>
      <rPr>
        <sz val="10"/>
        <rFont val="WenQuanYi Zen Hei"/>
        <family val="2"/>
      </rPr>
      <t xml:space="preserve">根胶棒</t>
    </r>
  </si>
  <si>
    <r>
      <rPr>
        <sz val="10"/>
        <rFont val="微软雅黑"/>
        <family val="0"/>
        <charset val="1"/>
      </rPr>
      <t xml:space="preserve">5</t>
    </r>
    <r>
      <rPr>
        <sz val="10"/>
        <rFont val="WenQuanYi Zen Hei"/>
        <family val="2"/>
      </rPr>
      <t xml:space="preserve">键小键盘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黑色带</t>
    </r>
    <r>
      <rPr>
        <sz val="10"/>
        <rFont val="微软雅黑"/>
        <family val="0"/>
        <charset val="1"/>
      </rPr>
      <t xml:space="preserve">RGB</t>
    </r>
  </si>
  <si>
    <r>
      <rPr>
        <sz val="10"/>
        <rFont val="WenQuanYi Zen Hei"/>
        <family val="2"/>
      </rPr>
      <t xml:space="preserve">金属冲剪</t>
    </r>
    <r>
      <rPr>
        <sz val="10"/>
        <rFont val="微软雅黑"/>
        <family val="0"/>
        <charset val="1"/>
      </rPr>
      <t xml:space="preserve">-20V</t>
    </r>
    <r>
      <rPr>
        <sz val="10"/>
        <rFont val="WenQuanYi Zen Hei"/>
        <family val="2"/>
      </rPr>
      <t xml:space="preserve">无绳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</si>
  <si>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11.0%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-8.4%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</si>
  <si>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往复锯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单手</t>
    </r>
  </si>
  <si>
    <r>
      <rPr>
        <sz val="10"/>
        <rFont val="WenQuanYi Zen Hei"/>
        <family val="2"/>
      </rPr>
      <t xml:space="preserve">角磨机</t>
    </r>
    <r>
      <rPr>
        <sz val="10"/>
        <rFont val="微软雅黑"/>
        <family val="0"/>
        <charset val="1"/>
      </rPr>
      <t xml:space="preserve">-5/8"-11</t>
    </r>
    <r>
      <rPr>
        <sz val="10"/>
        <rFont val="WenQuanYi Zen Hei"/>
        <family val="2"/>
      </rPr>
      <t xml:space="preserve">芯轴</t>
    </r>
  </si>
  <si>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套 白色带</t>
    </r>
    <r>
      <rPr>
        <sz val="10"/>
        <rFont val="微软雅黑"/>
        <family val="0"/>
        <charset val="1"/>
      </rPr>
      <t xml:space="preserve">RGB </t>
    </r>
    <r>
      <rPr>
        <sz val="10"/>
        <rFont val="WenQuanYi Zen Hei"/>
        <family val="2"/>
      </rPr>
      <t xml:space="preserve">迷你小键盘</t>
    </r>
    <r>
      <rPr>
        <sz val="10"/>
        <rFont val="微软雅黑"/>
        <family val="0"/>
        <charset val="1"/>
      </rPr>
      <t xml:space="preserve">4</t>
    </r>
    <r>
      <rPr>
        <sz val="10"/>
        <rFont val="WenQuanYi Zen Hei"/>
        <family val="2"/>
      </rPr>
      <t xml:space="preserve">键 按键可自行设置 </t>
    </r>
  </si>
  <si>
    <r>
      <rPr>
        <sz val="10"/>
        <rFont val="WenQuanYi Zen Hei"/>
        <family val="2"/>
      </rPr>
      <t xml:space="preserve">迷你小键盘</t>
    </r>
    <r>
      <rPr>
        <sz val="10"/>
        <rFont val="微软雅黑"/>
        <family val="0"/>
        <charset val="1"/>
      </rPr>
      <t xml:space="preserve">6</t>
    </r>
    <r>
      <rPr>
        <sz val="10"/>
        <rFont val="WenQuanYi Zen Hei"/>
        <family val="2"/>
      </rPr>
      <t xml:space="preserve">键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按键可自行设置 </t>
    </r>
    <r>
      <rPr>
        <sz val="10"/>
        <rFont val="微软雅黑"/>
        <family val="0"/>
        <charset val="1"/>
      </rPr>
      <t xml:space="preserve">cherry</t>
    </r>
    <r>
      <rPr>
        <sz val="10"/>
        <rFont val="WenQuanYi Zen Hei"/>
        <family val="2"/>
      </rPr>
      <t xml:space="preserve">红轴入库</t>
    </r>
  </si>
  <si>
    <r>
      <rPr>
        <sz val="10"/>
        <rFont val="WenQuanYi Zen Hei"/>
        <family val="2"/>
      </rPr>
      <t xml:space="preserve">迷你小键盘</t>
    </r>
    <r>
      <rPr>
        <sz val="10"/>
        <rFont val="微软雅黑"/>
        <family val="0"/>
        <charset val="1"/>
      </rPr>
      <t xml:space="preserve">2</t>
    </r>
    <r>
      <rPr>
        <sz val="10"/>
        <rFont val="WenQuanYi Zen Hei"/>
        <family val="2"/>
      </rPr>
      <t xml:space="preserve">键</t>
    </r>
    <r>
      <rPr>
        <sz val="10"/>
        <rFont val="微软雅黑"/>
        <family val="0"/>
        <charset val="1"/>
      </rPr>
      <t xml:space="preserve">-cherry</t>
    </r>
    <r>
      <rPr>
        <sz val="10"/>
        <rFont val="WenQuanYi Zen Hei"/>
        <family val="2"/>
      </rPr>
      <t xml:space="preserve">红轴配英语说明书</t>
    </r>
    <r>
      <rPr>
        <sz val="10"/>
        <rFont val="微软雅黑"/>
        <family val="0"/>
        <charset val="1"/>
      </rPr>
      <t xml:space="preserve">+1.5</t>
    </r>
  </si>
  <si>
    <r>
      <rPr>
        <sz val="10"/>
        <rFont val="WenQuanYi Zen Hei"/>
        <family val="2"/>
      </rPr>
      <t xml:space="preserve">曲线锯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有刷款</t>
    </r>
  </si>
  <si>
    <r>
      <rPr>
        <sz val="10"/>
        <rFont val="WenQuanYi Zen Hei"/>
        <family val="2"/>
      </rPr>
      <t xml:space="preserve">墙面收纳架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带</t>
    </r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个支架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</si>
  <si>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11.1%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-0.9%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</si>
  <si>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修边机</t>
    </r>
    <r>
      <rPr>
        <sz val="10"/>
        <rFont val="微软雅黑"/>
        <family val="0"/>
        <charset val="1"/>
      </rPr>
      <t xml:space="preserve">-15pcs</t>
    </r>
    <r>
      <rPr>
        <sz val="10"/>
        <rFont val="WenQuanYi Zen Hei"/>
        <family val="2"/>
      </rPr>
      <t xml:space="preserve">铣刀</t>
    </r>
    <r>
      <rPr>
        <sz val="10"/>
        <rFont val="微软雅黑"/>
        <family val="0"/>
        <charset val="1"/>
      </rPr>
      <t xml:space="preserve">+</t>
    </r>
    <r>
      <rPr>
        <sz val="10"/>
        <rFont val="WenQuanYi Zen Hei"/>
        <family val="2"/>
      </rPr>
      <t xml:space="preserve">切入式底座</t>
    </r>
    <r>
      <rPr>
        <sz val="10"/>
        <rFont val="微软雅黑"/>
        <family val="0"/>
        <charset val="1"/>
      </rPr>
      <t xml:space="preserve">+</t>
    </r>
    <r>
      <rPr>
        <sz val="10"/>
        <rFont val="WenQuanYi Zen Hei"/>
        <family val="2"/>
      </rPr>
      <t xml:space="preserve">双手手柄套装</t>
    </r>
  </si>
  <si>
    <t xml:space="preserve">清理</t>
  </si>
  <si>
    <r>
      <rPr>
        <sz val="10"/>
        <rFont val="WenQuanYi Zen Hei"/>
        <family val="2"/>
      </rPr>
      <t xml:space="preserve">销售 </t>
    </r>
    <r>
      <rPr>
        <sz val="10"/>
        <rFont val="微软雅黑"/>
        <family val="0"/>
        <charset val="1"/>
      </rPr>
      <t xml:space="preserve">&lt;$1K </t>
    </r>
    <r>
      <rPr>
        <sz val="10"/>
        <rFont val="WenQuanYi Zen Hei"/>
        <family val="2"/>
      </rPr>
      <t xml:space="preserve">仍在投广告</t>
    </r>
  </si>
  <si>
    <t xml:space="preserve">低销售仍在烧广告：停投，链接合并或清货</t>
  </si>
  <si>
    <r>
      <rPr>
        <sz val="10"/>
        <rFont val="WenQuanYi Zen Hei"/>
        <family val="2"/>
      </rPr>
      <t xml:space="preserve">不锈钢排气管</t>
    </r>
    <r>
      <rPr>
        <sz val="10"/>
        <rFont val="微软雅黑"/>
        <family val="0"/>
        <charset val="1"/>
      </rPr>
      <t xml:space="preserve">-2.5cm</t>
    </r>
  </si>
  <si>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套 </t>
    </r>
    <r>
      <rPr>
        <sz val="10"/>
        <rFont val="微软雅黑"/>
        <family val="0"/>
        <charset val="1"/>
      </rPr>
      <t xml:space="preserve">1.2M 2.5cm</t>
    </r>
    <r>
      <rPr>
        <sz val="10"/>
        <rFont val="WenQuanYi Zen Hei"/>
        <family val="2"/>
      </rPr>
      <t xml:space="preserve">不锈钢排气管停车空气加热器</t>
    </r>
  </si>
  <si>
    <t xml:space="preserve">灯头</t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</si>
  <si>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20.2% </t>
    </r>
    <r>
      <rPr>
        <sz val="10"/>
        <rFont val="WenQuanYi Zen Hei"/>
        <family val="2"/>
      </rPr>
      <t xml:space="preserve">偏高（保本 </t>
    </r>
    <r>
      <rPr>
        <sz val="10"/>
        <rFont val="微软雅黑"/>
        <family val="0"/>
        <charset val="1"/>
      </rPr>
      <t xml:space="preserve">36.4%</t>
    </r>
    <r>
      <rPr>
        <sz val="10"/>
        <rFont val="WenQuanYi Zen Hei"/>
        <family val="2"/>
      </rPr>
      <t xml:space="preserve">）：砍高花费 </t>
    </r>
    <r>
      <rPr>
        <sz val="10"/>
        <rFont val="微软雅黑"/>
        <family val="0"/>
        <charset val="1"/>
      </rPr>
      <t xml:space="preserve">0 </t>
    </r>
    <r>
      <rPr>
        <sz val="10"/>
        <rFont val="WenQuanYi Zen Hei"/>
        <family val="2"/>
      </rPr>
      <t xml:space="preserve">单词和 </t>
    </r>
    <r>
      <rPr>
        <sz val="10"/>
        <rFont val="微软雅黑"/>
        <family val="0"/>
        <charset val="1"/>
      </rPr>
      <t xml:space="preserve">ACOS </t>
    </r>
    <r>
      <rPr>
        <sz val="10"/>
        <rFont val="WenQuanYi Zen Hei"/>
        <family val="2"/>
      </rPr>
      <t xml:space="preserve">超保本的投放，</t>
    </r>
    <r>
      <rPr>
        <sz val="10"/>
        <rFont val="微软雅黑"/>
        <family val="0"/>
        <charset val="1"/>
      </rPr>
      <t xml:space="preserve">4 </t>
    </r>
    <r>
      <rPr>
        <sz val="10"/>
        <rFont val="WenQuanYi Zen Hei"/>
        <family val="2"/>
      </rPr>
      <t xml:space="preserve">周内降到 </t>
    </r>
    <r>
      <rPr>
        <sz val="10"/>
        <rFont val="微软雅黑"/>
        <family val="0"/>
        <charset val="1"/>
      </rPr>
      <t xml:space="preserve">15.0%</t>
    </r>
    <r>
      <rPr>
        <sz val="10"/>
        <rFont val="WenQuanYi Zen Hei"/>
        <family val="2"/>
      </rPr>
      <t xml:space="preserve">；连续 </t>
    </r>
    <r>
      <rPr>
        <sz val="10"/>
        <rFont val="微软雅黑"/>
        <family val="0"/>
        <charset val="1"/>
      </rPr>
      <t xml:space="preserve">4 </t>
    </r>
    <r>
      <rPr>
        <sz val="10"/>
        <rFont val="WenQuanYi Zen Hei"/>
        <family val="2"/>
      </rPr>
      <t xml:space="preserve">周无改善转压缩</t>
    </r>
  </si>
  <si>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套 白色带</t>
    </r>
    <r>
      <rPr>
        <sz val="10"/>
        <rFont val="微软雅黑"/>
        <family val="0"/>
        <charset val="1"/>
      </rPr>
      <t xml:space="preserve">RGB </t>
    </r>
    <r>
      <rPr>
        <sz val="10"/>
        <rFont val="WenQuanYi Zen Hei"/>
        <family val="2"/>
      </rPr>
      <t xml:space="preserve">迷你小键盘</t>
    </r>
    <r>
      <rPr>
        <sz val="10"/>
        <rFont val="微软雅黑"/>
        <family val="0"/>
        <charset val="1"/>
      </rPr>
      <t xml:space="preserve">2</t>
    </r>
    <r>
      <rPr>
        <sz val="10"/>
        <rFont val="WenQuanYi Zen Hei"/>
        <family val="2"/>
      </rPr>
      <t xml:space="preserve">键 按键可自行设置 </t>
    </r>
  </si>
  <si>
    <r>
      <rPr>
        <sz val="10"/>
        <rFont val="WenQuanYi Zen Hei"/>
        <family val="2"/>
      </rPr>
      <t xml:space="preserve">切入式底座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无品牌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</si>
  <si>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12.0%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-27.8%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</si>
  <si>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手刹铝合金按钮</t>
    </r>
    <r>
      <rPr>
        <sz val="10"/>
        <rFont val="微软雅黑"/>
        <family val="0"/>
        <charset val="1"/>
      </rPr>
      <t xml:space="preserve">- </t>
    </r>
    <r>
      <rPr>
        <sz val="10"/>
        <rFont val="WenQuanYi Zen Hei"/>
        <family val="2"/>
      </rPr>
      <t xml:space="preserve">适用</t>
    </r>
    <r>
      <rPr>
        <sz val="10"/>
        <rFont val="微软雅黑"/>
        <family val="0"/>
        <charset val="1"/>
      </rPr>
      <t xml:space="preserve">Vauxhall Opel M</t>
    </r>
  </si>
  <si>
    <r>
      <rPr>
        <sz val="10"/>
        <rFont val="WenQuanYi Zen Hei"/>
        <family val="2"/>
      </rPr>
      <t xml:space="preserve">丙烷填充适配器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带接头帽子</t>
    </r>
  </si>
  <si>
    <r>
      <rPr>
        <sz val="10"/>
        <rFont val="WenQuanYi Zen Hei"/>
        <family val="2"/>
      </rPr>
      <t xml:space="preserve">铆钉枪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不锈钢钉</t>
    </r>
  </si>
  <si>
    <r>
      <rPr>
        <sz val="10"/>
        <rFont val="WenQuanYi Zen Hei"/>
        <family val="2"/>
      </rPr>
      <t xml:space="preserve">无线高压清洗机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无刷三挡两电一充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</si>
  <si>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24.1% </t>
    </r>
    <r>
      <rPr>
        <sz val="10"/>
        <rFont val="WenQuanYi Zen Hei"/>
        <family val="2"/>
      </rPr>
      <t xml:space="preserve">已超过广告前毛利率 </t>
    </r>
    <r>
      <rPr>
        <sz val="10"/>
        <rFont val="微软雅黑"/>
        <family val="0"/>
        <charset val="1"/>
      </rPr>
      <t xml:space="preserve">4.9%</t>
    </r>
    <r>
      <rPr>
        <sz val="10"/>
        <rFont val="WenQuanYi Zen Hei"/>
        <family val="2"/>
      </rPr>
      <t xml:space="preserve">：先停泛词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自动广告，只留品牌词与高转化精准词；同步复核定价与采购成本，</t>
    </r>
    <r>
      <rPr>
        <sz val="10"/>
        <rFont val="微软雅黑"/>
        <family val="0"/>
        <charset val="1"/>
      </rPr>
      <t xml:space="preserve">2 </t>
    </r>
    <r>
      <rPr>
        <sz val="10"/>
        <rFont val="WenQuanYi Zen Hei"/>
        <family val="2"/>
      </rPr>
      <t xml:space="preserve">周内毛利转正再恢复</t>
    </r>
  </si>
  <si>
    <r>
      <rPr>
        <sz val="10"/>
        <rFont val="WenQuanYi Zen Hei"/>
        <family val="2"/>
      </rPr>
      <t xml:space="preserve">修枝剪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四合一款</t>
    </r>
  </si>
  <si>
    <r>
      <rPr>
        <sz val="10"/>
        <rFont val="WenQuanYi Zen Hei"/>
        <family val="2"/>
      </rPr>
      <t xml:space="preserve">车库灯</t>
    </r>
    <r>
      <rPr>
        <sz val="10"/>
        <rFont val="微软雅黑"/>
        <family val="0"/>
        <charset val="1"/>
      </rPr>
      <t xml:space="preserve">-6+1</t>
    </r>
    <r>
      <rPr>
        <sz val="10"/>
        <rFont val="WenQuanYi Zen Hei"/>
        <family val="2"/>
      </rPr>
      <t xml:space="preserve">灯尾插款</t>
    </r>
  </si>
  <si>
    <r>
      <rPr>
        <sz val="10"/>
        <rFont val="WenQuanYi Zen Hei"/>
        <family val="2"/>
      </rPr>
      <t xml:space="preserve">双手手柄附件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无品牌</t>
    </r>
  </si>
  <si>
    <r>
      <rPr>
        <sz val="10"/>
        <rFont val="WenQuanYi Zen Hei"/>
        <family val="2"/>
      </rPr>
      <t xml:space="preserve">迷你小键盘</t>
    </r>
    <r>
      <rPr>
        <sz val="10"/>
        <rFont val="微软雅黑"/>
        <family val="0"/>
        <charset val="1"/>
      </rPr>
      <t xml:space="preserve">3</t>
    </r>
    <r>
      <rPr>
        <sz val="10"/>
        <rFont val="WenQuanYi Zen Hei"/>
        <family val="2"/>
      </rPr>
      <t xml:space="preserve">键</t>
    </r>
    <r>
      <rPr>
        <sz val="10"/>
        <rFont val="微软雅黑"/>
        <family val="0"/>
        <charset val="1"/>
      </rPr>
      <t xml:space="preserve">-cherry</t>
    </r>
    <r>
      <rPr>
        <sz val="10"/>
        <rFont val="WenQuanYi Zen Hei"/>
        <family val="2"/>
      </rPr>
      <t xml:space="preserve">红轴</t>
    </r>
  </si>
  <si>
    <r>
      <rPr>
        <sz val="10"/>
        <rFont val="WenQuanYi Zen Hei"/>
        <family val="2"/>
      </rPr>
      <t xml:space="preserve">广告少于 </t>
    </r>
    <r>
      <rPr>
        <sz val="10"/>
        <rFont val="微软雅黑"/>
        <family val="0"/>
        <charset val="1"/>
      </rPr>
      <t xml:space="preserve">$200</t>
    </r>
    <r>
      <rPr>
        <sz val="10"/>
        <rFont val="WenQuanYi Zen Hei"/>
        <family val="2"/>
      </rPr>
      <t xml:space="preserve">，不纳入监控</t>
    </r>
  </si>
  <si>
    <r>
      <rPr>
        <sz val="10"/>
        <rFont val="WenQuanYi Zen Hei"/>
        <family val="2"/>
      </rPr>
      <t xml:space="preserve">黄油枪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直转</t>
    </r>
    <r>
      <rPr>
        <sz val="10"/>
        <rFont val="微软雅黑"/>
        <family val="0"/>
        <charset val="1"/>
      </rPr>
      <t xml:space="preserve">2.0</t>
    </r>
    <r>
      <rPr>
        <sz val="10"/>
        <rFont val="WenQuanYi Zen Hei"/>
        <family val="2"/>
      </rPr>
      <t xml:space="preserve">款</t>
    </r>
  </si>
  <si>
    <r>
      <rPr>
        <sz val="10"/>
        <rFont val="WenQuanYi Zen Hei"/>
        <family val="2"/>
      </rPr>
      <t xml:space="preserve">逆变器</t>
    </r>
    <r>
      <rPr>
        <sz val="10"/>
        <rFont val="微软雅黑"/>
        <family val="0"/>
        <charset val="1"/>
      </rPr>
      <t xml:space="preserve">-400W</t>
    </r>
  </si>
  <si>
    <r>
      <rPr>
        <sz val="10"/>
        <rFont val="WenQuanYi Zen Hei"/>
        <family val="2"/>
      </rPr>
      <t xml:space="preserve">车载吸入式</t>
    </r>
    <r>
      <rPr>
        <sz val="10"/>
        <rFont val="微软雅黑"/>
        <family val="0"/>
        <charset val="1"/>
      </rPr>
      <t xml:space="preserve">DVD</t>
    </r>
    <r>
      <rPr>
        <sz val="10"/>
        <rFont val="WenQuanYi Zen Hei"/>
        <family val="2"/>
      </rPr>
      <t xml:space="preserve">碟盒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套装</t>
    </r>
  </si>
  <si>
    <r>
      <rPr>
        <sz val="10"/>
        <rFont val="WenQuanYi Zen Hei"/>
        <family val="2"/>
      </rPr>
      <t xml:space="preserve">工作灯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双开关底座</t>
    </r>
    <r>
      <rPr>
        <sz val="10"/>
        <rFont val="微软雅黑"/>
        <family val="0"/>
        <charset val="1"/>
      </rPr>
      <t xml:space="preserve">16</t>
    </r>
    <r>
      <rPr>
        <sz val="10"/>
        <rFont val="WenQuanYi Zen Hei"/>
        <family val="2"/>
      </rPr>
      <t xml:space="preserve">珠</t>
    </r>
    <r>
      <rPr>
        <sz val="10"/>
        <rFont val="微软雅黑"/>
        <family val="0"/>
        <charset val="1"/>
      </rPr>
      <t xml:space="preserve">29W</t>
    </r>
  </si>
  <si>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套 </t>
    </r>
    <r>
      <rPr>
        <sz val="10"/>
        <rFont val="微软雅黑"/>
        <family val="0"/>
        <charset val="1"/>
      </rPr>
      <t xml:space="preserve">20V </t>
    </r>
    <r>
      <rPr>
        <sz val="10"/>
        <rFont val="WenQuanYi Zen Hei"/>
        <family val="2"/>
      </rPr>
      <t xml:space="preserve">无刷</t>
    </r>
    <r>
      <rPr>
        <sz val="10"/>
        <rFont val="微软雅黑"/>
        <family val="0"/>
        <charset val="1"/>
      </rPr>
      <t xml:space="preserve">350W</t>
    </r>
    <r>
      <rPr>
        <sz val="10"/>
        <rFont val="WenQuanYi Zen Hei"/>
        <family val="2"/>
      </rPr>
      <t xml:space="preserve">数显款家用吸尘器</t>
    </r>
  </si>
  <si>
    <r>
      <rPr>
        <sz val="10"/>
        <rFont val="WenQuanYi Zen Hei"/>
        <family val="2"/>
      </rPr>
      <t xml:space="preserve">开孔机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无刷</t>
    </r>
  </si>
  <si>
    <r>
      <rPr>
        <sz val="10"/>
        <rFont val="WenQuanYi Zen Hei"/>
        <family val="2"/>
      </rPr>
      <t xml:space="preserve">支架灯</t>
    </r>
    <r>
      <rPr>
        <sz val="10"/>
        <rFont val="微软雅黑"/>
        <family val="0"/>
        <charset val="1"/>
      </rPr>
      <t xml:space="preserve">-100W</t>
    </r>
    <r>
      <rPr>
        <sz val="10"/>
        <rFont val="WenQuanYi Zen Hei"/>
        <family val="2"/>
      </rPr>
      <t xml:space="preserve">灯头</t>
    </r>
  </si>
  <si>
    <r>
      <rPr>
        <sz val="10"/>
        <rFont val="WenQuanYi Zen Hei"/>
        <family val="2"/>
      </rPr>
      <t xml:space="preserve">工作灯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底座</t>
    </r>
    <r>
      <rPr>
        <sz val="10"/>
        <rFont val="微软雅黑"/>
        <family val="0"/>
        <charset val="1"/>
      </rPr>
      <t xml:space="preserve">62</t>
    </r>
    <r>
      <rPr>
        <sz val="10"/>
        <rFont val="WenQuanYi Zen Hei"/>
        <family val="2"/>
      </rPr>
      <t xml:space="preserve">珠</t>
    </r>
  </si>
  <si>
    <r>
      <rPr>
        <sz val="10"/>
        <rFont val="WenQuanYi Zen Hei"/>
        <family val="2"/>
      </rPr>
      <t xml:space="preserve">工作灯</t>
    </r>
    <r>
      <rPr>
        <sz val="10"/>
        <rFont val="微软雅黑"/>
        <family val="0"/>
        <charset val="1"/>
      </rPr>
      <t xml:space="preserve">-16</t>
    </r>
    <r>
      <rPr>
        <sz val="10"/>
        <rFont val="WenQuanYi Zen Hei"/>
        <family val="2"/>
      </rPr>
      <t xml:space="preserve">珠</t>
    </r>
    <r>
      <rPr>
        <sz val="10"/>
        <rFont val="微软雅黑"/>
        <family val="0"/>
        <charset val="1"/>
      </rPr>
      <t xml:space="preserve">21W</t>
    </r>
  </si>
  <si>
    <r>
      <rPr>
        <sz val="10"/>
        <rFont val="WenQuanYi Zen Hei"/>
        <family val="2"/>
      </rPr>
      <t xml:space="preserve">工作灯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底座</t>
    </r>
  </si>
  <si>
    <t xml:space="preserve">电池包</t>
  </si>
  <si>
    <r>
      <rPr>
        <sz val="10"/>
        <rFont val="WenQuanYi Zen Hei"/>
        <family val="2"/>
      </rPr>
      <t xml:space="preserve">带</t>
    </r>
    <r>
      <rPr>
        <sz val="10"/>
        <rFont val="微软雅黑"/>
        <family val="0"/>
        <charset val="1"/>
      </rPr>
      <t xml:space="preserve">CE</t>
    </r>
    <r>
      <rPr>
        <sz val="10"/>
        <rFont val="WenQuanYi Zen Hei"/>
        <family val="2"/>
      </rPr>
      <t xml:space="preserve">认证 </t>
    </r>
    <r>
      <rPr>
        <sz val="10"/>
        <rFont val="微软雅黑"/>
        <family val="0"/>
        <charset val="1"/>
      </rPr>
      <t xml:space="preserve">DD4AH</t>
    </r>
    <r>
      <rPr>
        <sz val="10"/>
        <rFont val="WenQuanYi Zen Hei"/>
        <family val="2"/>
      </rPr>
      <t xml:space="preserve">电池包</t>
    </r>
    <r>
      <rPr>
        <sz val="10"/>
        <rFont val="微软雅黑"/>
        <family val="0"/>
        <charset val="1"/>
      </rPr>
      <t xml:space="preserve">*</t>
    </r>
  </si>
  <si>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套 </t>
    </r>
    <r>
      <rPr>
        <sz val="10"/>
        <rFont val="微软雅黑"/>
        <family val="0"/>
        <charset val="1"/>
      </rPr>
      <t xml:space="preserve">Y </t>
    </r>
    <r>
      <rPr>
        <sz val="10"/>
        <rFont val="WenQuanYi Zen Hei"/>
        <family val="2"/>
      </rPr>
      <t xml:space="preserve">三件套多尺寸磨轮五金配件</t>
    </r>
  </si>
  <si>
    <r>
      <rPr>
        <sz val="10"/>
        <rFont val="WenQuanYi Zen Hei"/>
        <family val="2"/>
      </rPr>
      <t xml:space="preserve">无线高压清洗机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无刷三挡一电一充</t>
    </r>
  </si>
  <si>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套 白色带</t>
    </r>
    <r>
      <rPr>
        <sz val="10"/>
        <rFont val="微软雅黑"/>
        <family val="0"/>
        <charset val="1"/>
      </rPr>
      <t xml:space="preserve">RGB </t>
    </r>
    <r>
      <rPr>
        <sz val="10"/>
        <rFont val="WenQuanYi Zen Hei"/>
        <family val="2"/>
      </rPr>
      <t xml:space="preserve">迷你小键盘</t>
    </r>
    <r>
      <rPr>
        <sz val="10"/>
        <rFont val="微软雅黑"/>
        <family val="0"/>
        <charset val="1"/>
      </rPr>
      <t xml:space="preserve">3</t>
    </r>
    <r>
      <rPr>
        <sz val="10"/>
        <rFont val="WenQuanYi Zen Hei"/>
        <family val="2"/>
      </rPr>
      <t xml:space="preserve">键 按键可自行设置 </t>
    </r>
  </si>
  <si>
    <r>
      <rPr>
        <sz val="10"/>
        <rFont val="WenQuanYi Zen Hei"/>
        <family val="2"/>
      </rPr>
      <t xml:space="preserve">热熔胶棒</t>
    </r>
    <r>
      <rPr>
        <sz val="10"/>
        <rFont val="微软雅黑"/>
        <family val="0"/>
        <charset val="1"/>
      </rPr>
      <t xml:space="preserve">-20</t>
    </r>
    <r>
      <rPr>
        <sz val="10"/>
        <rFont val="WenQuanYi Zen Hei"/>
        <family val="2"/>
      </rPr>
      <t xml:space="preserve">根</t>
    </r>
    <r>
      <rPr>
        <sz val="10"/>
        <rFont val="微软雅黑"/>
        <family val="0"/>
        <charset val="1"/>
      </rPr>
      <t xml:space="preserve">7*150mm</t>
    </r>
  </si>
  <si>
    <r>
      <rPr>
        <sz val="10"/>
        <rFont val="WenQuanYi Zen Hei"/>
        <family val="2"/>
      </rPr>
      <t xml:space="preserve">带</t>
    </r>
    <r>
      <rPr>
        <sz val="10"/>
        <rFont val="微软雅黑"/>
        <family val="0"/>
        <charset val="1"/>
      </rPr>
      <t xml:space="preserve">CE</t>
    </r>
    <r>
      <rPr>
        <sz val="10"/>
        <rFont val="WenQuanYi Zen Hei"/>
        <family val="2"/>
      </rPr>
      <t xml:space="preserve">认证 </t>
    </r>
    <r>
      <rPr>
        <sz val="10"/>
        <rFont val="微软雅黑"/>
        <family val="0"/>
        <charset val="1"/>
      </rPr>
      <t xml:space="preserve">DD4AH</t>
    </r>
    <r>
      <rPr>
        <sz val="10"/>
        <rFont val="WenQuanYi Zen Hei"/>
        <family val="2"/>
      </rPr>
      <t xml:space="preserve">电池包</t>
    </r>
    <r>
      <rPr>
        <sz val="10"/>
        <rFont val="微软雅黑"/>
        <family val="0"/>
        <charset val="1"/>
      </rPr>
      <t xml:space="preserve">*3</t>
    </r>
    <r>
      <rPr>
        <sz val="10"/>
        <rFont val="WenQuanYi Zen Hei"/>
        <family val="2"/>
      </rPr>
      <t xml:space="preserve">个装</t>
    </r>
  </si>
  <si>
    <r>
      <rPr>
        <sz val="10"/>
        <rFont val="WenQuanYi Zen Hei"/>
        <family val="2"/>
      </rPr>
      <t xml:space="preserve">钉枪</t>
    </r>
    <r>
      <rPr>
        <sz val="10"/>
        <rFont val="微软雅黑"/>
        <family val="0"/>
        <charset val="1"/>
      </rPr>
      <t xml:space="preserve">-F50/40</t>
    </r>
    <r>
      <rPr>
        <sz val="10"/>
        <rFont val="WenQuanYi Zen Hei"/>
        <family val="2"/>
      </rPr>
      <t xml:space="preserve">两用款</t>
    </r>
  </si>
  <si>
    <r>
      <rPr>
        <sz val="10"/>
        <rFont val="WenQuanYi Zen Hei"/>
        <family val="2"/>
      </rPr>
      <t xml:space="preserve">锂电油泵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手提自动款</t>
    </r>
    <r>
      <rPr>
        <sz val="10"/>
        <rFont val="微软雅黑"/>
        <family val="0"/>
        <charset val="1"/>
      </rPr>
      <t xml:space="preserve">3.8GPM 5</t>
    </r>
    <r>
      <rPr>
        <sz val="10"/>
        <rFont val="WenQuanYi Zen Hei"/>
        <family val="2"/>
      </rPr>
      <t xml:space="preserve">个适配器</t>
    </r>
  </si>
  <si>
    <t xml:space="preserve">宠物帐篷</t>
  </si>
  <si>
    <r>
      <rPr>
        <sz val="10"/>
        <rFont val="WenQuanYi Zen Hei"/>
        <family val="2"/>
      </rPr>
      <t xml:space="preserve">圆形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宠物帐篷</t>
    </r>
    <r>
      <rPr>
        <sz val="10"/>
        <rFont val="微软雅黑"/>
        <family val="0"/>
        <charset val="1"/>
      </rPr>
      <t xml:space="preserve">-M</t>
    </r>
    <r>
      <rPr>
        <sz val="10"/>
        <rFont val="WenQuanYi Zen Hei"/>
        <family val="2"/>
      </rPr>
      <t xml:space="preserve">码</t>
    </r>
  </si>
  <si>
    <r>
      <rPr>
        <sz val="10"/>
        <rFont val="WenQuanYi Zen Hei"/>
        <family val="2"/>
      </rPr>
      <t xml:space="preserve">直立式输水泵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分体式</t>
    </r>
  </si>
  <si>
    <t xml:space="preserve">鹅颈灯</t>
  </si>
  <si>
    <r>
      <rPr>
        <sz val="10"/>
        <rFont val="WenQuanYi Zen Hei"/>
        <family val="2"/>
      </rPr>
      <t xml:space="preserve">工作灯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双开关底座</t>
    </r>
    <r>
      <rPr>
        <sz val="10"/>
        <rFont val="微软雅黑"/>
        <family val="0"/>
        <charset val="1"/>
      </rPr>
      <t xml:space="preserve">18</t>
    </r>
    <r>
      <rPr>
        <sz val="10"/>
        <rFont val="WenQuanYi Zen Hei"/>
        <family val="2"/>
      </rPr>
      <t xml:space="preserve">珠</t>
    </r>
    <r>
      <rPr>
        <sz val="10"/>
        <rFont val="微软雅黑"/>
        <family val="0"/>
        <charset val="1"/>
      </rPr>
      <t xml:space="preserve">12W</t>
    </r>
  </si>
  <si>
    <r>
      <rPr>
        <sz val="10"/>
        <rFont val="WenQuanYi Zen Hei"/>
        <family val="2"/>
      </rPr>
      <t xml:space="preserve">风扇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两档风速</t>
    </r>
  </si>
  <si>
    <r>
      <rPr>
        <sz val="10"/>
        <rFont val="WenQuanYi Zen Hei"/>
        <family val="2"/>
      </rPr>
      <t xml:space="preserve">工作灯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双开关底座</t>
    </r>
    <r>
      <rPr>
        <sz val="10"/>
        <rFont val="微软雅黑"/>
        <family val="0"/>
        <charset val="1"/>
      </rPr>
      <t xml:space="preserve">16</t>
    </r>
    <r>
      <rPr>
        <sz val="10"/>
        <rFont val="WenQuanYi Zen Hei"/>
        <family val="2"/>
      </rPr>
      <t xml:space="preserve">珠</t>
    </r>
    <r>
      <rPr>
        <sz val="10"/>
        <rFont val="微软雅黑"/>
        <family val="0"/>
        <charset val="1"/>
      </rPr>
      <t xml:space="preserve">27W</t>
    </r>
  </si>
  <si>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套 白色带</t>
    </r>
    <r>
      <rPr>
        <sz val="10"/>
        <rFont val="微软雅黑"/>
        <family val="0"/>
        <charset val="1"/>
      </rPr>
      <t xml:space="preserve">RGB </t>
    </r>
    <r>
      <rPr>
        <sz val="10"/>
        <rFont val="WenQuanYi Zen Hei"/>
        <family val="2"/>
      </rPr>
      <t xml:space="preserve">迷你小键盘</t>
    </r>
    <r>
      <rPr>
        <sz val="10"/>
        <rFont val="微软雅黑"/>
        <family val="0"/>
        <charset val="1"/>
      </rPr>
      <t xml:space="preserve">6</t>
    </r>
    <r>
      <rPr>
        <sz val="10"/>
        <rFont val="WenQuanYi Zen Hei"/>
        <family val="2"/>
      </rPr>
      <t xml:space="preserve">键 按键可自行设置 </t>
    </r>
  </si>
  <si>
    <r>
      <rPr>
        <sz val="10"/>
        <rFont val="WenQuanYi Zen Hei"/>
        <family val="2"/>
      </rPr>
      <t xml:space="preserve">组合 </t>
    </r>
    <r>
      <rPr>
        <sz val="10"/>
        <rFont val="微软雅黑"/>
        <family val="0"/>
        <charset val="1"/>
      </rPr>
      <t xml:space="preserve">DD</t>
    </r>
    <r>
      <rPr>
        <sz val="10"/>
        <rFont val="WenQuanYi Zen Hei"/>
        <family val="2"/>
      </rPr>
      <t xml:space="preserve">无刷</t>
    </r>
    <r>
      <rPr>
        <sz val="10"/>
        <rFont val="微软雅黑"/>
        <family val="0"/>
        <charset val="1"/>
      </rPr>
      <t xml:space="preserve">350W</t>
    </r>
    <r>
      <rPr>
        <sz val="10"/>
        <rFont val="WenQuanYi Zen Hei"/>
        <family val="2"/>
      </rPr>
      <t xml:space="preserve">数显款家用吸尘器</t>
    </r>
  </si>
  <si>
    <r>
      <rPr>
        <sz val="10"/>
        <rFont val="WenQuanYi Zen Hei"/>
        <family val="2"/>
      </rPr>
      <t xml:space="preserve">除雪机</t>
    </r>
    <r>
      <rPr>
        <sz val="10"/>
        <rFont val="微软雅黑"/>
        <family val="0"/>
        <charset val="1"/>
      </rPr>
      <t xml:space="preserve">-40V13.2</t>
    </r>
    <r>
      <rPr>
        <sz val="10"/>
        <rFont val="WenQuanYi Zen Hei"/>
        <family val="2"/>
      </rPr>
      <t xml:space="preserve">寸</t>
    </r>
  </si>
  <si>
    <r>
      <rPr>
        <sz val="10"/>
        <rFont val="WenQuanYi Zen Hei"/>
        <family val="2"/>
      </rPr>
      <t xml:space="preserve">灯头</t>
    </r>
    <r>
      <rPr>
        <sz val="10"/>
        <rFont val="微软雅黑"/>
        <family val="0"/>
        <charset val="1"/>
      </rPr>
      <t xml:space="preserve">-100W</t>
    </r>
    <r>
      <rPr>
        <sz val="10"/>
        <rFont val="WenQuanYi Zen Hei"/>
        <family val="2"/>
      </rPr>
      <t xml:space="preserve">灯头</t>
    </r>
    <r>
      <rPr>
        <sz val="10"/>
        <rFont val="微软雅黑"/>
        <family val="0"/>
        <charset val="1"/>
      </rPr>
      <t xml:space="preserve">110v</t>
    </r>
  </si>
  <si>
    <r>
      <rPr>
        <sz val="10"/>
        <rFont val="WenQuanYi Zen Hei"/>
        <family val="2"/>
      </rPr>
      <t xml:space="preserve">钉子</t>
    </r>
    <r>
      <rPr>
        <sz val="10"/>
        <rFont val="微软雅黑"/>
        <family val="0"/>
        <charset val="1"/>
      </rPr>
      <t xml:space="preserve">-18GA</t>
    </r>
  </si>
  <si>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个 </t>
    </r>
    <r>
      <rPr>
        <sz val="10"/>
        <rFont val="微软雅黑"/>
        <family val="0"/>
        <charset val="1"/>
      </rPr>
      <t xml:space="preserve">Y </t>
    </r>
    <r>
      <rPr>
        <sz val="10"/>
        <rFont val="WenQuanYi Zen Hei"/>
        <family val="2"/>
      </rPr>
      <t xml:space="preserve">转接器 </t>
    </r>
    <r>
      <rPr>
        <sz val="10"/>
        <rFont val="微软雅黑"/>
        <family val="0"/>
        <charset val="1"/>
      </rPr>
      <t xml:space="preserve">Milwaukee M18 18V</t>
    </r>
  </si>
  <si>
    <r>
      <rPr>
        <sz val="10"/>
        <rFont val="WenQuanYi Zen Hei"/>
        <family val="2"/>
      </rPr>
      <t xml:space="preserve">矩形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宠物帐篷</t>
    </r>
  </si>
  <si>
    <r>
      <rPr>
        <sz val="10"/>
        <rFont val="WenQuanYi Zen Hei"/>
        <family val="2"/>
      </rPr>
      <t xml:space="preserve">转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热熔胶枪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低价款</t>
    </r>
  </si>
  <si>
    <r>
      <rPr>
        <sz val="10"/>
        <rFont val="WenQuanYi Zen Hei"/>
        <family val="2"/>
      </rPr>
      <t xml:space="preserve">迷你小键盘</t>
    </r>
    <r>
      <rPr>
        <sz val="10"/>
        <rFont val="微软雅黑"/>
        <family val="0"/>
        <charset val="1"/>
      </rPr>
      <t xml:space="preserve">-2</t>
    </r>
    <r>
      <rPr>
        <sz val="10"/>
        <rFont val="WenQuanYi Zen Hei"/>
        <family val="2"/>
      </rPr>
      <t xml:space="preserve">键配</t>
    </r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条</t>
    </r>
    <r>
      <rPr>
        <sz val="10"/>
        <rFont val="微软雅黑"/>
        <family val="0"/>
        <charset val="1"/>
      </rPr>
      <t xml:space="preserve">2</t>
    </r>
    <r>
      <rPr>
        <sz val="10"/>
        <rFont val="WenQuanYi Zen Hei"/>
        <family val="2"/>
      </rPr>
      <t xml:space="preserve">米数据线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无品牌</t>
    </r>
  </si>
  <si>
    <t xml:space="preserve">更换零件</t>
  </si>
  <si>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套 </t>
    </r>
    <r>
      <rPr>
        <sz val="10"/>
        <rFont val="微软雅黑"/>
        <family val="0"/>
        <charset val="1"/>
      </rPr>
      <t xml:space="preserve">2M 2.5cm</t>
    </r>
    <r>
      <rPr>
        <sz val="10"/>
        <rFont val="WenQuanYi Zen Hei"/>
        <family val="2"/>
      </rPr>
      <t xml:space="preserve">不锈钢排气管停车空气加热器罐柴</t>
    </r>
  </si>
  <si>
    <r>
      <rPr>
        <sz val="10"/>
        <rFont val="WenQuanYi Zen Hei"/>
        <family val="2"/>
      </rPr>
      <t xml:space="preserve">单品 </t>
    </r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套 </t>
    </r>
    <r>
      <rPr>
        <sz val="10"/>
        <rFont val="微软雅黑"/>
        <family val="0"/>
        <charset val="1"/>
      </rPr>
      <t xml:space="preserve">20V </t>
    </r>
    <r>
      <rPr>
        <sz val="10"/>
        <rFont val="WenQuanYi Zen Hei"/>
        <family val="2"/>
      </rPr>
      <t xml:space="preserve">无刷</t>
    </r>
    <r>
      <rPr>
        <sz val="10"/>
        <rFont val="微软雅黑"/>
        <family val="0"/>
        <charset val="1"/>
      </rPr>
      <t xml:space="preserve">350W</t>
    </r>
    <r>
      <rPr>
        <sz val="10"/>
        <rFont val="WenQuanYi Zen Hei"/>
        <family val="2"/>
      </rPr>
      <t xml:space="preserve">数显款家用吸尘器</t>
    </r>
  </si>
  <si>
    <r>
      <rPr>
        <sz val="10"/>
        <rFont val="WenQuanYi Zen Hei"/>
        <family val="2"/>
      </rPr>
      <t xml:space="preserve">曲线锯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普通款</t>
    </r>
  </si>
  <si>
    <r>
      <rPr>
        <sz val="10"/>
        <rFont val="WenQuanYi Zen Hei"/>
        <family val="2"/>
      </rPr>
      <t xml:space="preserve">吸尘器</t>
    </r>
    <r>
      <rPr>
        <sz val="10"/>
        <rFont val="微软雅黑"/>
        <family val="0"/>
        <charset val="1"/>
      </rPr>
      <t xml:space="preserve">-250W</t>
    </r>
  </si>
  <si>
    <r>
      <rPr>
        <sz val="10"/>
        <rFont val="WenQuanYi Zen Hei"/>
        <family val="2"/>
      </rPr>
      <t xml:space="preserve">热风枪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单温款</t>
    </r>
    <r>
      <rPr>
        <sz val="10"/>
        <rFont val="微软雅黑"/>
        <family val="0"/>
        <charset val="1"/>
      </rPr>
      <t xml:space="preserve">5</t>
    </r>
    <r>
      <rPr>
        <sz val="10"/>
        <rFont val="WenQuanYi Zen Hei"/>
        <family val="2"/>
      </rPr>
      <t xml:space="preserve">件套</t>
    </r>
  </si>
  <si>
    <r>
      <rPr>
        <sz val="10"/>
        <rFont val="微软雅黑"/>
        <family val="0"/>
        <charset val="1"/>
      </rPr>
      <t xml:space="preserve">KA</t>
    </r>
    <r>
      <rPr>
        <sz val="10"/>
        <rFont val="WenQuanYi Zen Hei"/>
        <family val="2"/>
      </rPr>
      <t xml:space="preserve">面钩</t>
    </r>
  </si>
  <si>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套 </t>
    </r>
    <r>
      <rPr>
        <sz val="10"/>
        <rFont val="微软雅黑"/>
        <family val="0"/>
        <charset val="1"/>
      </rPr>
      <t xml:space="preserve">KA</t>
    </r>
    <r>
      <rPr>
        <sz val="10"/>
        <rFont val="WenQuanYi Zen Hei"/>
        <family val="2"/>
      </rPr>
      <t xml:space="preserve">配件 </t>
    </r>
    <r>
      <rPr>
        <sz val="10"/>
        <rFont val="微软雅黑"/>
        <family val="0"/>
        <charset val="1"/>
      </rPr>
      <t xml:space="preserve">K45DH </t>
    </r>
    <r>
      <rPr>
        <sz val="10"/>
        <rFont val="WenQuanYi Zen Hei"/>
        <family val="2"/>
      </rPr>
      <t xml:space="preserve">全不锈钢面钩 </t>
    </r>
    <r>
      <rPr>
        <sz val="10"/>
        <rFont val="微软雅黑"/>
        <family val="0"/>
        <charset val="1"/>
      </rPr>
      <t xml:space="preserve">+</t>
    </r>
    <r>
      <rPr>
        <sz val="10"/>
        <rFont val="WenQuanYi Zen Hei"/>
        <family val="2"/>
      </rPr>
      <t xml:space="preserve">品牌彩盒</t>
    </r>
  </si>
  <si>
    <r>
      <rPr>
        <sz val="10"/>
        <rFont val="微软雅黑"/>
        <family val="0"/>
        <charset val="1"/>
      </rPr>
      <t xml:space="preserve">H</t>
    </r>
    <r>
      <rPr>
        <sz val="10"/>
        <rFont val="WenQuanYi Zen Hei"/>
        <family val="2"/>
      </rPr>
      <t xml:space="preserve">档系列</t>
    </r>
  </si>
  <si>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套 </t>
    </r>
    <r>
      <rPr>
        <sz val="10"/>
        <rFont val="微软雅黑"/>
        <family val="0"/>
        <charset val="1"/>
      </rPr>
      <t xml:space="preserve">V2 Aikeec 7+R </t>
    </r>
    <r>
      <rPr>
        <sz val="10"/>
        <rFont val="WenQuanYi Zen Hei"/>
        <family val="2"/>
      </rPr>
      <t xml:space="preserve">手排挡</t>
    </r>
    <r>
      <rPr>
        <sz val="10"/>
        <rFont val="微软雅黑"/>
        <family val="0"/>
        <charset val="1"/>
      </rPr>
      <t xml:space="preserve">+</t>
    </r>
    <r>
      <rPr>
        <sz val="10"/>
        <rFont val="WenQuanYi Zen Hei"/>
        <family val="2"/>
      </rPr>
      <t xml:space="preserve">手排挡夹具</t>
    </r>
  </si>
  <si>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个 </t>
    </r>
    <r>
      <rPr>
        <sz val="10"/>
        <rFont val="微软雅黑"/>
        <family val="0"/>
        <charset val="1"/>
      </rPr>
      <t xml:space="preserve">18V DIY</t>
    </r>
    <r>
      <rPr>
        <sz val="10"/>
        <rFont val="WenQuanYi Zen Hei"/>
        <family val="2"/>
      </rPr>
      <t xml:space="preserve">转换器</t>
    </r>
  </si>
  <si>
    <r>
      <rPr>
        <sz val="10"/>
        <rFont val="WenQuanYi Zen Hei"/>
        <family val="2"/>
      </rPr>
      <t xml:space="preserve">钉枪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小型单用款一电一充</t>
    </r>
  </si>
  <si>
    <t xml:space="preserve">汽修配件</t>
  </si>
  <si>
    <r>
      <rPr>
        <sz val="10"/>
        <rFont val="WenQuanYi Zen Hei"/>
        <family val="2"/>
      </rPr>
      <t xml:space="preserve">低价铬钒钢冲击套筒套装</t>
    </r>
    <r>
      <rPr>
        <sz val="10"/>
        <rFont val="微软雅黑"/>
        <family val="0"/>
        <charset val="1"/>
      </rPr>
      <t xml:space="preserve">-32</t>
    </r>
    <r>
      <rPr>
        <sz val="10"/>
        <rFont val="WenQuanYi Zen Hei"/>
        <family val="2"/>
      </rPr>
      <t xml:space="preserve">件</t>
    </r>
  </si>
  <si>
    <r>
      <rPr>
        <sz val="10"/>
        <rFont val="WenQuanYi Zen Hei"/>
        <family val="2"/>
      </rPr>
      <t xml:space="preserve">镍镉转接器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兼容</t>
    </r>
    <r>
      <rPr>
        <sz val="10"/>
        <rFont val="微软雅黑"/>
        <family val="0"/>
        <charset val="1"/>
      </rPr>
      <t xml:space="preserve">MT20MN</t>
    </r>
  </si>
  <si>
    <r>
      <rPr>
        <sz val="10"/>
        <rFont val="WenQuanYi Zen Hei"/>
        <family val="2"/>
      </rPr>
      <t xml:space="preserve">除雪机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无刷带滑轨</t>
    </r>
  </si>
  <si>
    <r>
      <rPr>
        <sz val="10"/>
        <rFont val="微软雅黑"/>
        <family val="0"/>
        <charset val="1"/>
      </rPr>
      <t xml:space="preserve">KA</t>
    </r>
    <r>
      <rPr>
        <sz val="10"/>
        <rFont val="WenQuanYi Zen Hei"/>
        <family val="2"/>
      </rPr>
      <t xml:space="preserve">机器</t>
    </r>
  </si>
  <si>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套 </t>
    </r>
    <r>
      <rPr>
        <sz val="10"/>
        <rFont val="微软雅黑"/>
        <family val="0"/>
        <charset val="1"/>
      </rPr>
      <t xml:space="preserve">KA</t>
    </r>
    <r>
      <rPr>
        <sz val="10"/>
        <rFont val="WenQuanYi Zen Hei"/>
        <family val="2"/>
      </rPr>
      <t xml:space="preserve">配件</t>
    </r>
    <r>
      <rPr>
        <sz val="10"/>
        <rFont val="微软雅黑"/>
        <family val="0"/>
        <charset val="1"/>
      </rPr>
      <t xml:space="preserve">-2</t>
    </r>
    <r>
      <rPr>
        <sz val="10"/>
        <rFont val="WenQuanYi Zen Hei"/>
        <family val="2"/>
      </rPr>
      <t xml:space="preserve">代 片面</t>
    </r>
    <r>
      <rPr>
        <sz val="10"/>
        <rFont val="微软雅黑"/>
        <family val="0"/>
        <charset val="1"/>
      </rPr>
      <t xml:space="preserve">+</t>
    </r>
    <r>
      <rPr>
        <sz val="10"/>
        <rFont val="WenQuanYi Zen Hei"/>
        <family val="2"/>
      </rPr>
      <t xml:space="preserve">细面</t>
    </r>
    <r>
      <rPr>
        <sz val="10"/>
        <rFont val="微软雅黑"/>
        <family val="0"/>
        <charset val="1"/>
      </rPr>
      <t xml:space="preserve">+</t>
    </r>
    <r>
      <rPr>
        <sz val="10"/>
        <rFont val="WenQuanYi Zen Hei"/>
        <family val="2"/>
      </rPr>
      <t xml:space="preserve">宽面 套装</t>
    </r>
  </si>
  <si>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套 </t>
    </r>
    <r>
      <rPr>
        <sz val="10"/>
        <rFont val="微软雅黑"/>
        <family val="0"/>
        <charset val="1"/>
      </rPr>
      <t xml:space="preserve">V2 Aikeec 7+R </t>
    </r>
    <r>
      <rPr>
        <sz val="10"/>
        <rFont val="WenQuanYi Zen Hei"/>
        <family val="2"/>
      </rPr>
      <t xml:space="preserve">手排挡</t>
    </r>
  </si>
  <si>
    <r>
      <rPr>
        <sz val="10"/>
        <rFont val="WenQuanYi Zen Hei"/>
        <family val="2"/>
      </rPr>
      <t xml:space="preserve">锂电池工作灯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压铸铝三头款</t>
    </r>
    <r>
      <rPr>
        <sz val="10"/>
        <rFont val="微软雅黑"/>
        <family val="0"/>
        <charset val="1"/>
      </rPr>
      <t xml:space="preserve">65W</t>
    </r>
  </si>
  <si>
    <r>
      <rPr>
        <sz val="10"/>
        <rFont val="WenQuanYi Zen Hei"/>
        <family val="2"/>
      </rPr>
      <t xml:space="preserve">曲线锯</t>
    </r>
    <r>
      <rPr>
        <sz val="10"/>
        <rFont val="微软雅黑"/>
        <family val="0"/>
        <charset val="1"/>
      </rPr>
      <t xml:space="preserve">-(</t>
    </r>
    <r>
      <rPr>
        <sz val="10"/>
        <rFont val="WenQuanYi Zen Hei"/>
        <family val="2"/>
      </rPr>
      <t xml:space="preserve">美规</t>
    </r>
  </si>
  <si>
    <r>
      <rPr>
        <sz val="10"/>
        <rFont val="WenQuanYi Zen Hei"/>
        <family val="2"/>
      </rPr>
      <t xml:space="preserve">工作灯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双开关底座</t>
    </r>
    <r>
      <rPr>
        <sz val="10"/>
        <rFont val="微软雅黑"/>
        <family val="0"/>
        <charset val="1"/>
      </rPr>
      <t xml:space="preserve">9</t>
    </r>
    <r>
      <rPr>
        <sz val="10"/>
        <rFont val="WenQuanYi Zen Hei"/>
        <family val="2"/>
      </rPr>
      <t xml:space="preserve">珠</t>
    </r>
    <r>
      <rPr>
        <sz val="10"/>
        <rFont val="微软雅黑"/>
        <family val="0"/>
        <charset val="1"/>
      </rPr>
      <t xml:space="preserve">27W</t>
    </r>
  </si>
  <si>
    <r>
      <rPr>
        <sz val="10"/>
        <rFont val="WenQuanYi Zen Hei"/>
        <family val="2"/>
      </rPr>
      <t xml:space="preserve">工具推车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低配</t>
    </r>
  </si>
  <si>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套 蓝色底座 双开关 </t>
    </r>
    <r>
      <rPr>
        <sz val="10"/>
        <rFont val="微软雅黑"/>
        <family val="0"/>
        <charset val="1"/>
      </rPr>
      <t xml:space="preserve">18V7</t>
    </r>
    <r>
      <rPr>
        <sz val="10"/>
        <rFont val="WenQuanYi Zen Hei"/>
        <family val="2"/>
      </rPr>
      <t xml:space="preserve">寸</t>
    </r>
    <r>
      <rPr>
        <sz val="10"/>
        <rFont val="微软雅黑"/>
        <family val="0"/>
        <charset val="1"/>
      </rPr>
      <t xml:space="preserve">62</t>
    </r>
    <r>
      <rPr>
        <sz val="10"/>
        <rFont val="WenQuanYi Zen Hei"/>
        <family val="2"/>
      </rPr>
      <t xml:space="preserve">珠</t>
    </r>
    <r>
      <rPr>
        <sz val="10"/>
        <rFont val="微软雅黑"/>
        <family val="0"/>
        <charset val="1"/>
      </rPr>
      <t xml:space="preserve">48W</t>
    </r>
    <r>
      <rPr>
        <sz val="10"/>
        <rFont val="WenQuanYi Zen Hei"/>
        <family val="2"/>
      </rPr>
      <t xml:space="preserve">工作灯</t>
    </r>
  </si>
  <si>
    <r>
      <rPr>
        <sz val="10"/>
        <rFont val="WenQuanYi Zen Hei"/>
        <family val="2"/>
      </rPr>
      <t xml:space="preserve">角磨机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小型</t>
    </r>
    <r>
      <rPr>
        <sz val="10"/>
        <rFont val="微软雅黑"/>
        <family val="0"/>
        <charset val="1"/>
      </rPr>
      <t xml:space="preserve">3</t>
    </r>
    <r>
      <rPr>
        <sz val="10"/>
        <rFont val="WenQuanYi Zen Hei"/>
        <family val="2"/>
      </rPr>
      <t xml:space="preserve">寸</t>
    </r>
  </si>
  <si>
    <r>
      <rPr>
        <sz val="10"/>
        <rFont val="WenQuanYi Zen Hei"/>
        <family val="2"/>
      </rPr>
      <t xml:space="preserve">抛光机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有刷汽车缓冲两电一充</t>
    </r>
  </si>
  <si>
    <t xml:space="preserve">手刹系列</t>
  </si>
  <si>
    <r>
      <rPr>
        <sz val="10"/>
        <rFont val="WenQuanYi Zen Hei"/>
        <family val="2"/>
      </rPr>
      <t xml:space="preserve">方向盘磁吸拨片 适用于罗技</t>
    </r>
    <r>
      <rPr>
        <sz val="10"/>
        <rFont val="微软雅黑"/>
        <family val="0"/>
        <charset val="1"/>
      </rPr>
      <t xml:space="preserve">G29/G27/G920/</t>
    </r>
  </si>
  <si>
    <t xml:space="preserve">户外运动用品</t>
  </si>
  <si>
    <r>
      <rPr>
        <sz val="10"/>
        <rFont val="WenQuanYi Zen Hei"/>
        <family val="2"/>
      </rPr>
      <t xml:space="preserve">插脚电热披毯</t>
    </r>
    <r>
      <rPr>
        <sz val="10"/>
        <rFont val="微软雅黑"/>
        <family val="0"/>
        <charset val="1"/>
      </rPr>
      <t xml:space="preserve">-145*90cm</t>
    </r>
  </si>
  <si>
    <r>
      <rPr>
        <sz val="10"/>
        <rFont val="WenQuanYi Zen Hei"/>
        <family val="2"/>
      </rPr>
      <t xml:space="preserve">电热披毯</t>
    </r>
    <r>
      <rPr>
        <sz val="10"/>
        <rFont val="微软雅黑"/>
        <family val="0"/>
        <charset val="1"/>
      </rPr>
      <t xml:space="preserve">-145*90cm</t>
    </r>
  </si>
  <si>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个 </t>
    </r>
    <r>
      <rPr>
        <sz val="10"/>
        <rFont val="微软雅黑"/>
        <family val="0"/>
        <charset val="1"/>
      </rPr>
      <t xml:space="preserve">T1</t>
    </r>
    <r>
      <rPr>
        <sz val="10"/>
        <rFont val="WenQuanYi Zen Hei"/>
        <family val="2"/>
      </rPr>
      <t xml:space="preserve">升级款 </t>
    </r>
    <r>
      <rPr>
        <sz val="10"/>
        <rFont val="微软雅黑"/>
        <family val="0"/>
        <charset val="1"/>
      </rPr>
      <t xml:space="preserve">64</t>
    </r>
    <r>
      <rPr>
        <sz val="10"/>
        <rFont val="WenQuanYi Zen Hei"/>
        <family val="2"/>
      </rPr>
      <t xml:space="preserve">位 红色</t>
    </r>
    <r>
      <rPr>
        <sz val="10"/>
        <rFont val="微软雅黑"/>
        <family val="0"/>
        <charset val="1"/>
      </rPr>
      <t xml:space="preserve">+</t>
    </r>
    <r>
      <rPr>
        <sz val="10"/>
        <rFont val="WenQuanYi Zen Hei"/>
        <family val="2"/>
      </rPr>
      <t xml:space="preserve">夹具 </t>
    </r>
    <r>
      <rPr>
        <sz val="10"/>
        <rFont val="微软雅黑"/>
        <family val="0"/>
        <charset val="1"/>
      </rPr>
      <t xml:space="preserve">Aikeec </t>
    </r>
  </si>
  <si>
    <t xml:space="preserve">特斯拉线圈</t>
  </si>
  <si>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个 欧规插头【蓝牙版】银色成品</t>
    </r>
    <r>
      <rPr>
        <sz val="10"/>
        <rFont val="微软雅黑"/>
        <family val="0"/>
        <charset val="1"/>
      </rPr>
      <t xml:space="preserve">+</t>
    </r>
    <r>
      <rPr>
        <sz val="10"/>
        <rFont val="WenQuanYi Zen Hei"/>
        <family val="2"/>
      </rPr>
      <t xml:space="preserve">电源 特斯拉线圈 </t>
    </r>
  </si>
  <si>
    <r>
      <rPr>
        <sz val="10"/>
        <rFont val="WenQuanYi Zen Hei"/>
        <family val="2"/>
      </rPr>
      <t xml:space="preserve">充气泵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气嘴四件套</t>
    </r>
  </si>
  <si>
    <t xml:space="preserve">其他游戏配件</t>
  </si>
  <si>
    <r>
      <rPr>
        <sz val="10"/>
        <rFont val="WenQuanYi Zen Hei"/>
        <family val="2"/>
      </rPr>
      <t xml:space="preserve">机械甩棍伸缩棍</t>
    </r>
    <r>
      <rPr>
        <sz val="10"/>
        <rFont val="微软雅黑"/>
        <family val="0"/>
        <charset val="1"/>
      </rPr>
      <t xml:space="preserve">360</t>
    </r>
    <r>
      <rPr>
        <sz val="10"/>
        <rFont val="WenQuanYi Zen Hei"/>
        <family val="2"/>
      </rPr>
      <t xml:space="preserve">度旋转快拔战术工程塑胶棍套</t>
    </r>
  </si>
  <si>
    <r>
      <rPr>
        <sz val="10"/>
        <rFont val="WenQuanYi Zen Hei"/>
        <family val="2"/>
      </rPr>
      <t xml:space="preserve">电圆锯</t>
    </r>
    <r>
      <rPr>
        <sz val="10"/>
        <rFont val="微软雅黑"/>
        <family val="0"/>
        <charset val="1"/>
      </rPr>
      <t xml:space="preserve">-7.25</t>
    </r>
    <r>
      <rPr>
        <sz val="10"/>
        <rFont val="WenQuanYi Zen Hei"/>
        <family val="2"/>
      </rPr>
      <t xml:space="preserve">英寸</t>
    </r>
  </si>
  <si>
    <r>
      <rPr>
        <sz val="10"/>
        <rFont val="WenQuanYi Zen Hei"/>
        <family val="2"/>
      </rPr>
      <t xml:space="preserve">喷漆枪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无刷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常规</t>
    </r>
  </si>
  <si>
    <t xml:space="preserve">园林配件</t>
  </si>
  <si>
    <r>
      <rPr>
        <sz val="10"/>
        <rFont val="WenQuanYi Zen Hei"/>
        <family val="2"/>
      </rPr>
      <t xml:space="preserve">修枝剪刀片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刀口</t>
    </r>
    <r>
      <rPr>
        <sz val="10"/>
        <rFont val="微软雅黑"/>
        <family val="0"/>
        <charset val="1"/>
      </rPr>
      <t xml:space="preserve">2.5cm</t>
    </r>
  </si>
  <si>
    <r>
      <rPr>
        <sz val="10"/>
        <rFont val="WenQuanYi Zen Hei"/>
        <family val="2"/>
      </rPr>
      <t xml:space="preserve">伸缩气管卷盘</t>
    </r>
    <r>
      <rPr>
        <sz val="10"/>
        <rFont val="微软雅黑"/>
        <family val="0"/>
        <charset val="1"/>
      </rPr>
      <t xml:space="preserve">-50FT</t>
    </r>
  </si>
  <si>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个 </t>
    </r>
    <r>
      <rPr>
        <sz val="10"/>
        <rFont val="微软雅黑"/>
        <family val="0"/>
        <charset val="1"/>
      </rPr>
      <t xml:space="preserve">DD </t>
    </r>
    <r>
      <rPr>
        <sz val="10"/>
        <rFont val="WenQuanYi Zen Hei"/>
        <family val="2"/>
      </rPr>
      <t xml:space="preserve">便携式热导仪测钻笔</t>
    </r>
    <r>
      <rPr>
        <sz val="10"/>
        <rFont val="微软雅黑"/>
        <family val="0"/>
        <charset val="1"/>
      </rPr>
      <t xml:space="preserve">+1</t>
    </r>
    <r>
      <rPr>
        <sz val="10"/>
        <rFont val="WenQuanYi Zen Hei"/>
        <family val="2"/>
      </rPr>
      <t xml:space="preserve">节</t>
    </r>
    <r>
      <rPr>
        <sz val="10"/>
        <rFont val="微软雅黑"/>
        <family val="0"/>
        <charset val="1"/>
      </rPr>
      <t xml:space="preserve">9V</t>
    </r>
    <r>
      <rPr>
        <sz val="10"/>
        <rFont val="WenQuanYi Zen Hei"/>
        <family val="2"/>
      </rPr>
      <t xml:space="preserve">电池</t>
    </r>
  </si>
  <si>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套 </t>
    </r>
    <r>
      <rPr>
        <sz val="10"/>
        <rFont val="微软雅黑"/>
        <family val="0"/>
        <charset val="1"/>
      </rPr>
      <t xml:space="preserve">Y 10pcs </t>
    </r>
    <r>
      <rPr>
        <sz val="10"/>
        <rFont val="WenQuanYi Zen Hei"/>
        <family val="2"/>
      </rPr>
      <t xml:space="preserve">单张九孔通用 标准集邮册内页活</t>
    </r>
  </si>
  <si>
    <r>
      <rPr>
        <sz val="10"/>
        <rFont val="微软雅黑"/>
        <family val="0"/>
        <charset val="1"/>
      </rPr>
      <t xml:space="preserve">2</t>
    </r>
    <r>
      <rPr>
        <sz val="10"/>
        <rFont val="WenQuanYi Zen Hei"/>
        <family val="2"/>
      </rPr>
      <t xml:space="preserve">套 </t>
    </r>
    <r>
      <rPr>
        <sz val="10"/>
        <rFont val="微软雅黑"/>
        <family val="0"/>
        <charset val="1"/>
      </rPr>
      <t xml:space="preserve">Y 20pcs </t>
    </r>
    <r>
      <rPr>
        <sz val="10"/>
        <rFont val="WenQuanYi Zen Hei"/>
        <family val="2"/>
      </rPr>
      <t xml:space="preserve">单张九孔通用 标准集邮册内页活</t>
    </r>
  </si>
  <si>
    <r>
      <rPr>
        <sz val="10"/>
        <rFont val="WenQuanYi Zen Hei"/>
        <family val="2"/>
      </rPr>
      <t xml:space="preserve">圆形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宠物帐篷</t>
    </r>
    <r>
      <rPr>
        <sz val="10"/>
        <rFont val="微软雅黑"/>
        <family val="0"/>
        <charset val="1"/>
      </rPr>
      <t xml:space="preserve">-S</t>
    </r>
    <r>
      <rPr>
        <sz val="10"/>
        <rFont val="WenQuanYi Zen Hei"/>
        <family val="2"/>
      </rPr>
      <t xml:space="preserve">码</t>
    </r>
  </si>
  <si>
    <r>
      <rPr>
        <sz val="10"/>
        <rFont val="WenQuanYi Zen Hei"/>
        <family val="2"/>
      </rPr>
      <t xml:space="preserve">二代圆形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宠物帐篷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深蓝动物</t>
    </r>
    <r>
      <rPr>
        <sz val="10"/>
        <rFont val="微软雅黑"/>
        <family val="0"/>
        <charset val="1"/>
      </rPr>
      <t xml:space="preserve">-L</t>
    </r>
    <r>
      <rPr>
        <sz val="10"/>
        <rFont val="WenQuanYi Zen Hei"/>
        <family val="2"/>
      </rPr>
      <t xml:space="preserve">码</t>
    </r>
  </si>
  <si>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套 </t>
    </r>
    <r>
      <rPr>
        <sz val="10"/>
        <rFont val="微软雅黑"/>
        <family val="0"/>
        <charset val="1"/>
      </rPr>
      <t xml:space="preserve">18/20V</t>
    </r>
    <r>
      <rPr>
        <sz val="10"/>
        <rFont val="WenQuanYi Zen Hei"/>
        <family val="2"/>
      </rPr>
      <t xml:space="preserve">吸尘器 有刷电机</t>
    </r>
  </si>
  <si>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套 </t>
    </r>
    <r>
      <rPr>
        <sz val="10"/>
        <rFont val="微软雅黑"/>
        <family val="0"/>
        <charset val="1"/>
      </rPr>
      <t xml:space="preserve">18V</t>
    </r>
    <r>
      <rPr>
        <sz val="10"/>
        <rFont val="WenQuanYi Zen Hei"/>
        <family val="2"/>
      </rPr>
      <t xml:space="preserve">吸尘器 无刷电机</t>
    </r>
  </si>
  <si>
    <t xml:space="preserve">高低档系列</t>
  </si>
  <si>
    <r>
      <rPr>
        <sz val="10"/>
        <rFont val="WenQuanYi Zen Hei"/>
        <family val="2"/>
      </rPr>
      <t xml:space="preserve">高低档排档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老司机款</t>
    </r>
  </si>
  <si>
    <r>
      <rPr>
        <sz val="10"/>
        <rFont val="WenQuanYi Zen Hei"/>
        <family val="2"/>
      </rPr>
      <t xml:space="preserve">电链锯</t>
    </r>
    <r>
      <rPr>
        <sz val="10"/>
        <rFont val="微软雅黑"/>
        <family val="0"/>
        <charset val="1"/>
      </rPr>
      <t xml:space="preserve">-12</t>
    </r>
    <r>
      <rPr>
        <sz val="10"/>
        <rFont val="WenQuanYi Zen Hei"/>
        <family val="2"/>
      </rPr>
      <t xml:space="preserve">寸无刷</t>
    </r>
  </si>
  <si>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个 </t>
    </r>
    <r>
      <rPr>
        <sz val="10"/>
        <rFont val="微软雅黑"/>
        <family val="0"/>
        <charset val="1"/>
      </rPr>
      <t xml:space="preserve">18V DIY</t>
    </r>
    <r>
      <rPr>
        <sz val="10"/>
        <rFont val="WenQuanYi Zen Hei"/>
        <family val="2"/>
      </rPr>
      <t xml:space="preserve">转换器 </t>
    </r>
    <r>
      <rPr>
        <sz val="10"/>
        <rFont val="微软雅黑"/>
        <family val="0"/>
        <charset val="1"/>
      </rPr>
      <t xml:space="preserve">FBA SKU06615</t>
    </r>
  </si>
  <si>
    <r>
      <rPr>
        <sz val="10"/>
        <rFont val="WenQuanYi Zen Hei"/>
        <family val="2"/>
      </rPr>
      <t xml:space="preserve">工作灯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双开关</t>
    </r>
    <r>
      <rPr>
        <sz val="10"/>
        <rFont val="微软雅黑"/>
        <family val="0"/>
        <charset val="1"/>
      </rPr>
      <t xml:space="preserve">16</t>
    </r>
    <r>
      <rPr>
        <sz val="10"/>
        <rFont val="WenQuanYi Zen Hei"/>
        <family val="2"/>
      </rPr>
      <t xml:space="preserve">珠</t>
    </r>
    <r>
      <rPr>
        <sz val="10"/>
        <rFont val="微软雅黑"/>
        <family val="0"/>
        <charset val="1"/>
      </rPr>
      <t xml:space="preserve">29W</t>
    </r>
  </si>
  <si>
    <r>
      <rPr>
        <sz val="10"/>
        <rFont val="WenQuanYi Zen Hei"/>
        <family val="2"/>
      </rPr>
      <t xml:space="preserve">干湿吸尘器配件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板式过滤器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不带电</t>
    </r>
  </si>
  <si>
    <r>
      <rPr>
        <sz val="10"/>
        <rFont val="WenQuanYi Zen Hei"/>
        <family val="2"/>
      </rPr>
      <t xml:space="preserve">刷头替换件</t>
    </r>
    <r>
      <rPr>
        <sz val="10"/>
        <rFont val="微软雅黑"/>
        <family val="0"/>
        <charset val="1"/>
      </rPr>
      <t xml:space="preserve">-4</t>
    </r>
    <r>
      <rPr>
        <sz val="10"/>
        <rFont val="WenQuanYi Zen Hei"/>
        <family val="2"/>
      </rPr>
      <t xml:space="preserve">个装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无品牌</t>
    </r>
  </si>
  <si>
    <r>
      <rPr>
        <sz val="10"/>
        <rFont val="WenQuanYi Zen Hei"/>
        <family val="2"/>
      </rPr>
      <t xml:space="preserve">刷头替换件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无品牌</t>
    </r>
  </si>
  <si>
    <r>
      <rPr>
        <sz val="10"/>
        <rFont val="WenQuanYi Zen Hei"/>
        <family val="2"/>
      </rPr>
      <t xml:space="preserve">修枝剪刀片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刀口</t>
    </r>
    <r>
      <rPr>
        <sz val="10"/>
        <rFont val="微软雅黑"/>
        <family val="0"/>
        <charset val="1"/>
      </rPr>
      <t xml:space="preserve">3.0cm</t>
    </r>
  </si>
  <si>
    <r>
      <rPr>
        <sz val="10"/>
        <rFont val="WenQuanYi Zen Hei"/>
        <family val="2"/>
      </rPr>
      <t xml:space="preserve">锂电油泵</t>
    </r>
    <r>
      <rPr>
        <sz val="10"/>
        <rFont val="微软雅黑"/>
        <family val="0"/>
        <charset val="1"/>
      </rPr>
      <t xml:space="preserve">-</t>
    </r>
    <r>
      <rPr>
        <sz val="10"/>
        <rFont val="WenQuanYi Zen Hei"/>
        <family val="2"/>
      </rPr>
      <t xml:space="preserve">手动自停</t>
    </r>
  </si>
  <si>
    <r>
      <rPr>
        <sz val="10"/>
        <rFont val="微软雅黑"/>
        <family val="0"/>
        <charset val="1"/>
      </rPr>
      <t xml:space="preserve">1</t>
    </r>
    <r>
      <rPr>
        <sz val="10"/>
        <rFont val="WenQuanYi Zen Hei"/>
        <family val="2"/>
      </rPr>
      <t xml:space="preserve">套 </t>
    </r>
    <r>
      <rPr>
        <sz val="10"/>
        <rFont val="微软雅黑"/>
        <family val="0"/>
        <charset val="1"/>
      </rPr>
      <t xml:space="preserve">18/20V</t>
    </r>
    <r>
      <rPr>
        <sz val="10"/>
        <rFont val="WenQuanYi Zen Hei"/>
        <family val="2"/>
      </rPr>
      <t xml:space="preserve">吸尘器 无刷电机</t>
    </r>
  </si>
  <si>
    <t xml:space="preserve">合计</t>
  </si>
  <si>
    <r>
      <rPr>
        <sz val="10"/>
        <rFont val="WenQuanYi Zen Hei"/>
        <family val="2"/>
      </rPr>
      <t xml:space="preserve">说明：</t>
    </r>
    <r>
      <rPr>
        <sz val="10"/>
        <rFont val="微软雅黑"/>
        <family val="0"/>
        <charset val="1"/>
      </rPr>
      <t xml:space="preserve">V </t>
    </r>
    <r>
      <rPr>
        <sz val="10"/>
        <rFont val="WenQuanYi Zen Hei"/>
        <family val="2"/>
      </rPr>
      <t xml:space="preserve">列「建议广告费率」为规则输出（黄色，可人工改），改后建议月预算自动重算；当前月广告</t>
    </r>
    <r>
      <rPr>
        <sz val="10"/>
        <rFont val="微软雅黑"/>
        <family val="0"/>
        <charset val="1"/>
      </rPr>
      <t xml:space="preserve">(</t>
    </r>
    <r>
      <rPr>
        <sz val="10"/>
        <rFont val="WenQuanYi Zen Hei"/>
        <family val="2"/>
      </rPr>
      <t xml:space="preserve">估</t>
    </r>
    <r>
      <rPr>
        <sz val="10"/>
        <rFont val="微软雅黑"/>
        <family val="0"/>
        <charset val="1"/>
      </rPr>
      <t xml:space="preserve">)=</t>
    </r>
    <r>
      <rPr>
        <sz val="10"/>
        <rFont val="WenQuanYi Zen Hei"/>
        <family val="2"/>
      </rPr>
      <t xml:space="preserve">近</t>
    </r>
    <r>
      <rPr>
        <sz val="10"/>
        <rFont val="微软雅黑"/>
        <family val="0"/>
        <charset val="1"/>
      </rPr>
      <t xml:space="preserve">30</t>
    </r>
    <r>
      <rPr>
        <sz val="10"/>
        <rFont val="WenQuanYi Zen Hei"/>
        <family val="2"/>
      </rPr>
      <t xml:space="preserve">天销售</t>
    </r>
    <r>
      <rPr>
        <sz val="10"/>
        <rFont val="微软雅黑"/>
        <family val="0"/>
        <charset val="1"/>
      </rPr>
      <t xml:space="preserve">×1–10</t>
    </r>
    <r>
      <rPr>
        <sz val="10"/>
        <rFont val="WenQuanYi Zen Hei"/>
        <family val="2"/>
      </rPr>
      <t xml:space="preserve">月广告费率。</t>
    </r>
    <r>
      <rPr>
        <sz val="10"/>
        <rFont val="微软雅黑"/>
        <family val="0"/>
        <charset val="1"/>
      </rPr>
      <t xml:space="preserve">SPU </t>
    </r>
    <r>
      <rPr>
        <sz val="10"/>
        <rFont val="WenQuanYi Zen Hei"/>
        <family val="2"/>
      </rPr>
      <t xml:space="preserve">由品名归并，规则见「规则参数」与看板「广告监控制度」。</t>
    </r>
  </si>
  <si>
    <t xml:space="preserve">品线（分类）</t>
  </si>
  <si>
    <t xml:space="preserve">广告状态</t>
  </si>
  <si>
    <t xml:space="preserve">状态依据</t>
  </si>
  <si>
    <r>
      <rPr>
        <b val="true"/>
        <sz val="10"/>
        <color rgb="FFFFFFFF"/>
        <rFont val="微软雅黑"/>
        <family val="0"/>
        <charset val="1"/>
      </rPr>
      <t xml:space="preserve">SPU</t>
    </r>
    <r>
      <rPr>
        <b val="true"/>
        <sz val="10"/>
        <color rgb="FFFFFFFF"/>
        <rFont val="WenQuanYi Zen Hei"/>
        <family val="2"/>
      </rPr>
      <t xml:space="preserve">数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</si>
  <si>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17.3% ≥17%</t>
    </r>
  </si>
  <si>
    <t xml:space="preserve">维稳</t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</si>
  <si>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13.0%</t>
    </r>
    <r>
      <rPr>
        <sz val="10"/>
        <rFont val="WenQuanYi Zen Hei"/>
        <family val="2"/>
      </rPr>
      <t xml:space="preserve">、广告费率 </t>
    </r>
    <r>
      <rPr>
        <sz val="10"/>
        <rFont val="微软雅黑"/>
        <family val="0"/>
        <charset val="1"/>
      </rPr>
      <t xml:space="preserve">16.1%</t>
    </r>
    <r>
      <rPr>
        <sz val="10"/>
        <rFont val="WenQuanYi Zen Hei"/>
        <family val="2"/>
      </rPr>
      <t xml:space="preserve">，在合理区间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</si>
  <si>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14.5%</t>
    </r>
    <r>
      <rPr>
        <sz val="10"/>
        <rFont val="WenQuanYi Zen Hei"/>
        <family val="2"/>
      </rPr>
      <t xml:space="preserve">、广告费率 </t>
    </r>
    <r>
      <rPr>
        <sz val="10"/>
        <rFont val="微软雅黑"/>
        <family val="0"/>
        <charset val="1"/>
      </rPr>
      <t xml:space="preserve">13.7%</t>
    </r>
    <r>
      <rPr>
        <sz val="10"/>
        <rFont val="WenQuanYi Zen Hei"/>
        <family val="2"/>
      </rPr>
      <t xml:space="preserve">，在合理区间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</si>
  <si>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19.0%</t>
    </r>
    <r>
      <rPr>
        <sz val="10"/>
        <rFont val="WenQuanYi Zen Hei"/>
        <family val="2"/>
      </rPr>
      <t xml:space="preserve">、广告费率 </t>
    </r>
    <r>
      <rPr>
        <sz val="10"/>
        <rFont val="微软雅黑"/>
        <family val="0"/>
        <charset val="1"/>
      </rPr>
      <t xml:space="preserve">14.7%</t>
    </r>
    <r>
      <rPr>
        <sz val="10"/>
        <rFont val="WenQuanYi Zen Hei"/>
        <family val="2"/>
      </rPr>
      <t xml:space="preserve">，在合理区间</t>
    </r>
  </si>
  <si>
    <r>
      <rPr>
        <sz val="10"/>
        <rFont val="WenQuanYi Zen Hei"/>
        <family val="2"/>
      </rPr>
      <t xml:space="preserve">利润空间足（净毛利率 </t>
    </r>
    <r>
      <rPr>
        <sz val="10"/>
        <rFont val="微软雅黑"/>
        <family val="0"/>
        <charset val="1"/>
      </rPr>
      <t xml:space="preserve">25.4%</t>
    </r>
    <r>
      <rPr>
        <sz val="10"/>
        <rFont val="WenQuanYi Zen Hei"/>
        <family val="2"/>
      </rPr>
      <t xml:space="preserve">、广告费率 </t>
    </r>
    <r>
      <rPr>
        <sz val="10"/>
        <rFont val="微软雅黑"/>
        <family val="0"/>
        <charset val="1"/>
      </rPr>
      <t xml:space="preserve">10.8%</t>
    </r>
    <r>
      <rPr>
        <sz val="10"/>
        <rFont val="WenQuanYi Zen Hei"/>
        <family val="2"/>
      </rPr>
      <t xml:space="preserve">），但近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天销售环比 </t>
    </r>
    <r>
      <rPr>
        <sz val="10"/>
        <rFont val="微软雅黑"/>
        <family val="0"/>
        <charset val="1"/>
      </rPr>
      <t xml:space="preserve">-16%</t>
    </r>
    <r>
      <rPr>
        <sz val="10"/>
        <rFont val="WenQuanYi Zen Hei"/>
        <family val="2"/>
      </rPr>
      <t xml:space="preserve">，暂不加投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</si>
  <si>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19.0%</t>
    </r>
    <r>
      <rPr>
        <sz val="10"/>
        <rFont val="WenQuanYi Zen Hei"/>
        <family val="2"/>
      </rPr>
      <t xml:space="preserve">、广告费率 </t>
    </r>
    <r>
      <rPr>
        <sz val="10"/>
        <rFont val="微软雅黑"/>
        <family val="0"/>
        <charset val="1"/>
      </rPr>
      <t xml:space="preserve">16.0%</t>
    </r>
    <r>
      <rPr>
        <sz val="10"/>
        <rFont val="WenQuanYi Zen Hei"/>
        <family val="2"/>
      </rPr>
      <t xml:space="preserve">，在合理区间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</si>
  <si>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11.8%</t>
    </r>
    <r>
      <rPr>
        <sz val="10"/>
        <rFont val="WenQuanYi Zen Hei"/>
        <family val="2"/>
      </rPr>
      <t xml:space="preserve">、广告费率 </t>
    </r>
    <r>
      <rPr>
        <sz val="10"/>
        <rFont val="微软雅黑"/>
        <family val="0"/>
        <charset val="1"/>
      </rPr>
      <t xml:space="preserve">14.8%</t>
    </r>
    <r>
      <rPr>
        <sz val="10"/>
        <rFont val="WenQuanYi Zen Hei"/>
        <family val="2"/>
      </rPr>
      <t xml:space="preserve">，在合理区间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</si>
  <si>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13.1%</t>
    </r>
    <r>
      <rPr>
        <sz val="10"/>
        <rFont val="WenQuanYi Zen Hei"/>
        <family val="2"/>
      </rPr>
      <t xml:space="preserve">、广告费率 </t>
    </r>
    <r>
      <rPr>
        <sz val="10"/>
        <rFont val="微软雅黑"/>
        <family val="0"/>
        <charset val="1"/>
      </rPr>
      <t xml:space="preserve">14.1%</t>
    </r>
    <r>
      <rPr>
        <sz val="10"/>
        <rFont val="WenQuanYi Zen Hei"/>
        <family val="2"/>
      </rPr>
      <t xml:space="preserve">，在合理区间</t>
    </r>
  </si>
  <si>
    <t xml:space="preserve">收缩</t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</si>
  <si>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7.6% &lt;8%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</si>
  <si>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17.9% ≥17%</t>
    </r>
    <r>
      <rPr>
        <sz val="10"/>
        <rFont val="WenQuanYi Zen Hei"/>
        <family val="2"/>
      </rPr>
      <t xml:space="preserve">；近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天销售环比 </t>
    </r>
    <r>
      <rPr>
        <sz val="10"/>
        <rFont val="微软雅黑"/>
        <family val="0"/>
        <charset val="1"/>
      </rPr>
      <t xml:space="preserve">-81%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</si>
  <si>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18.3%</t>
    </r>
    <r>
      <rPr>
        <sz val="10"/>
        <rFont val="WenQuanYi Zen Hei"/>
        <family val="2"/>
      </rPr>
      <t xml:space="preserve">、广告费率 </t>
    </r>
    <r>
      <rPr>
        <sz val="10"/>
        <rFont val="微软雅黑"/>
        <family val="0"/>
        <charset val="1"/>
      </rPr>
      <t xml:space="preserve">14.8%</t>
    </r>
    <r>
      <rPr>
        <sz val="10"/>
        <rFont val="WenQuanYi Zen Hei"/>
        <family val="2"/>
      </rPr>
      <t xml:space="preserve">，在合理区间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</si>
  <si>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13.0%</t>
    </r>
    <r>
      <rPr>
        <sz val="10"/>
        <rFont val="WenQuanYi Zen Hei"/>
        <family val="2"/>
      </rPr>
      <t xml:space="preserve">、广告费率 </t>
    </r>
    <r>
      <rPr>
        <sz val="10"/>
        <rFont val="微软雅黑"/>
        <family val="0"/>
        <charset val="1"/>
      </rPr>
      <t xml:space="preserve">15.6%</t>
    </r>
    <r>
      <rPr>
        <sz val="10"/>
        <rFont val="WenQuanYi Zen Hei"/>
        <family val="2"/>
      </rPr>
      <t xml:space="preserve">，在合理区间</t>
    </r>
  </si>
  <si>
    <r>
      <rPr>
        <sz val="10"/>
        <rFont val="WenQuanYi Zen Hei"/>
        <family val="2"/>
      </rPr>
      <t xml:space="preserve">建议预算较当前 </t>
    </r>
    <r>
      <rPr>
        <sz val="10"/>
        <rFont val="微软雅黑"/>
        <family val="0"/>
        <charset val="1"/>
      </rPr>
      <t xml:space="preserve">-20%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</si>
  <si>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17.8% ≥17%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</si>
  <si>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15.4%</t>
    </r>
    <r>
      <rPr>
        <sz val="10"/>
        <rFont val="WenQuanYi Zen Hei"/>
        <family val="2"/>
      </rPr>
      <t xml:space="preserve">、广告费率 </t>
    </r>
    <r>
      <rPr>
        <sz val="10"/>
        <rFont val="微软雅黑"/>
        <family val="0"/>
        <charset val="1"/>
      </rPr>
      <t xml:space="preserve">16.1%</t>
    </r>
    <r>
      <rPr>
        <sz val="10"/>
        <rFont val="WenQuanYi Zen Hei"/>
        <family val="2"/>
      </rPr>
      <t xml:space="preserve">，在合理区间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</si>
  <si>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1.2% &lt;8%</t>
    </r>
    <r>
      <rPr>
        <sz val="10"/>
        <rFont val="WenQuanYi Zen Hei"/>
        <family val="2"/>
      </rPr>
      <t xml:space="preserve">；异常 </t>
    </r>
    <r>
      <rPr>
        <sz val="10"/>
        <rFont val="微软雅黑"/>
        <family val="0"/>
        <charset val="1"/>
      </rPr>
      <t xml:space="preserve">SPU </t>
    </r>
    <r>
      <rPr>
        <sz val="10"/>
        <rFont val="WenQuanYi Zen Hei"/>
        <family val="2"/>
      </rPr>
      <t xml:space="preserve">占广告 </t>
    </r>
    <r>
      <rPr>
        <sz val="10"/>
        <rFont val="微软雅黑"/>
        <family val="0"/>
        <charset val="1"/>
      </rPr>
      <t xml:space="preserve">37%</t>
    </r>
    <r>
      <rPr>
        <sz val="10"/>
        <rFont val="WenQuanYi Zen Hei"/>
        <family val="2"/>
      </rPr>
      <t xml:space="preserve">；建议预算较当前 </t>
    </r>
    <r>
      <rPr>
        <sz val="10"/>
        <rFont val="微软雅黑"/>
        <family val="0"/>
        <charset val="1"/>
      </rPr>
      <t xml:space="preserve">-51%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</si>
  <si>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5.2% &lt;8%</t>
    </r>
    <r>
      <rPr>
        <sz val="10"/>
        <rFont val="WenQuanYi Zen Hei"/>
        <family val="2"/>
      </rPr>
      <t xml:space="preserve">；异常 </t>
    </r>
    <r>
      <rPr>
        <sz val="10"/>
        <rFont val="微软雅黑"/>
        <family val="0"/>
        <charset val="1"/>
      </rPr>
      <t xml:space="preserve">SPU </t>
    </r>
    <r>
      <rPr>
        <sz val="10"/>
        <rFont val="WenQuanYi Zen Hei"/>
        <family val="2"/>
      </rPr>
      <t xml:space="preserve">占广告 </t>
    </r>
    <r>
      <rPr>
        <sz val="10"/>
        <rFont val="微软雅黑"/>
        <family val="0"/>
        <charset val="1"/>
      </rPr>
      <t xml:space="preserve">35%</t>
    </r>
  </si>
  <si>
    <r>
      <rPr>
        <sz val="10"/>
        <rFont val="WenQuanYi Zen Hei"/>
        <family val="2"/>
      </rPr>
      <t xml:space="preserve">建议预算较当前 </t>
    </r>
    <r>
      <rPr>
        <sz val="10"/>
        <rFont val="微软雅黑"/>
        <family val="0"/>
        <charset val="1"/>
      </rPr>
      <t xml:space="preserve">-36%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</si>
  <si>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14.6%</t>
    </r>
    <r>
      <rPr>
        <sz val="10"/>
        <rFont val="WenQuanYi Zen Hei"/>
        <family val="2"/>
      </rPr>
      <t xml:space="preserve">、广告费率 </t>
    </r>
    <r>
      <rPr>
        <sz val="10"/>
        <rFont val="微软雅黑"/>
        <family val="0"/>
        <charset val="1"/>
      </rPr>
      <t xml:space="preserve">10.2%</t>
    </r>
    <r>
      <rPr>
        <sz val="10"/>
        <rFont val="WenQuanYi Zen Hei"/>
        <family val="2"/>
      </rPr>
      <t xml:space="preserve">，在合理区间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</si>
  <si>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13.5%</t>
    </r>
    <r>
      <rPr>
        <sz val="10"/>
        <rFont val="WenQuanYi Zen Hei"/>
        <family val="2"/>
      </rPr>
      <t xml:space="preserve">、广告费率 </t>
    </r>
    <r>
      <rPr>
        <sz val="10"/>
        <rFont val="微软雅黑"/>
        <family val="0"/>
        <charset val="1"/>
      </rPr>
      <t xml:space="preserve">16.3%</t>
    </r>
    <r>
      <rPr>
        <sz val="10"/>
        <rFont val="WenQuanYi Zen Hei"/>
        <family val="2"/>
      </rPr>
      <t xml:space="preserve">，在合理区间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</si>
  <si>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-7.8% &lt;8%</t>
    </r>
    <r>
      <rPr>
        <sz val="10"/>
        <rFont val="WenQuanYi Zen Hei"/>
        <family val="2"/>
      </rPr>
      <t xml:space="preserve">；异常 </t>
    </r>
    <r>
      <rPr>
        <sz val="10"/>
        <rFont val="微软雅黑"/>
        <family val="0"/>
        <charset val="1"/>
      </rPr>
      <t xml:space="preserve">SPU </t>
    </r>
    <r>
      <rPr>
        <sz val="10"/>
        <rFont val="WenQuanYi Zen Hei"/>
        <family val="2"/>
      </rPr>
      <t xml:space="preserve">占广告 </t>
    </r>
    <r>
      <rPr>
        <sz val="10"/>
        <rFont val="微软雅黑"/>
        <family val="0"/>
        <charset val="1"/>
      </rPr>
      <t xml:space="preserve">100%</t>
    </r>
    <r>
      <rPr>
        <sz val="10"/>
        <rFont val="WenQuanYi Zen Hei"/>
        <family val="2"/>
      </rPr>
      <t xml:space="preserve">；建议预算较当前 </t>
    </r>
    <r>
      <rPr>
        <sz val="10"/>
        <rFont val="微软雅黑"/>
        <family val="0"/>
        <charset val="1"/>
      </rPr>
      <t xml:space="preserve">-58%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</si>
  <si>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-10.7% &lt;8%</t>
    </r>
    <r>
      <rPr>
        <sz val="10"/>
        <rFont val="WenQuanYi Zen Hei"/>
        <family val="2"/>
      </rPr>
      <t xml:space="preserve">；异常 </t>
    </r>
    <r>
      <rPr>
        <sz val="10"/>
        <rFont val="微软雅黑"/>
        <family val="0"/>
        <charset val="1"/>
      </rPr>
      <t xml:space="preserve">SPU </t>
    </r>
    <r>
      <rPr>
        <sz val="10"/>
        <rFont val="WenQuanYi Zen Hei"/>
        <family val="2"/>
      </rPr>
      <t xml:space="preserve">占广告 </t>
    </r>
    <r>
      <rPr>
        <sz val="10"/>
        <rFont val="微软雅黑"/>
        <family val="0"/>
        <charset val="1"/>
      </rPr>
      <t xml:space="preserve">100%</t>
    </r>
    <r>
      <rPr>
        <sz val="10"/>
        <rFont val="WenQuanYi Zen Hei"/>
        <family val="2"/>
      </rPr>
      <t xml:space="preserve">；建议预算较当前 </t>
    </r>
    <r>
      <rPr>
        <sz val="10"/>
        <rFont val="微软雅黑"/>
        <family val="0"/>
        <charset val="1"/>
      </rPr>
      <t xml:space="preserve">-100%</t>
    </r>
  </si>
  <si>
    <r>
      <rPr>
        <sz val="10"/>
        <rFont val="WenQuanYi Zen Hei"/>
        <family val="2"/>
      </rPr>
      <t xml:space="preserve">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天销售环比 </t>
    </r>
    <r>
      <rPr>
        <sz val="10"/>
        <rFont val="微软雅黑"/>
        <family val="0"/>
        <charset val="1"/>
      </rPr>
      <t xml:space="preserve">-54%</t>
    </r>
  </si>
  <si>
    <r>
      <rPr>
        <sz val="10"/>
        <rFont val="WenQuanYi Zen Hei"/>
        <family val="2"/>
      </rPr>
      <t xml:space="preserve">利润空间足（净毛利率 </t>
    </r>
    <r>
      <rPr>
        <sz val="10"/>
        <rFont val="微软雅黑"/>
        <family val="0"/>
        <charset val="1"/>
      </rPr>
      <t xml:space="preserve">16.5%</t>
    </r>
    <r>
      <rPr>
        <sz val="10"/>
        <rFont val="WenQuanYi Zen Hei"/>
        <family val="2"/>
      </rPr>
      <t xml:space="preserve">、广告费率 </t>
    </r>
    <r>
      <rPr>
        <sz val="10"/>
        <rFont val="微软雅黑"/>
        <family val="0"/>
        <charset val="1"/>
      </rPr>
      <t xml:space="preserve">12.8%</t>
    </r>
    <r>
      <rPr>
        <sz val="10"/>
        <rFont val="WenQuanYi Zen Hei"/>
        <family val="2"/>
      </rPr>
      <t xml:space="preserve">），</t>
    </r>
    <r>
      <rPr>
        <sz val="10"/>
        <rFont val="微软雅黑"/>
        <family val="0"/>
        <charset val="1"/>
      </rPr>
      <t xml:space="preserve">SPU </t>
    </r>
    <r>
      <rPr>
        <sz val="10"/>
        <rFont val="WenQuanYi Zen Hei"/>
        <family val="2"/>
      </rPr>
      <t xml:space="preserve">层面无加投项</t>
    </r>
  </si>
  <si>
    <r>
      <rPr>
        <sz val="10"/>
        <rFont val="WenQuanYi Zen Hei"/>
        <family val="2"/>
      </rPr>
      <t xml:space="preserve">异常 </t>
    </r>
    <r>
      <rPr>
        <sz val="10"/>
        <rFont val="微软雅黑"/>
        <family val="0"/>
        <charset val="1"/>
      </rPr>
      <t xml:space="preserve">SPU </t>
    </r>
    <r>
      <rPr>
        <sz val="10"/>
        <rFont val="WenQuanYi Zen Hei"/>
        <family val="2"/>
      </rPr>
      <t xml:space="preserve">占广告 </t>
    </r>
    <r>
      <rPr>
        <sz val="10"/>
        <rFont val="微软雅黑"/>
        <family val="0"/>
        <charset val="1"/>
      </rPr>
      <t xml:space="preserve">46%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</si>
  <si>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14.8%</t>
    </r>
    <r>
      <rPr>
        <sz val="10"/>
        <rFont val="WenQuanYi Zen Hei"/>
        <family val="2"/>
      </rPr>
      <t xml:space="preserve">、广告费率 </t>
    </r>
    <r>
      <rPr>
        <sz val="10"/>
        <rFont val="微软雅黑"/>
        <family val="0"/>
        <charset val="1"/>
      </rPr>
      <t xml:space="preserve">13.1%</t>
    </r>
    <r>
      <rPr>
        <sz val="10"/>
        <rFont val="WenQuanYi Zen Hei"/>
        <family val="2"/>
      </rPr>
      <t xml:space="preserve">，在合理区间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</si>
  <si>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12.1%</t>
    </r>
    <r>
      <rPr>
        <sz val="10"/>
        <rFont val="WenQuanYi Zen Hei"/>
        <family val="2"/>
      </rPr>
      <t xml:space="preserve">、广告费率 </t>
    </r>
    <r>
      <rPr>
        <sz val="10"/>
        <rFont val="微软雅黑"/>
        <family val="0"/>
        <charset val="1"/>
      </rPr>
      <t xml:space="preserve">12.2%</t>
    </r>
    <r>
      <rPr>
        <sz val="10"/>
        <rFont val="WenQuanYi Zen Hei"/>
        <family val="2"/>
      </rPr>
      <t xml:space="preserve">，在合理区间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</si>
  <si>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12.7%</t>
    </r>
    <r>
      <rPr>
        <sz val="10"/>
        <rFont val="WenQuanYi Zen Hei"/>
        <family val="2"/>
      </rPr>
      <t xml:space="preserve">、广告费率 </t>
    </r>
    <r>
      <rPr>
        <sz val="10"/>
        <rFont val="微软雅黑"/>
        <family val="0"/>
        <charset val="1"/>
      </rPr>
      <t xml:space="preserve">15.0%</t>
    </r>
    <r>
      <rPr>
        <sz val="10"/>
        <rFont val="WenQuanYi Zen Hei"/>
        <family val="2"/>
      </rPr>
      <t xml:space="preserve">，在合理区间</t>
    </r>
  </si>
  <si>
    <r>
      <rPr>
        <sz val="10"/>
        <rFont val="WenQuanYi Zen Hei"/>
        <family val="2"/>
      </rPr>
      <t xml:space="preserve">利润空间足（净毛利率 </t>
    </r>
    <r>
      <rPr>
        <sz val="10"/>
        <rFont val="微软雅黑"/>
        <family val="0"/>
        <charset val="1"/>
      </rPr>
      <t xml:space="preserve">15.7%</t>
    </r>
    <r>
      <rPr>
        <sz val="10"/>
        <rFont val="WenQuanYi Zen Hei"/>
        <family val="2"/>
      </rPr>
      <t xml:space="preserve">、广告费率 </t>
    </r>
    <r>
      <rPr>
        <sz val="10"/>
        <rFont val="微软雅黑"/>
        <family val="0"/>
        <charset val="1"/>
      </rPr>
      <t xml:space="preserve">12.6%</t>
    </r>
    <r>
      <rPr>
        <sz val="10"/>
        <rFont val="WenQuanYi Zen Hei"/>
        <family val="2"/>
      </rPr>
      <t xml:space="preserve">），</t>
    </r>
    <r>
      <rPr>
        <sz val="10"/>
        <rFont val="微软雅黑"/>
        <family val="0"/>
        <charset val="1"/>
      </rPr>
      <t xml:space="preserve">SPU </t>
    </r>
    <r>
      <rPr>
        <sz val="10"/>
        <rFont val="WenQuanYi Zen Hei"/>
        <family val="2"/>
      </rPr>
      <t xml:space="preserve">层面无加投项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</si>
  <si>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7.0% &lt;8%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</si>
  <si>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29.8%</t>
    </r>
    <r>
      <rPr>
        <sz val="10"/>
        <rFont val="WenQuanYi Zen Hei"/>
        <family val="2"/>
      </rPr>
      <t xml:space="preserve">、广告费率 </t>
    </r>
    <r>
      <rPr>
        <sz val="10"/>
        <rFont val="微软雅黑"/>
        <family val="0"/>
        <charset val="1"/>
      </rPr>
      <t xml:space="preserve">8.9%</t>
    </r>
    <r>
      <rPr>
        <sz val="10"/>
        <rFont val="WenQuanYi Zen Hei"/>
        <family val="2"/>
      </rPr>
      <t xml:space="preserve">，建议预算 </t>
    </r>
    <r>
      <rPr>
        <sz val="10"/>
        <rFont val="微软雅黑"/>
        <family val="0"/>
        <charset val="1"/>
      </rPr>
      <t xml:space="preserve">+30%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</si>
  <si>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7.2% &lt;8%</t>
    </r>
    <r>
      <rPr>
        <sz val="10"/>
        <rFont val="WenQuanYi Zen Hei"/>
        <family val="2"/>
      </rPr>
      <t xml:space="preserve">；异常 </t>
    </r>
    <r>
      <rPr>
        <sz val="10"/>
        <rFont val="微软雅黑"/>
        <family val="0"/>
        <charset val="1"/>
      </rPr>
      <t xml:space="preserve">SPU </t>
    </r>
    <r>
      <rPr>
        <sz val="10"/>
        <rFont val="WenQuanYi Zen Hei"/>
        <family val="2"/>
      </rPr>
      <t xml:space="preserve">占广告 </t>
    </r>
    <r>
      <rPr>
        <sz val="10"/>
        <rFont val="微软雅黑"/>
        <family val="0"/>
        <charset val="1"/>
      </rPr>
      <t xml:space="preserve">50%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</si>
  <si>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14.6%</t>
    </r>
    <r>
      <rPr>
        <sz val="10"/>
        <rFont val="WenQuanYi Zen Hei"/>
        <family val="2"/>
      </rPr>
      <t xml:space="preserve">、广告费率 </t>
    </r>
    <r>
      <rPr>
        <sz val="10"/>
        <rFont val="微软雅黑"/>
        <family val="0"/>
        <charset val="1"/>
      </rPr>
      <t xml:space="preserve">12.7%</t>
    </r>
    <r>
      <rPr>
        <sz val="10"/>
        <rFont val="WenQuanYi Zen Hei"/>
        <family val="2"/>
      </rPr>
      <t xml:space="preserve">，在合理区间</t>
    </r>
  </si>
  <si>
    <r>
      <rPr>
        <sz val="10"/>
        <rFont val="WenQuanYi Zen Hei"/>
        <family val="2"/>
      </rPr>
      <t xml:space="preserve">异常 </t>
    </r>
    <r>
      <rPr>
        <sz val="10"/>
        <rFont val="微软雅黑"/>
        <family val="0"/>
        <charset val="1"/>
      </rPr>
      <t xml:space="preserve">SPU </t>
    </r>
    <r>
      <rPr>
        <sz val="10"/>
        <rFont val="WenQuanYi Zen Hei"/>
        <family val="2"/>
      </rPr>
      <t xml:space="preserve">占广告 </t>
    </r>
    <r>
      <rPr>
        <sz val="10"/>
        <rFont val="微软雅黑"/>
        <family val="0"/>
        <charset val="1"/>
      </rPr>
      <t xml:space="preserve">48%</t>
    </r>
  </si>
  <si>
    <r>
      <rPr>
        <sz val="10"/>
        <rFont val="WenQuanYi Zen Hei"/>
        <family val="2"/>
      </rPr>
      <t xml:space="preserve">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天销售环比 </t>
    </r>
    <r>
      <rPr>
        <sz val="10"/>
        <rFont val="微软雅黑"/>
        <family val="0"/>
        <charset val="1"/>
      </rPr>
      <t xml:space="preserve">-33%</t>
    </r>
  </si>
  <si>
    <r>
      <rPr>
        <sz val="10"/>
        <rFont val="WenQuanYi Zen Hei"/>
        <family val="2"/>
      </rPr>
      <t xml:space="preserve">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天销售环比 </t>
    </r>
    <r>
      <rPr>
        <sz val="10"/>
        <rFont val="微软雅黑"/>
        <family val="0"/>
        <charset val="1"/>
      </rPr>
      <t xml:space="preserve">-63%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</si>
  <si>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8.1%</t>
    </r>
    <r>
      <rPr>
        <sz val="10"/>
        <rFont val="WenQuanYi Zen Hei"/>
        <family val="2"/>
      </rPr>
      <t xml:space="preserve">、广告费率 </t>
    </r>
    <r>
      <rPr>
        <sz val="10"/>
        <rFont val="微软雅黑"/>
        <family val="0"/>
        <charset val="1"/>
      </rPr>
      <t xml:space="preserve">15.5%</t>
    </r>
    <r>
      <rPr>
        <sz val="10"/>
        <rFont val="WenQuanYi Zen Hei"/>
        <family val="2"/>
      </rPr>
      <t xml:space="preserve">，在合理区间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</si>
  <si>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-8.9% &lt;8%</t>
    </r>
    <r>
      <rPr>
        <sz val="10"/>
        <rFont val="WenQuanYi Zen Hei"/>
        <family val="2"/>
      </rPr>
      <t xml:space="preserve">；异常 </t>
    </r>
    <r>
      <rPr>
        <sz val="10"/>
        <rFont val="微软雅黑"/>
        <family val="0"/>
        <charset val="1"/>
      </rPr>
      <t xml:space="preserve">SPU </t>
    </r>
    <r>
      <rPr>
        <sz val="10"/>
        <rFont val="WenQuanYi Zen Hei"/>
        <family val="2"/>
      </rPr>
      <t xml:space="preserve">占广告 </t>
    </r>
    <r>
      <rPr>
        <sz val="10"/>
        <rFont val="微软雅黑"/>
        <family val="0"/>
        <charset val="1"/>
      </rPr>
      <t xml:space="preserve">61%</t>
    </r>
    <r>
      <rPr>
        <sz val="10"/>
        <rFont val="WenQuanYi Zen Hei"/>
        <family val="2"/>
      </rPr>
      <t xml:space="preserve">；建议预算较当前 </t>
    </r>
    <r>
      <rPr>
        <sz val="10"/>
        <rFont val="微软雅黑"/>
        <family val="0"/>
        <charset val="1"/>
      </rPr>
      <t xml:space="preserve">-49%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</si>
  <si>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3.7% &lt;8%</t>
    </r>
    <r>
      <rPr>
        <sz val="10"/>
        <rFont val="WenQuanYi Zen Hei"/>
        <family val="2"/>
      </rPr>
      <t xml:space="preserve">；异常 </t>
    </r>
    <r>
      <rPr>
        <sz val="10"/>
        <rFont val="微软雅黑"/>
        <family val="0"/>
        <charset val="1"/>
      </rPr>
      <t xml:space="preserve">SPU </t>
    </r>
    <r>
      <rPr>
        <sz val="10"/>
        <rFont val="WenQuanYi Zen Hei"/>
        <family val="2"/>
      </rPr>
      <t xml:space="preserve">占广告 </t>
    </r>
    <r>
      <rPr>
        <sz val="10"/>
        <rFont val="微软雅黑"/>
        <family val="0"/>
        <charset val="1"/>
      </rPr>
      <t xml:space="preserve">87%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</si>
  <si>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6.1% &lt;8%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</si>
  <si>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21.7% ≥17%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</si>
  <si>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16.7%</t>
    </r>
    <r>
      <rPr>
        <sz val="10"/>
        <rFont val="WenQuanYi Zen Hei"/>
        <family val="2"/>
      </rPr>
      <t xml:space="preserve">、广告费率 </t>
    </r>
    <r>
      <rPr>
        <sz val="10"/>
        <rFont val="微软雅黑"/>
        <family val="0"/>
        <charset val="1"/>
      </rPr>
      <t xml:space="preserve">11.4%</t>
    </r>
    <r>
      <rPr>
        <sz val="10"/>
        <rFont val="WenQuanYi Zen Hei"/>
        <family val="2"/>
      </rPr>
      <t xml:space="preserve">，建议预算 </t>
    </r>
    <r>
      <rPr>
        <sz val="10"/>
        <rFont val="微软雅黑"/>
        <family val="0"/>
        <charset val="1"/>
      </rPr>
      <t xml:space="preserve">+2%</t>
    </r>
  </si>
  <si>
    <r>
      <rPr>
        <sz val="10"/>
        <rFont val="WenQuanYi Zen Hei"/>
        <family val="2"/>
      </rPr>
      <t xml:space="preserve">异常 </t>
    </r>
    <r>
      <rPr>
        <sz val="10"/>
        <rFont val="微软雅黑"/>
        <family val="0"/>
        <charset val="1"/>
      </rPr>
      <t xml:space="preserve">SPU </t>
    </r>
    <r>
      <rPr>
        <sz val="10"/>
        <rFont val="WenQuanYi Zen Hei"/>
        <family val="2"/>
      </rPr>
      <t xml:space="preserve">占广告 </t>
    </r>
    <r>
      <rPr>
        <sz val="10"/>
        <rFont val="微软雅黑"/>
        <family val="0"/>
        <charset val="1"/>
      </rPr>
      <t xml:space="preserve">57%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</si>
  <si>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7.5% &lt;8%</t>
    </r>
  </si>
  <si>
    <r>
      <rPr>
        <sz val="10"/>
        <rFont val="WenQuanYi Zen Hei"/>
        <family val="2"/>
      </rPr>
      <t xml:space="preserve">利润空间足（净毛利率 </t>
    </r>
    <r>
      <rPr>
        <sz val="10"/>
        <rFont val="微软雅黑"/>
        <family val="0"/>
        <charset val="1"/>
      </rPr>
      <t xml:space="preserve">27.4%</t>
    </r>
    <r>
      <rPr>
        <sz val="10"/>
        <rFont val="WenQuanYi Zen Hei"/>
        <family val="2"/>
      </rPr>
      <t xml:space="preserve">、广告费率 </t>
    </r>
    <r>
      <rPr>
        <sz val="10"/>
        <rFont val="微软雅黑"/>
        <family val="0"/>
        <charset val="1"/>
      </rPr>
      <t xml:space="preserve">8.2%</t>
    </r>
    <r>
      <rPr>
        <sz val="10"/>
        <rFont val="WenQuanYi Zen Hei"/>
        <family val="2"/>
      </rPr>
      <t xml:space="preserve">），</t>
    </r>
    <r>
      <rPr>
        <sz val="10"/>
        <rFont val="微软雅黑"/>
        <family val="0"/>
        <charset val="1"/>
      </rPr>
      <t xml:space="preserve">SPU </t>
    </r>
    <r>
      <rPr>
        <sz val="10"/>
        <rFont val="WenQuanYi Zen Hei"/>
        <family val="2"/>
      </rPr>
      <t xml:space="preserve">层面无加投项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</si>
  <si>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-2.1% &lt;8%</t>
    </r>
    <r>
      <rPr>
        <sz val="10"/>
        <rFont val="WenQuanYi Zen Hei"/>
        <family val="2"/>
      </rPr>
      <t xml:space="preserve">；异常 </t>
    </r>
    <r>
      <rPr>
        <sz val="10"/>
        <rFont val="微软雅黑"/>
        <family val="0"/>
        <charset val="1"/>
      </rPr>
      <t xml:space="preserve">SPU </t>
    </r>
    <r>
      <rPr>
        <sz val="10"/>
        <rFont val="WenQuanYi Zen Hei"/>
        <family val="2"/>
      </rPr>
      <t xml:space="preserve">占广告 </t>
    </r>
    <r>
      <rPr>
        <sz val="10"/>
        <rFont val="微软雅黑"/>
        <family val="0"/>
        <charset val="1"/>
      </rPr>
      <t xml:space="preserve">100%</t>
    </r>
    <r>
      <rPr>
        <sz val="10"/>
        <rFont val="WenQuanYi Zen Hei"/>
        <family val="2"/>
      </rPr>
      <t xml:space="preserve">；建议预算较当前 </t>
    </r>
    <r>
      <rPr>
        <sz val="10"/>
        <rFont val="微软雅黑"/>
        <family val="0"/>
        <charset val="1"/>
      </rPr>
      <t xml:space="preserve">-55%</t>
    </r>
  </si>
  <si>
    <r>
      <rPr>
        <sz val="10"/>
        <rFont val="WenQuanYi Zen Hei"/>
        <family val="2"/>
      </rPr>
      <t xml:space="preserve">利润空间足（净毛利率 </t>
    </r>
    <r>
      <rPr>
        <sz val="10"/>
        <rFont val="微软雅黑"/>
        <family val="0"/>
        <charset val="1"/>
      </rPr>
      <t xml:space="preserve">22.9%</t>
    </r>
    <r>
      <rPr>
        <sz val="10"/>
        <rFont val="WenQuanYi Zen Hei"/>
        <family val="2"/>
      </rPr>
      <t xml:space="preserve">、广告费率 </t>
    </r>
    <r>
      <rPr>
        <sz val="10"/>
        <rFont val="微软雅黑"/>
        <family val="0"/>
        <charset val="1"/>
      </rPr>
      <t xml:space="preserve">10.5%</t>
    </r>
    <r>
      <rPr>
        <sz val="10"/>
        <rFont val="WenQuanYi Zen Hei"/>
        <family val="2"/>
      </rPr>
      <t xml:space="preserve">），</t>
    </r>
    <r>
      <rPr>
        <sz val="10"/>
        <rFont val="微软雅黑"/>
        <family val="0"/>
        <charset val="1"/>
      </rPr>
      <t xml:space="preserve">SPU </t>
    </r>
    <r>
      <rPr>
        <sz val="10"/>
        <rFont val="WenQuanYi Zen Hei"/>
        <family val="2"/>
      </rPr>
      <t xml:space="preserve">层面无加投项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</si>
  <si>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20.9%</t>
    </r>
    <r>
      <rPr>
        <sz val="10"/>
        <rFont val="WenQuanYi Zen Hei"/>
        <family val="2"/>
      </rPr>
      <t xml:space="preserve">、广告费率 </t>
    </r>
    <r>
      <rPr>
        <sz val="10"/>
        <rFont val="微软雅黑"/>
        <family val="0"/>
        <charset val="1"/>
      </rPr>
      <t xml:space="preserve">15.4%</t>
    </r>
    <r>
      <rPr>
        <sz val="10"/>
        <rFont val="WenQuanYi Zen Hei"/>
        <family val="2"/>
      </rPr>
      <t xml:space="preserve">，在合理区间</t>
    </r>
  </si>
  <si>
    <r>
      <rPr>
        <sz val="10"/>
        <rFont val="WenQuanYi Zen Hei"/>
        <family val="2"/>
      </rPr>
      <t xml:space="preserve">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天销售环比 </t>
    </r>
    <r>
      <rPr>
        <sz val="10"/>
        <rFont val="微软雅黑"/>
        <family val="0"/>
        <charset val="1"/>
      </rPr>
      <t xml:space="preserve">-23%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</si>
  <si>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10.1%</t>
    </r>
    <r>
      <rPr>
        <sz val="10"/>
        <rFont val="WenQuanYi Zen Hei"/>
        <family val="2"/>
      </rPr>
      <t xml:space="preserve">、广告费率 </t>
    </r>
    <r>
      <rPr>
        <sz val="10"/>
        <rFont val="微软雅黑"/>
        <family val="0"/>
        <charset val="1"/>
      </rPr>
      <t xml:space="preserve">11.6%</t>
    </r>
    <r>
      <rPr>
        <sz val="10"/>
        <rFont val="WenQuanYi Zen Hei"/>
        <family val="2"/>
      </rPr>
      <t xml:space="preserve">，在合理区间</t>
    </r>
  </si>
  <si>
    <r>
      <rPr>
        <sz val="10"/>
        <rFont val="WenQuanYi Zen Hei"/>
        <family val="2"/>
      </rPr>
      <t xml:space="preserve">建议预算较当前 </t>
    </r>
    <r>
      <rPr>
        <sz val="10"/>
        <rFont val="微软雅黑"/>
        <family val="0"/>
        <charset val="1"/>
      </rPr>
      <t xml:space="preserve">-26%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</si>
  <si>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0.3% &lt;8%</t>
    </r>
    <r>
      <rPr>
        <sz val="10"/>
        <rFont val="WenQuanYi Zen Hei"/>
        <family val="2"/>
      </rPr>
      <t xml:space="preserve">；异常 </t>
    </r>
    <r>
      <rPr>
        <sz val="10"/>
        <rFont val="微软雅黑"/>
        <family val="0"/>
        <charset val="1"/>
      </rPr>
      <t xml:space="preserve">SPU </t>
    </r>
    <r>
      <rPr>
        <sz val="10"/>
        <rFont val="WenQuanYi Zen Hei"/>
        <family val="2"/>
      </rPr>
      <t xml:space="preserve">占广告 </t>
    </r>
    <r>
      <rPr>
        <sz val="10"/>
        <rFont val="微软雅黑"/>
        <family val="0"/>
        <charset val="1"/>
      </rPr>
      <t xml:space="preserve">100%</t>
    </r>
    <r>
      <rPr>
        <sz val="10"/>
        <rFont val="WenQuanYi Zen Hei"/>
        <family val="2"/>
      </rPr>
      <t xml:space="preserve">；建议预算较当前 </t>
    </r>
    <r>
      <rPr>
        <sz val="10"/>
        <rFont val="微软雅黑"/>
        <family val="0"/>
        <charset val="1"/>
      </rPr>
      <t xml:space="preserve">-49%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</si>
  <si>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12.2%</t>
    </r>
    <r>
      <rPr>
        <sz val="10"/>
        <rFont val="WenQuanYi Zen Hei"/>
        <family val="2"/>
      </rPr>
      <t xml:space="preserve">、广告费率 </t>
    </r>
    <r>
      <rPr>
        <sz val="10"/>
        <rFont val="微软雅黑"/>
        <family val="0"/>
        <charset val="1"/>
      </rPr>
      <t xml:space="preserve">14.6%</t>
    </r>
    <r>
      <rPr>
        <sz val="10"/>
        <rFont val="WenQuanYi Zen Hei"/>
        <family val="2"/>
      </rPr>
      <t xml:space="preserve">，在合理区间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</si>
  <si>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-2.4% &lt;8%</t>
    </r>
    <r>
      <rPr>
        <sz val="10"/>
        <rFont val="WenQuanYi Zen Hei"/>
        <family val="2"/>
      </rPr>
      <t xml:space="preserve">；异常 </t>
    </r>
    <r>
      <rPr>
        <sz val="10"/>
        <rFont val="微软雅黑"/>
        <family val="0"/>
        <charset val="1"/>
      </rPr>
      <t xml:space="preserve">SPU </t>
    </r>
    <r>
      <rPr>
        <sz val="10"/>
        <rFont val="WenQuanYi Zen Hei"/>
        <family val="2"/>
      </rPr>
      <t xml:space="preserve">占广告 </t>
    </r>
    <r>
      <rPr>
        <sz val="10"/>
        <rFont val="微软雅黑"/>
        <family val="0"/>
        <charset val="1"/>
      </rPr>
      <t xml:space="preserve">100%</t>
    </r>
    <r>
      <rPr>
        <sz val="10"/>
        <rFont val="WenQuanYi Zen Hei"/>
        <family val="2"/>
      </rPr>
      <t xml:space="preserve">；建议预算较当前 </t>
    </r>
    <r>
      <rPr>
        <sz val="10"/>
        <rFont val="微软雅黑"/>
        <family val="0"/>
        <charset val="1"/>
      </rPr>
      <t xml:space="preserve">-34%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</si>
  <si>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1.2% &lt;8%</t>
    </r>
    <r>
      <rPr>
        <sz val="10"/>
        <rFont val="WenQuanYi Zen Hei"/>
        <family val="2"/>
      </rPr>
      <t xml:space="preserve">；异常 </t>
    </r>
    <r>
      <rPr>
        <sz val="10"/>
        <rFont val="微软雅黑"/>
        <family val="0"/>
        <charset val="1"/>
      </rPr>
      <t xml:space="preserve">SPU </t>
    </r>
    <r>
      <rPr>
        <sz val="10"/>
        <rFont val="WenQuanYi Zen Hei"/>
        <family val="2"/>
      </rPr>
      <t xml:space="preserve">占广告 </t>
    </r>
    <r>
      <rPr>
        <sz val="10"/>
        <rFont val="微软雅黑"/>
        <family val="0"/>
        <charset val="1"/>
      </rPr>
      <t xml:space="preserve">100%</t>
    </r>
    <r>
      <rPr>
        <sz val="10"/>
        <rFont val="WenQuanYi Zen Hei"/>
        <family val="2"/>
      </rPr>
      <t xml:space="preserve">；建议预算较当前 </t>
    </r>
    <r>
      <rPr>
        <sz val="10"/>
        <rFont val="微软雅黑"/>
        <family val="0"/>
        <charset val="1"/>
      </rPr>
      <t xml:space="preserve">-43%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</si>
  <si>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-3.2% &lt;8%</t>
    </r>
    <r>
      <rPr>
        <sz val="10"/>
        <rFont val="WenQuanYi Zen Hei"/>
        <family val="2"/>
      </rPr>
      <t xml:space="preserve">；异常 </t>
    </r>
    <r>
      <rPr>
        <sz val="10"/>
        <rFont val="微软雅黑"/>
        <family val="0"/>
        <charset val="1"/>
      </rPr>
      <t xml:space="preserve">SPU </t>
    </r>
    <r>
      <rPr>
        <sz val="10"/>
        <rFont val="WenQuanYi Zen Hei"/>
        <family val="2"/>
      </rPr>
      <t xml:space="preserve">占广告 </t>
    </r>
    <r>
      <rPr>
        <sz val="10"/>
        <rFont val="微软雅黑"/>
        <family val="0"/>
        <charset val="1"/>
      </rPr>
      <t xml:space="preserve">100%</t>
    </r>
    <r>
      <rPr>
        <sz val="10"/>
        <rFont val="WenQuanYi Zen Hei"/>
        <family val="2"/>
      </rPr>
      <t xml:space="preserve">；建议预算较当前 </t>
    </r>
    <r>
      <rPr>
        <sz val="10"/>
        <rFont val="微软雅黑"/>
        <family val="0"/>
        <charset val="1"/>
      </rPr>
      <t xml:space="preserve">-30%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</si>
  <si>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21.1%</t>
    </r>
    <r>
      <rPr>
        <sz val="10"/>
        <rFont val="WenQuanYi Zen Hei"/>
        <family val="2"/>
      </rPr>
      <t xml:space="preserve">、广告费率 </t>
    </r>
    <r>
      <rPr>
        <sz val="10"/>
        <rFont val="微软雅黑"/>
        <family val="0"/>
        <charset val="1"/>
      </rPr>
      <t xml:space="preserve">8.4%</t>
    </r>
    <r>
      <rPr>
        <sz val="10"/>
        <rFont val="WenQuanYi Zen Hei"/>
        <family val="2"/>
      </rPr>
      <t xml:space="preserve">，建议预算 </t>
    </r>
    <r>
      <rPr>
        <sz val="10"/>
        <rFont val="微软雅黑"/>
        <family val="0"/>
        <charset val="1"/>
      </rPr>
      <t xml:space="preserve">+18%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</si>
  <si>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7.3% &lt;8%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</si>
  <si>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4.9% &lt;8%</t>
    </r>
    <r>
      <rPr>
        <sz val="10"/>
        <rFont val="WenQuanYi Zen Hei"/>
        <family val="2"/>
      </rPr>
      <t xml:space="preserve">；异常 </t>
    </r>
    <r>
      <rPr>
        <sz val="10"/>
        <rFont val="微软雅黑"/>
        <family val="0"/>
        <charset val="1"/>
      </rPr>
      <t xml:space="preserve">SPU </t>
    </r>
    <r>
      <rPr>
        <sz val="10"/>
        <rFont val="WenQuanYi Zen Hei"/>
        <family val="2"/>
      </rPr>
      <t xml:space="preserve">占广告 </t>
    </r>
    <r>
      <rPr>
        <sz val="10"/>
        <rFont val="微软雅黑"/>
        <family val="0"/>
        <charset val="1"/>
      </rPr>
      <t xml:space="preserve">100%</t>
    </r>
    <r>
      <rPr>
        <sz val="10"/>
        <rFont val="WenQuanYi Zen Hei"/>
        <family val="2"/>
      </rPr>
      <t xml:space="preserve">；建议预算较当前 </t>
    </r>
    <r>
      <rPr>
        <sz val="10"/>
        <rFont val="微软雅黑"/>
        <family val="0"/>
        <charset val="1"/>
      </rPr>
      <t xml:space="preserve">-40%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</si>
  <si>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-2.9% &lt;8%</t>
    </r>
    <r>
      <rPr>
        <sz val="10"/>
        <rFont val="WenQuanYi Zen Hei"/>
        <family val="2"/>
      </rPr>
      <t xml:space="preserve">；异常 </t>
    </r>
    <r>
      <rPr>
        <sz val="10"/>
        <rFont val="微软雅黑"/>
        <family val="0"/>
        <charset val="1"/>
      </rPr>
      <t xml:space="preserve">SPU </t>
    </r>
    <r>
      <rPr>
        <sz val="10"/>
        <rFont val="WenQuanYi Zen Hei"/>
        <family val="2"/>
      </rPr>
      <t xml:space="preserve">占广告 </t>
    </r>
    <r>
      <rPr>
        <sz val="10"/>
        <rFont val="微软雅黑"/>
        <family val="0"/>
        <charset val="1"/>
      </rPr>
      <t xml:space="preserve">100%</t>
    </r>
    <r>
      <rPr>
        <sz val="10"/>
        <rFont val="WenQuanYi Zen Hei"/>
        <family val="2"/>
      </rPr>
      <t xml:space="preserve">；建议预算较当前 </t>
    </r>
    <r>
      <rPr>
        <sz val="10"/>
        <rFont val="微软雅黑"/>
        <family val="0"/>
        <charset val="1"/>
      </rPr>
      <t xml:space="preserve">-60%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</si>
  <si>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15.8%</t>
    </r>
    <r>
      <rPr>
        <sz val="10"/>
        <rFont val="WenQuanYi Zen Hei"/>
        <family val="2"/>
      </rPr>
      <t xml:space="preserve">、广告费率 </t>
    </r>
    <r>
      <rPr>
        <sz val="10"/>
        <rFont val="微软雅黑"/>
        <family val="0"/>
        <charset val="1"/>
      </rPr>
      <t xml:space="preserve">16.9%</t>
    </r>
    <r>
      <rPr>
        <sz val="10"/>
        <rFont val="WenQuanYi Zen Hei"/>
        <family val="2"/>
      </rPr>
      <t xml:space="preserve">，在合理区间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</si>
  <si>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21.3%</t>
    </r>
    <r>
      <rPr>
        <sz val="10"/>
        <rFont val="WenQuanYi Zen Hei"/>
        <family val="2"/>
      </rPr>
      <t xml:space="preserve">、广告费率 </t>
    </r>
    <r>
      <rPr>
        <sz val="10"/>
        <rFont val="微软雅黑"/>
        <family val="0"/>
        <charset val="1"/>
      </rPr>
      <t xml:space="preserve">4.4%</t>
    </r>
    <r>
      <rPr>
        <sz val="10"/>
        <rFont val="WenQuanYi Zen Hei"/>
        <family val="2"/>
      </rPr>
      <t xml:space="preserve">，建议预算 </t>
    </r>
    <r>
      <rPr>
        <sz val="10"/>
        <rFont val="微软雅黑"/>
        <family val="0"/>
        <charset val="1"/>
      </rPr>
      <t xml:space="preserve">+25%</t>
    </r>
  </si>
  <si>
    <r>
      <rPr>
        <sz val="10"/>
        <rFont val="WenQuanYi Zen Hei"/>
        <family val="2"/>
      </rPr>
      <t xml:space="preserve">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天销售环比 </t>
    </r>
    <r>
      <rPr>
        <sz val="10"/>
        <rFont val="微软雅黑"/>
        <family val="0"/>
        <charset val="1"/>
      </rPr>
      <t xml:space="preserve">-92%</t>
    </r>
  </si>
  <si>
    <r>
      <rPr>
        <sz val="10"/>
        <rFont val="WenQuanYi Zen Hei"/>
        <family val="2"/>
      </rPr>
      <t xml:space="preserve">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天销售环比 </t>
    </r>
    <r>
      <rPr>
        <sz val="10"/>
        <rFont val="微软雅黑"/>
        <family val="0"/>
        <charset val="1"/>
      </rPr>
      <t xml:space="preserve">-20%</t>
    </r>
  </si>
  <si>
    <r>
      <rPr>
        <sz val="10"/>
        <rFont val="WenQuanYi Zen Hei"/>
        <family val="2"/>
      </rPr>
      <t xml:space="preserve">近 </t>
    </r>
    <r>
      <rPr>
        <sz val="10"/>
        <rFont val="微软雅黑"/>
        <family val="0"/>
        <charset val="1"/>
      </rPr>
      <t xml:space="preserve">30 </t>
    </r>
    <r>
      <rPr>
        <sz val="10"/>
        <rFont val="WenQuanYi Zen Hei"/>
        <family val="2"/>
      </rPr>
      <t xml:space="preserve">天销售环比 </t>
    </r>
    <r>
      <rPr>
        <sz val="10"/>
        <rFont val="微软雅黑"/>
        <family val="0"/>
        <charset val="1"/>
      </rPr>
      <t xml:space="preserve">-37%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</si>
  <si>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-33.7% &lt;8%</t>
    </r>
    <r>
      <rPr>
        <sz val="10"/>
        <rFont val="WenQuanYi Zen Hei"/>
        <family val="2"/>
      </rPr>
      <t xml:space="preserve">；异常 </t>
    </r>
    <r>
      <rPr>
        <sz val="10"/>
        <rFont val="微软雅黑"/>
        <family val="0"/>
        <charset val="1"/>
      </rPr>
      <t xml:space="preserve">SPU </t>
    </r>
    <r>
      <rPr>
        <sz val="10"/>
        <rFont val="WenQuanYi Zen Hei"/>
        <family val="2"/>
      </rPr>
      <t xml:space="preserve">占广告 </t>
    </r>
    <r>
      <rPr>
        <sz val="10"/>
        <rFont val="微软雅黑"/>
        <family val="0"/>
        <charset val="1"/>
      </rPr>
      <t xml:space="preserve">100%</t>
    </r>
    <r>
      <rPr>
        <sz val="10"/>
        <rFont val="WenQuanYi Zen Hei"/>
        <family val="2"/>
      </rPr>
      <t xml:space="preserve">；建议预算较当前 </t>
    </r>
    <r>
      <rPr>
        <sz val="10"/>
        <rFont val="微软雅黑"/>
        <family val="0"/>
        <charset val="1"/>
      </rPr>
      <t xml:space="preserve">-100%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</si>
  <si>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-96.8% &lt;8%</t>
    </r>
    <r>
      <rPr>
        <sz val="10"/>
        <rFont val="WenQuanYi Zen Hei"/>
        <family val="2"/>
      </rPr>
      <t xml:space="preserve">；异常 </t>
    </r>
    <r>
      <rPr>
        <sz val="10"/>
        <rFont val="微软雅黑"/>
        <family val="0"/>
        <charset val="1"/>
      </rPr>
      <t xml:space="preserve">SPU </t>
    </r>
    <r>
      <rPr>
        <sz val="10"/>
        <rFont val="WenQuanYi Zen Hei"/>
        <family val="2"/>
      </rPr>
      <t xml:space="preserve">占广告 </t>
    </r>
    <r>
      <rPr>
        <sz val="10"/>
        <rFont val="微软雅黑"/>
        <family val="0"/>
        <charset val="1"/>
      </rPr>
      <t xml:space="preserve">99%</t>
    </r>
    <r>
      <rPr>
        <sz val="10"/>
        <rFont val="WenQuanYi Zen Hei"/>
        <family val="2"/>
      </rPr>
      <t xml:space="preserve">；建议预算较当前 </t>
    </r>
    <r>
      <rPr>
        <sz val="10"/>
        <rFont val="微软雅黑"/>
        <family val="0"/>
        <charset val="1"/>
      </rPr>
      <t xml:space="preserve">-90%</t>
    </r>
  </si>
  <si>
    <r>
      <rPr>
        <sz val="10"/>
        <rFont val="WenQuanYi Zen Hei"/>
        <family val="2"/>
      </rPr>
      <t xml:space="preserve">净毛利率 </t>
    </r>
    <r>
      <rPr>
        <sz val="10"/>
        <rFont val="微软雅黑"/>
        <family val="0"/>
        <charset val="1"/>
      </rPr>
      <t xml:space="preserve">14.8%</t>
    </r>
    <r>
      <rPr>
        <sz val="10"/>
        <rFont val="WenQuanYi Zen Hei"/>
        <family val="2"/>
      </rPr>
      <t xml:space="preserve">、广告费率 </t>
    </r>
    <r>
      <rPr>
        <sz val="10"/>
        <rFont val="微软雅黑"/>
        <family val="0"/>
        <charset val="1"/>
      </rPr>
      <t xml:space="preserve">8.6%</t>
    </r>
    <r>
      <rPr>
        <sz val="10"/>
        <rFont val="WenQuanYi Zen Hei"/>
        <family val="2"/>
      </rPr>
      <t xml:space="preserve">，在合理区间</t>
    </r>
  </si>
  <si>
    <r>
      <rPr>
        <sz val="10"/>
        <rFont val="WenQuanYi Zen Hei"/>
        <family val="2"/>
      </rPr>
      <t xml:space="preserve">利润空间足（净毛利率 </t>
    </r>
    <r>
      <rPr>
        <sz val="10"/>
        <rFont val="微软雅黑"/>
        <family val="0"/>
        <charset val="1"/>
      </rPr>
      <t xml:space="preserve">22.2%</t>
    </r>
    <r>
      <rPr>
        <sz val="10"/>
        <rFont val="WenQuanYi Zen Hei"/>
        <family val="2"/>
      </rPr>
      <t xml:space="preserve">、广告费率 </t>
    </r>
    <r>
      <rPr>
        <sz val="10"/>
        <rFont val="微软雅黑"/>
        <family val="0"/>
        <charset val="1"/>
      </rPr>
      <t xml:space="preserve">10.5%</t>
    </r>
    <r>
      <rPr>
        <sz val="10"/>
        <rFont val="WenQuanYi Zen Hei"/>
        <family val="2"/>
      </rPr>
      <t xml:space="preserve">），</t>
    </r>
    <r>
      <rPr>
        <sz val="10"/>
        <rFont val="微软雅黑"/>
        <family val="0"/>
        <charset val="1"/>
      </rPr>
      <t xml:space="preserve">SPU </t>
    </r>
    <r>
      <rPr>
        <sz val="10"/>
        <rFont val="WenQuanYi Zen Hei"/>
        <family val="2"/>
      </rPr>
      <t xml:space="preserve">层面无加投项</t>
    </r>
  </si>
  <si>
    <r>
      <rPr>
        <sz val="10"/>
        <rFont val="WenQuanYi Zen Hei"/>
        <family val="2"/>
      </rPr>
      <t xml:space="preserve">广告费率 </t>
    </r>
    <r>
      <rPr>
        <sz val="10"/>
        <rFont val="微软雅黑"/>
        <family val="0"/>
        <charset val="1"/>
      </rPr>
      <t xml:space="preserve">17.6% ≥17%</t>
    </r>
  </si>
  <si>
    <r>
      <rPr>
        <sz val="10"/>
        <rFont val="WenQuanYi Zen Hei"/>
        <family val="2"/>
      </rPr>
      <t xml:space="preserve">广告花费 </t>
    </r>
    <r>
      <rPr>
        <sz val="10"/>
        <rFont val="微软雅黑"/>
        <family val="0"/>
        <charset val="1"/>
      </rPr>
      <t xml:space="preserve">&lt;$2,000</t>
    </r>
    <r>
      <rPr>
        <sz val="10"/>
        <rFont val="WenQuanYi Zen Hei"/>
        <family val="2"/>
      </rPr>
      <t xml:space="preserve">，影响小</t>
    </r>
  </si>
  <si>
    <r>
      <rPr>
        <sz val="10"/>
        <rFont val="WenQuanYi Zen Hei"/>
        <family val="2"/>
      </rPr>
      <t xml:space="preserve">广告状态判定（按顺序）：收缩＝净毛利率</t>
    </r>
    <r>
      <rPr>
        <sz val="10"/>
        <rFont val="微软雅黑"/>
        <family val="0"/>
        <charset val="1"/>
      </rPr>
      <t xml:space="preserve">&lt;8% </t>
    </r>
    <r>
      <rPr>
        <sz val="10"/>
        <rFont val="WenQuanYi Zen Hei"/>
        <family val="2"/>
      </rPr>
      <t xml:space="preserve">或 止损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压缩</t>
    </r>
    <r>
      <rPr>
        <sz val="10"/>
        <rFont val="微软雅黑"/>
        <family val="0"/>
        <charset val="1"/>
      </rPr>
      <t xml:space="preserve">/</t>
    </r>
    <r>
      <rPr>
        <sz val="10"/>
        <rFont val="WenQuanYi Zen Hei"/>
        <family val="2"/>
      </rPr>
      <t xml:space="preserve">清理 </t>
    </r>
    <r>
      <rPr>
        <sz val="10"/>
        <rFont val="微软雅黑"/>
        <family val="0"/>
        <charset val="1"/>
      </rPr>
      <t xml:space="preserve">SPU </t>
    </r>
    <r>
      <rPr>
        <sz val="10"/>
        <rFont val="WenQuanYi Zen Hei"/>
        <family val="2"/>
      </rPr>
      <t xml:space="preserve">占广告≥</t>
    </r>
    <r>
      <rPr>
        <sz val="10"/>
        <rFont val="微软雅黑"/>
        <family val="0"/>
        <charset val="1"/>
      </rPr>
      <t xml:space="preserve">30% </t>
    </r>
    <r>
      <rPr>
        <sz val="10"/>
        <rFont val="WenQuanYi Zen Hei"/>
        <family val="2"/>
      </rPr>
      <t xml:space="preserve">或 建议预算较当前≤−</t>
    </r>
    <r>
      <rPr>
        <sz val="10"/>
        <rFont val="微软雅黑"/>
        <family val="0"/>
        <charset val="1"/>
      </rPr>
      <t xml:space="preserve">20%</t>
    </r>
    <r>
      <rPr>
        <sz val="10"/>
        <rFont val="WenQuanYi Zen Hei"/>
        <family val="2"/>
      </rPr>
      <t xml:space="preserve">；观察＝广告费率≥</t>
    </r>
    <r>
      <rPr>
        <sz val="10"/>
        <rFont val="微软雅黑"/>
        <family val="0"/>
        <charset val="1"/>
      </rPr>
      <t xml:space="preserve">17% </t>
    </r>
    <r>
      <rPr>
        <sz val="10"/>
        <rFont val="WenQuanYi Zen Hei"/>
        <family val="2"/>
      </rPr>
      <t xml:space="preserve">或 异常 </t>
    </r>
    <r>
      <rPr>
        <sz val="10"/>
        <rFont val="微软雅黑"/>
        <family val="0"/>
        <charset val="1"/>
      </rPr>
      <t xml:space="preserve">SPU </t>
    </r>
    <r>
      <rPr>
        <sz val="10"/>
        <rFont val="WenQuanYi Zen Hei"/>
        <family val="2"/>
      </rPr>
      <t xml:space="preserve">占广告≥</t>
    </r>
    <r>
      <rPr>
        <sz val="10"/>
        <rFont val="微软雅黑"/>
        <family val="0"/>
        <charset val="1"/>
      </rPr>
      <t xml:space="preserve">15% </t>
    </r>
    <r>
      <rPr>
        <sz val="10"/>
        <rFont val="WenQuanYi Zen Hei"/>
        <family val="2"/>
      </rPr>
      <t xml:space="preserve">或 近</t>
    </r>
    <r>
      <rPr>
        <sz val="10"/>
        <rFont val="微软雅黑"/>
        <family val="0"/>
        <charset val="1"/>
      </rPr>
      <t xml:space="preserve">30</t>
    </r>
    <r>
      <rPr>
        <sz val="10"/>
        <rFont val="WenQuanYi Zen Hei"/>
        <family val="2"/>
      </rPr>
      <t xml:space="preserve">天销售环比≤−</t>
    </r>
    <r>
      <rPr>
        <sz val="10"/>
        <rFont val="微软雅黑"/>
        <family val="0"/>
        <charset val="1"/>
      </rPr>
      <t xml:space="preserve">20%</t>
    </r>
    <r>
      <rPr>
        <sz val="10"/>
        <rFont val="WenQuanYi Zen Hei"/>
        <family val="2"/>
      </rPr>
      <t xml:space="preserve">；加投＝净毛利率≥</t>
    </r>
    <r>
      <rPr>
        <sz val="10"/>
        <rFont val="微软雅黑"/>
        <family val="0"/>
        <charset val="1"/>
      </rPr>
      <t xml:space="preserve">15%</t>
    </r>
    <r>
      <rPr>
        <sz val="10"/>
        <rFont val="WenQuanYi Zen Hei"/>
        <family val="2"/>
      </rPr>
      <t xml:space="preserve">、广告费率≤</t>
    </r>
    <r>
      <rPr>
        <sz val="10"/>
        <rFont val="微软雅黑"/>
        <family val="0"/>
        <charset val="1"/>
      </rPr>
      <t xml:space="preserve">13%</t>
    </r>
    <r>
      <rPr>
        <sz val="10"/>
        <rFont val="WenQuanYi Zen Hei"/>
        <family val="2"/>
      </rPr>
      <t xml:space="preserve">、近</t>
    </r>
    <r>
      <rPr>
        <sz val="10"/>
        <rFont val="微软雅黑"/>
        <family val="0"/>
        <charset val="1"/>
      </rPr>
      <t xml:space="preserve">30</t>
    </r>
    <r>
      <rPr>
        <sz val="10"/>
        <rFont val="WenQuanYi Zen Hei"/>
        <family val="2"/>
      </rPr>
      <t xml:space="preserve">天环比</t>
    </r>
    <r>
      <rPr>
        <sz val="10"/>
        <rFont val="微软雅黑"/>
        <family val="0"/>
        <charset val="1"/>
      </rPr>
      <t xml:space="preserve">&gt;−10% </t>
    </r>
    <r>
      <rPr>
        <sz val="10"/>
        <rFont val="WenQuanYi Zen Hei"/>
        <family val="2"/>
      </rPr>
      <t xml:space="preserve">且建议预算高于当前；其余维稳；广告</t>
    </r>
    <r>
      <rPr>
        <sz val="10"/>
        <rFont val="微软雅黑"/>
        <family val="0"/>
        <charset val="1"/>
      </rPr>
      <t xml:space="preserve">&lt;$2,000 </t>
    </r>
    <r>
      <rPr>
        <sz val="10"/>
        <rFont val="WenQuanYi Zen Hei"/>
        <family val="2"/>
      </rPr>
      <t xml:space="preserve">的小分类维稳。</t>
    </r>
  </si>
  <si>
    <t xml:space="preserve">参数</t>
  </si>
  <si>
    <t xml:space="preserve">值</t>
  </si>
  <si>
    <t xml:space="preserve">说明</t>
  </si>
  <si>
    <t xml:space="preserve">成熟品最低净毛利率</t>
  </si>
  <si>
    <r>
      <rPr>
        <sz val="10"/>
        <rFont val="WenQuanYi Zen Hei"/>
        <family val="2"/>
      </rPr>
      <t xml:space="preserve">建议广告费率 </t>
    </r>
    <r>
      <rPr>
        <sz val="10"/>
        <rFont val="微软雅黑"/>
        <family val="0"/>
        <charset val="1"/>
      </rPr>
      <t xml:space="preserve">= </t>
    </r>
    <r>
      <rPr>
        <sz val="10"/>
        <rFont val="WenQuanYi Zen Hei"/>
        <family val="2"/>
      </rPr>
      <t xml:space="preserve">广告前毛利率 − 该值</t>
    </r>
  </si>
  <si>
    <t xml:space="preserve">成熟品费率上限</t>
  </si>
  <si>
    <t xml:space="preserve">新品期费率上限</t>
  </si>
  <si>
    <r>
      <rPr>
        <sz val="10"/>
        <rFont val="WenQuanYi Zen Hei"/>
        <family val="2"/>
      </rPr>
      <t xml:space="preserve">新品期按保本投放，最长 </t>
    </r>
    <r>
      <rPr>
        <sz val="10"/>
        <rFont val="微软雅黑"/>
        <family val="0"/>
        <charset val="1"/>
      </rPr>
      <t xml:space="preserve">90 </t>
    </r>
    <r>
      <rPr>
        <sz val="10"/>
        <rFont val="WenQuanYi Zen Hei"/>
        <family val="2"/>
      </rPr>
      <t xml:space="preserve">天</t>
    </r>
  </si>
  <si>
    <t xml:space="preserve">清货品让利</t>
  </si>
  <si>
    <r>
      <rPr>
        <sz val="10"/>
        <rFont val="WenQuanYi Zen Hei"/>
        <family val="2"/>
      </rPr>
      <t xml:space="preserve">建议费率 </t>
    </r>
    <r>
      <rPr>
        <sz val="10"/>
        <rFont val="微软雅黑"/>
        <family val="0"/>
        <charset val="1"/>
      </rPr>
      <t xml:space="preserve">= </t>
    </r>
    <r>
      <rPr>
        <sz val="10"/>
        <rFont val="WenQuanYi Zen Hei"/>
        <family val="2"/>
      </rPr>
      <t xml:space="preserve">广告前毛利率 − 该值</t>
    </r>
  </si>
  <si>
    <t xml:space="preserve">清货品费率上限</t>
  </si>
  <si>
    <t xml:space="preserve">加投单月最大增幅</t>
  </si>
  <si>
    <t xml:space="preserve">仅「加投」标记可上调</t>
  </si>
  <si>
    <r>
      <rPr>
        <sz val="10"/>
        <rFont val="WenQuanYi Zen Hei"/>
        <family val="2"/>
      </rPr>
      <t xml:space="preserve">公司销售额（</t>
    </r>
    <r>
      <rPr>
        <sz val="10"/>
        <rFont val="微软雅黑"/>
        <family val="0"/>
        <charset val="1"/>
      </rPr>
      <t xml:space="preserve">1–10/24</t>
    </r>
    <r>
      <rPr>
        <sz val="10"/>
        <rFont val="WenQuanYi Zen Hei"/>
        <family val="2"/>
      </rPr>
      <t xml:space="preserve">）</t>
    </r>
  </si>
  <si>
    <r>
      <rPr>
        <sz val="10"/>
        <rFont val="WenQuanYi Zen Hei"/>
        <family val="2"/>
      </rPr>
      <t xml:space="preserve">利润报表</t>
    </r>
    <r>
      <rPr>
        <sz val="10"/>
        <rFont val="微软雅黑"/>
        <family val="0"/>
        <charset val="1"/>
      </rPr>
      <t xml:space="preserve">-MSKU</t>
    </r>
  </si>
  <si>
    <t xml:space="preserve">公司毛利额</t>
  </si>
  <si>
    <t xml:space="preserve">公司广告花费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</si>
</sst>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0%"/>
    <numFmt numFmtId="167" formatCode="0.0%"/>
    <numFmt numFmtId="168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WenQuanYi Zen Hei"/>
      <family val="2"/>
    </font>
    <font>
      <b val="true"/>
      <sz val="10"/>
      <color rgb="FFFFFFFF"/>
      <name val="微软雅黑"/>
      <family val="0"/>
      <charset val="1"/>
    </font>
    <font>
      <sz val="10"/>
      <name val="WenQuanYi Zen Hei"/>
      <family val="2"/>
    </font>
    <font>
      <sz val="10"/>
      <name val="微软雅黑"/>
      <family val="0"/>
      <charset val="1"/>
    </font>
    <font>
      <sz val="10"/>
      <color rgb="FF0000FF"/>
      <name val="微软雅黑"/>
      <family val="0"/>
      <charset val="1"/>
    </font>
    <font>
      <b val="true"/>
      <sz val="10"/>
      <name val="WenQuanYi Zen Hei"/>
      <family val="2"/>
    </font>
    <font>
      <b val="true"/>
      <sz val="10"/>
      <name val="微软雅黑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5496"/>
        <bgColor rgb="FF666699"/>
      </patternFill>
    </fill>
    <fill>
      <patternFill patternType="solid">
        <fgColor rgb="FFFFF2CC"/>
        <bgColor rgb="FFFCE4D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2E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FCE4D6"/>
        </patternFill>
      </fill>
    </dxf>
    <dxf>
      <fill>
        <patternFill>
          <bgColor rgb="FFE7E6E6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DDEBF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EFDA"/>
      <rgbColor rgb="FFFCE4D6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3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4" min="3" style="0" width="8"/>
    <col collapsed="false" customWidth="true" hidden="false" outlineLevel="0" max="5" min="5" style="0" width="13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2" min="11" style="0" width="9"/>
    <col collapsed="false" customWidth="true" hidden="false" outlineLevel="0" max="14" min="13" style="0" width="10"/>
    <col collapsed="false" customWidth="true" hidden="false" outlineLevel="0" max="17" min="15" style="0" width="9"/>
    <col collapsed="false" customWidth="true" hidden="false" outlineLevel="0" max="19" min="18" style="0" width="12"/>
    <col collapsed="false" customWidth="true" hidden="false" outlineLevel="0" max="21" min="20" style="0" width="9"/>
    <col collapsed="false" customWidth="true" hidden="false" outlineLevel="0" max="22" min="22" style="0" width="10"/>
    <col collapsed="false" customWidth="true" hidden="false" outlineLevel="0" max="24" min="23" style="0" width="12"/>
    <col collapsed="false" customWidth="true" hidden="false" outlineLevel="0" max="25" min="25" style="0" width="11"/>
    <col collapsed="false" customWidth="true" hidden="false" outlineLevel="0" max="26" min="26" style="0" width="30"/>
    <col collapsed="false" customWidth="true" hidden="false" outlineLevel="0" max="27" min="27" style="0" width="60"/>
  </cols>
  <sheetData>
    <row r="1" customFormat="false" ht="39.5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customFormat="false" ht="15" hidden="false" customHeight="false" outlineLevel="0" collapsed="false">
      <c r="A2" s="3" t="s">
        <v>27</v>
      </c>
      <c r="B2" s="3" t="s">
        <v>28</v>
      </c>
      <c r="C2" s="3" t="s">
        <v>29</v>
      </c>
      <c r="D2" s="3" t="s">
        <v>30</v>
      </c>
      <c r="E2" s="4" t="n">
        <v>3002859.93</v>
      </c>
      <c r="F2" s="5" t="n">
        <f aca="false">IFERROR(E2/规则参数!$B$8,0)</f>
        <v>0.0918997413235195</v>
      </c>
      <c r="G2" s="4" t="n">
        <v>279838.85</v>
      </c>
      <c r="H2" s="5" t="n">
        <f aca="false">IFERROR(G2/规则参数!$B$9,0)</f>
        <v>0.062198690100072</v>
      </c>
      <c r="I2" s="4" t="n">
        <v>531781.26</v>
      </c>
      <c r="J2" s="5" t="n">
        <f aca="false">IFERROR(I2/规则参数!$B$10,0)</f>
        <v>0.109832725081688</v>
      </c>
      <c r="K2" s="6" t="n">
        <f aca="false">IFERROR(I2/E2,0)</f>
        <v>0.177091596809845</v>
      </c>
      <c r="L2" s="6" t="n">
        <f aca="false">IFERROR(G2/E2,0)</f>
        <v>0.0931907769670762</v>
      </c>
      <c r="M2" s="6" t="n">
        <f aca="false">K2+L2</f>
        <v>0.270282373776921</v>
      </c>
      <c r="N2" s="4" t="n">
        <v>435095.98</v>
      </c>
      <c r="O2" s="4" t="n">
        <v>32595.46</v>
      </c>
      <c r="P2" s="4" t="n">
        <v>24829.02</v>
      </c>
      <c r="Q2" s="4" t="n">
        <v>39260.8</v>
      </c>
      <c r="R2" s="4" t="n">
        <v>210946.21</v>
      </c>
      <c r="S2" s="4" t="n">
        <v>150852.89</v>
      </c>
      <c r="T2" s="6" t="n">
        <f aca="false">IFERROR(R2/S2-1,"")</f>
        <v>0.398357101411845</v>
      </c>
      <c r="U2" s="7" t="n">
        <v>45966</v>
      </c>
      <c r="V2" s="8" t="n">
        <v>0.15</v>
      </c>
      <c r="W2" s="4" t="n">
        <f aca="false">R2*K2</f>
        <v>37356.8011698849</v>
      </c>
      <c r="X2" s="4" t="n">
        <f aca="false">R2*V2</f>
        <v>31641.9315</v>
      </c>
      <c r="Y2" s="4" t="n">
        <f aca="false">X2-W2</f>
        <v>-5714.86966988494</v>
      </c>
      <c r="Z2" s="3"/>
      <c r="AA2" s="3" t="s">
        <v>31</v>
      </c>
    </row>
    <row r="3" customFormat="false" ht="15" hidden="false" customHeight="false" outlineLevel="0" collapsed="false">
      <c r="A3" s="3" t="s">
        <v>32</v>
      </c>
      <c r="B3" s="3" t="s">
        <v>33</v>
      </c>
      <c r="C3" s="3" t="s">
        <v>34</v>
      </c>
      <c r="D3" s="3" t="s">
        <v>30</v>
      </c>
      <c r="E3" s="4" t="n">
        <v>1863042.96</v>
      </c>
      <c r="F3" s="5" t="n">
        <f aca="false">IFERROR(E3/规则参数!$B$8,0)</f>
        <v>0.0570167007751854</v>
      </c>
      <c r="G3" s="4" t="n">
        <v>270693.47</v>
      </c>
      <c r="H3" s="5" t="n">
        <f aca="false">IFERROR(G3/规则参数!$B$9,0)</f>
        <v>0.0601659821452352</v>
      </c>
      <c r="I3" s="4" t="n">
        <v>286580.89</v>
      </c>
      <c r="J3" s="5" t="n">
        <f aca="false">IFERROR(I3/规则参数!$B$10,0)</f>
        <v>0.0591896752906177</v>
      </c>
      <c r="K3" s="6" t="n">
        <f aca="false">IFERROR(I3/E3,0)</f>
        <v>0.15382409109879</v>
      </c>
      <c r="L3" s="6" t="n">
        <f aca="false">IFERROR(G3/E3,0)</f>
        <v>0.145296418714896</v>
      </c>
      <c r="M3" s="6" t="n">
        <f aca="false">K3+L3</f>
        <v>0.299120509813687</v>
      </c>
      <c r="N3" s="4" t="n">
        <v>255309.58</v>
      </c>
      <c r="O3" s="4" t="n">
        <v>15385.78</v>
      </c>
      <c r="P3" s="4" t="n">
        <v>6838.55</v>
      </c>
      <c r="Q3" s="4" t="n">
        <v>9046.98</v>
      </c>
      <c r="R3" s="4" t="n">
        <v>169909.81</v>
      </c>
      <c r="S3" s="4" t="n">
        <v>144772.01</v>
      </c>
      <c r="T3" s="6" t="n">
        <f aca="false">IFERROR(R3/S3-1,"")</f>
        <v>0.173637155414227</v>
      </c>
      <c r="U3" s="7" t="n">
        <v>41299</v>
      </c>
      <c r="V3" s="8" t="n">
        <v>0.1538</v>
      </c>
      <c r="W3" s="4" t="n">
        <f aca="false">R3*K3</f>
        <v>26136.2220920182</v>
      </c>
      <c r="X3" s="4" t="n">
        <f aca="false">R3*V3</f>
        <v>26132.128778</v>
      </c>
      <c r="Y3" s="4" t="n">
        <f aca="false">X3-W3</f>
        <v>-4.09331401815871</v>
      </c>
      <c r="Z3" s="3"/>
      <c r="AA3" s="3" t="s">
        <v>31</v>
      </c>
    </row>
    <row r="4" customFormat="false" ht="15" hidden="false" customHeight="false" outlineLevel="0" collapsed="false">
      <c r="A4" s="3" t="s">
        <v>35</v>
      </c>
      <c r="B4" s="3" t="s">
        <v>36</v>
      </c>
      <c r="C4" s="3" t="s">
        <v>34</v>
      </c>
      <c r="D4" s="3" t="s">
        <v>30</v>
      </c>
      <c r="E4" s="4" t="n">
        <v>1212161.63</v>
      </c>
      <c r="F4" s="5" t="n">
        <f aca="false">IFERROR(E4/规则参数!$B$8,0)</f>
        <v>0.0370970817274503</v>
      </c>
      <c r="G4" s="4" t="n">
        <v>116793.55</v>
      </c>
      <c r="H4" s="5" t="n">
        <f aca="false">IFERROR(G4/规则参数!$B$9,0)</f>
        <v>0.0259592469813869</v>
      </c>
      <c r="I4" s="4" t="n">
        <v>185987.22</v>
      </c>
      <c r="J4" s="5" t="n">
        <f aca="false">IFERROR(I4/规则参数!$B$10,0)</f>
        <v>0.0384133190458187</v>
      </c>
      <c r="K4" s="6" t="n">
        <f aca="false">IFERROR(I4/E4,0)</f>
        <v>0.153434340270282</v>
      </c>
      <c r="L4" s="6" t="n">
        <f aca="false">IFERROR(G4/E4,0)</f>
        <v>0.0963514659344563</v>
      </c>
      <c r="M4" s="6" t="n">
        <f aca="false">K4+L4</f>
        <v>0.249785806204739</v>
      </c>
      <c r="N4" s="4" t="n">
        <v>170933.16</v>
      </c>
      <c r="O4" s="4" t="n">
        <v>3891.84</v>
      </c>
      <c r="P4" s="4" t="n">
        <v>6511.8</v>
      </c>
      <c r="Q4" s="4" t="n">
        <v>4650.42</v>
      </c>
      <c r="R4" s="4" t="n">
        <v>95333.91</v>
      </c>
      <c r="S4" s="4" t="n">
        <v>82880.23</v>
      </c>
      <c r="T4" s="6" t="n">
        <f aca="false">IFERROR(R4/S4-1,"")</f>
        <v>0.150261166022343</v>
      </c>
      <c r="U4" s="7" t="n">
        <v>7071</v>
      </c>
      <c r="V4" s="8" t="n">
        <v>0.1498</v>
      </c>
      <c r="W4" s="4" t="n">
        <f aca="false">R4*K4</f>
        <v>14627.4955862365</v>
      </c>
      <c r="X4" s="4" t="n">
        <f aca="false">R4*V4</f>
        <v>14281.019718</v>
      </c>
      <c r="Y4" s="4" t="n">
        <f aca="false">X4-W4</f>
        <v>-346.47586823647</v>
      </c>
      <c r="Z4" s="3"/>
      <c r="AA4" s="3" t="s">
        <v>31</v>
      </c>
    </row>
    <row r="5" customFormat="false" ht="15" hidden="false" customHeight="false" outlineLevel="0" collapsed="false">
      <c r="A5" s="3" t="s">
        <v>37</v>
      </c>
      <c r="B5" s="3" t="s">
        <v>38</v>
      </c>
      <c r="C5" s="3" t="s">
        <v>34</v>
      </c>
      <c r="D5" s="3" t="s">
        <v>30</v>
      </c>
      <c r="E5" s="4" t="n">
        <v>1035369.93</v>
      </c>
      <c r="F5" s="5" t="n">
        <f aca="false">IFERROR(E5/规则参数!$B$8,0)</f>
        <v>0.0316865358222521</v>
      </c>
      <c r="G5" s="4" t="n">
        <v>195638.66</v>
      </c>
      <c r="H5" s="5" t="n">
        <f aca="false">IFERROR(G5/规则参数!$B$9,0)</f>
        <v>0.0434838421646364</v>
      </c>
      <c r="I5" s="4" t="n">
        <v>180059.88</v>
      </c>
      <c r="J5" s="5" t="n">
        <f aca="false">IFERROR(I5/规则参数!$B$10,0)</f>
        <v>0.0371891015833875</v>
      </c>
      <c r="K5" s="6" t="n">
        <f aca="false">IFERROR(I5/E5,0)</f>
        <v>0.173908740038452</v>
      </c>
      <c r="L5" s="6" t="n">
        <f aca="false">IFERROR(G5/E5,0)</f>
        <v>0.188955323436909</v>
      </c>
      <c r="M5" s="6" t="n">
        <f aca="false">K5+L5</f>
        <v>0.362864063475361</v>
      </c>
      <c r="N5" s="4" t="n">
        <v>147037.02</v>
      </c>
      <c r="O5" s="4" t="n">
        <v>10697.21</v>
      </c>
      <c r="P5" s="4" t="n">
        <v>16736.13</v>
      </c>
      <c r="Q5" s="4" t="n">
        <v>5589.52</v>
      </c>
      <c r="R5" s="4" t="n">
        <v>57122.68</v>
      </c>
      <c r="S5" s="4" t="n">
        <v>69470.05</v>
      </c>
      <c r="T5" s="6" t="n">
        <f aca="false">IFERROR(R5/S5-1,"")</f>
        <v>-0.177736592963443</v>
      </c>
      <c r="U5" s="7" t="n">
        <v>6125</v>
      </c>
      <c r="V5" s="8" t="n">
        <v>0.1739</v>
      </c>
      <c r="W5" s="4" t="n">
        <f aca="false">R5*K5</f>
        <v>9934.13330641967</v>
      </c>
      <c r="X5" s="4" t="n">
        <f aca="false">R5*V5</f>
        <v>9933.634052</v>
      </c>
      <c r="Y5" s="4" t="n">
        <f aca="false">X5-W5</f>
        <v>-0.499254419666613</v>
      </c>
      <c r="Z5" s="3"/>
      <c r="AA5" s="3" t="s">
        <v>31</v>
      </c>
    </row>
    <row r="6" customFormat="false" ht="15" hidden="false" customHeight="false" outlineLevel="0" collapsed="false">
      <c r="A6" s="3" t="s">
        <v>39</v>
      </c>
      <c r="B6" s="3" t="s">
        <v>40</v>
      </c>
      <c r="C6" s="3" t="s">
        <v>34</v>
      </c>
      <c r="D6" s="3" t="s">
        <v>30</v>
      </c>
      <c r="E6" s="4" t="n">
        <v>1105640.7</v>
      </c>
      <c r="F6" s="5" t="n">
        <f aca="false">IFERROR(E6/规则参数!$B$8,0)</f>
        <v>0.0338371075226126</v>
      </c>
      <c r="G6" s="4" t="n">
        <v>204102.62</v>
      </c>
      <c r="H6" s="5" t="n">
        <f aca="false">IFERROR(G6/规则参数!$B$9,0)</f>
        <v>0.0453650935529244</v>
      </c>
      <c r="I6" s="4" t="n">
        <v>172553.43</v>
      </c>
      <c r="J6" s="5" t="n">
        <f aca="false">IFERROR(I6/规则参数!$B$10,0)</f>
        <v>0.035638738828616</v>
      </c>
      <c r="K6" s="6" t="n">
        <f aca="false">IFERROR(I6/E6,0)</f>
        <v>0.15606645992681</v>
      </c>
      <c r="L6" s="6" t="n">
        <f aca="false">IFERROR(G6/E6,0)</f>
        <v>0.184601218099153</v>
      </c>
      <c r="M6" s="6" t="n">
        <f aca="false">K6+L6</f>
        <v>0.340667678025963</v>
      </c>
      <c r="N6" s="4" t="n">
        <v>157884.26</v>
      </c>
      <c r="O6" s="4" t="n">
        <v>7752.39</v>
      </c>
      <c r="P6" s="4" t="n">
        <v>6130.52</v>
      </c>
      <c r="Q6" s="4" t="n">
        <v>786.26</v>
      </c>
      <c r="R6" s="4" t="n">
        <v>109488.77</v>
      </c>
      <c r="S6" s="4" t="n">
        <v>95953.42</v>
      </c>
      <c r="T6" s="6" t="n">
        <f aca="false">IFERROR(R6/S6-1,"")</f>
        <v>0.141061673466147</v>
      </c>
      <c r="U6" s="7" t="n">
        <v>19230</v>
      </c>
      <c r="V6" s="8" t="n">
        <v>0.1561</v>
      </c>
      <c r="W6" s="4" t="n">
        <f aca="false">R6*K6</f>
        <v>17087.5247356407</v>
      </c>
      <c r="X6" s="4" t="n">
        <f aca="false">R6*V6</f>
        <v>17091.196997</v>
      </c>
      <c r="Y6" s="4" t="n">
        <f aca="false">X6-W6</f>
        <v>3.67226135929741</v>
      </c>
      <c r="Z6" s="3"/>
      <c r="AA6" s="3" t="s">
        <v>31</v>
      </c>
    </row>
    <row r="7" customFormat="false" ht="15" hidden="false" customHeight="false" outlineLevel="0" collapsed="false">
      <c r="A7" s="3" t="s">
        <v>35</v>
      </c>
      <c r="B7" s="3" t="s">
        <v>41</v>
      </c>
      <c r="C7" s="3" t="s">
        <v>34</v>
      </c>
      <c r="D7" s="3" t="s">
        <v>30</v>
      </c>
      <c r="E7" s="4" t="n">
        <v>1162804.56</v>
      </c>
      <c r="F7" s="5" t="n">
        <f aca="false">IFERROR(E7/规则参数!$B$8,0)</f>
        <v>0.0355865544064218</v>
      </c>
      <c r="G7" s="4" t="n">
        <v>186226.9</v>
      </c>
      <c r="H7" s="5" t="n">
        <f aca="false">IFERROR(G7/规则参数!$B$9,0)</f>
        <v>0.041391926965813</v>
      </c>
      <c r="I7" s="4" t="n">
        <v>140260.28</v>
      </c>
      <c r="J7" s="5" t="n">
        <f aca="false">IFERROR(I7/规则参数!$B$10,0)</f>
        <v>0.0289689952088959</v>
      </c>
      <c r="K7" s="6" t="n">
        <f aca="false">IFERROR(I7/E7,0)</f>
        <v>0.120622402787963</v>
      </c>
      <c r="L7" s="6" t="n">
        <f aca="false">IFERROR(G7/E7,0)</f>
        <v>0.160153224717316</v>
      </c>
      <c r="M7" s="6" t="n">
        <f aca="false">K7+L7</f>
        <v>0.280775627505279</v>
      </c>
      <c r="N7" s="4" t="n">
        <v>135851.54</v>
      </c>
      <c r="O7" s="4" t="n">
        <v>2007.85</v>
      </c>
      <c r="P7" s="4" t="n">
        <v>2300.17</v>
      </c>
      <c r="Q7" s="4" t="n">
        <v>100.72</v>
      </c>
      <c r="R7" s="4" t="n">
        <v>128875.55</v>
      </c>
      <c r="S7" s="4" t="n">
        <v>92475.09</v>
      </c>
      <c r="T7" s="6" t="n">
        <f aca="false">IFERROR(R7/S7-1,"")</f>
        <v>0.393624488497389</v>
      </c>
      <c r="U7" s="7" t="n">
        <v>5078</v>
      </c>
      <c r="V7" s="8" t="n">
        <v>0.1206</v>
      </c>
      <c r="W7" s="4" t="n">
        <f aca="false">R7*K7</f>
        <v>15545.2785016203</v>
      </c>
      <c r="X7" s="4" t="n">
        <f aca="false">R7*V7</f>
        <v>15542.39133</v>
      </c>
      <c r="Y7" s="4" t="n">
        <f aca="false">X7-W7</f>
        <v>-2.88717162025387</v>
      </c>
      <c r="Z7" s="3"/>
      <c r="AA7" s="3" t="s">
        <v>31</v>
      </c>
    </row>
    <row r="8" customFormat="false" ht="15" hidden="false" customHeight="false" outlineLevel="0" collapsed="false">
      <c r="A8" s="3" t="s">
        <v>42</v>
      </c>
      <c r="B8" s="3" t="s">
        <v>43</v>
      </c>
      <c r="C8" s="3" t="s">
        <v>34</v>
      </c>
      <c r="D8" s="3" t="s">
        <v>30</v>
      </c>
      <c r="E8" s="4" t="n">
        <v>763528.92</v>
      </c>
      <c r="F8" s="5" t="n">
        <f aca="false">IFERROR(E8/规则参数!$B$8,0)</f>
        <v>0.0233670939959648</v>
      </c>
      <c r="G8" s="4" t="n">
        <v>122664.21</v>
      </c>
      <c r="H8" s="5" t="n">
        <f aca="false">IFERROR(G8/规则参数!$B$9,0)</f>
        <v>0.0272640956899307</v>
      </c>
      <c r="I8" s="4" t="n">
        <v>105902.97</v>
      </c>
      <c r="J8" s="5" t="n">
        <f aca="false">IFERROR(I8/规则参数!$B$10,0)</f>
        <v>0.0218729253252442</v>
      </c>
      <c r="K8" s="6" t="n">
        <f aca="false">IFERROR(I8/E8,0)</f>
        <v>0.138701976082321</v>
      </c>
      <c r="L8" s="6" t="n">
        <f aca="false">IFERROR(G8/E8,0)</f>
        <v>0.160654307632512</v>
      </c>
      <c r="M8" s="6" t="n">
        <f aca="false">K8+L8</f>
        <v>0.299356283714833</v>
      </c>
      <c r="N8" s="4" t="n">
        <v>102611.25</v>
      </c>
      <c r="O8" s="4" t="n">
        <v>2031.51</v>
      </c>
      <c r="P8" s="4" t="n">
        <v>869.82</v>
      </c>
      <c r="Q8" s="4" t="n">
        <v>390.39</v>
      </c>
      <c r="R8" s="4" t="n">
        <v>89317.92</v>
      </c>
      <c r="S8" s="4" t="n">
        <v>76713.07</v>
      </c>
      <c r="T8" s="6" t="n">
        <f aca="false">IFERROR(R8/S8-1,"")</f>
        <v>0.164311635553107</v>
      </c>
      <c r="U8" s="7" t="n">
        <v>18931</v>
      </c>
      <c r="V8" s="8" t="n">
        <v>0.1387</v>
      </c>
      <c r="W8" s="4" t="n">
        <f aca="false">R8*K8</f>
        <v>12388.5720035626</v>
      </c>
      <c r="X8" s="4" t="n">
        <f aca="false">R8*V8</f>
        <v>12388.395504</v>
      </c>
      <c r="Y8" s="4" t="n">
        <f aca="false">X8-W8</f>
        <v>-0.1764995626163</v>
      </c>
      <c r="Z8" s="3"/>
      <c r="AA8" s="3" t="s">
        <v>31</v>
      </c>
    </row>
    <row r="9" customFormat="false" ht="15" hidden="false" customHeight="false" outlineLevel="0" collapsed="false">
      <c r="A9" s="3" t="s">
        <v>44</v>
      </c>
      <c r="B9" s="3" t="s">
        <v>45</v>
      </c>
      <c r="C9" s="3" t="s">
        <v>29</v>
      </c>
      <c r="D9" s="3" t="s">
        <v>46</v>
      </c>
      <c r="E9" s="4" t="n">
        <v>1053256.29</v>
      </c>
      <c r="F9" s="5" t="n">
        <f aca="false">IFERROR(E9/规则参数!$B$8,0)</f>
        <v>0.0322339312704372</v>
      </c>
      <c r="G9" s="4" t="n">
        <v>291849.57</v>
      </c>
      <c r="H9" s="5" t="n">
        <f aca="false">IFERROR(G9/规则参数!$B$9,0)</f>
        <v>0.0648682660047713</v>
      </c>
      <c r="I9" s="4" t="n">
        <v>102995.78</v>
      </c>
      <c r="J9" s="5" t="n">
        <f aca="false">IFERROR(I9/规则参数!$B$10,0)</f>
        <v>0.0212724818270468</v>
      </c>
      <c r="K9" s="6" t="n">
        <f aca="false">IFERROR(I9/E9,0)</f>
        <v>0.0977879562437743</v>
      </c>
      <c r="L9" s="6" t="n">
        <f aca="false">IFERROR(G9/E9,0)</f>
        <v>0.277092643804672</v>
      </c>
      <c r="M9" s="6" t="n">
        <f aca="false">K9+L9</f>
        <v>0.374880600048446</v>
      </c>
      <c r="N9" s="4" t="n">
        <v>78939.86</v>
      </c>
      <c r="O9" s="4" t="n">
        <v>13896.36</v>
      </c>
      <c r="P9" s="4" t="n">
        <v>9016.67</v>
      </c>
      <c r="Q9" s="4" t="n">
        <v>1142.89</v>
      </c>
      <c r="R9" s="4" t="n">
        <v>43899.05</v>
      </c>
      <c r="S9" s="4" t="n">
        <v>64088.88</v>
      </c>
      <c r="T9" s="6" t="n">
        <f aca="false">IFERROR(R9/S9-1,"")</f>
        <v>-0.315028597784826</v>
      </c>
      <c r="U9" s="7" t="n">
        <v>7721</v>
      </c>
      <c r="V9" s="8" t="n">
        <v>0.0978</v>
      </c>
      <c r="W9" s="4" t="n">
        <f aca="false">R9*K9</f>
        <v>4292.79838054326</v>
      </c>
      <c r="X9" s="4" t="n">
        <f aca="false">R9*V9</f>
        <v>4293.32709</v>
      </c>
      <c r="Y9" s="4" t="n">
        <f aca="false">X9-W9</f>
        <v>0.528709456742035</v>
      </c>
      <c r="Z9" s="3" t="s">
        <v>47</v>
      </c>
      <c r="AA9" s="3" t="s">
        <v>48</v>
      </c>
    </row>
    <row r="10" customFormat="false" ht="15" hidden="false" customHeight="false" outlineLevel="0" collapsed="false">
      <c r="A10" s="3" t="s">
        <v>39</v>
      </c>
      <c r="B10" s="3" t="s">
        <v>49</v>
      </c>
      <c r="C10" s="3" t="s">
        <v>34</v>
      </c>
      <c r="D10" s="3" t="s">
        <v>30</v>
      </c>
      <c r="E10" s="4" t="n">
        <v>777879.19</v>
      </c>
      <c r="F10" s="5" t="n">
        <f aca="false">IFERROR(E10/规则参数!$B$8,0)</f>
        <v>0.0238062706914035</v>
      </c>
      <c r="G10" s="4" t="n">
        <v>211382.2</v>
      </c>
      <c r="H10" s="5" t="n">
        <f aca="false">IFERROR(G10/规则参数!$B$9,0)</f>
        <v>0.0469830974165004</v>
      </c>
      <c r="I10" s="4" t="n">
        <v>94014.51</v>
      </c>
      <c r="J10" s="5" t="n">
        <f aca="false">IFERROR(I10/规则参数!$B$10,0)</f>
        <v>0.0194175135666113</v>
      </c>
      <c r="K10" s="6" t="n">
        <f aca="false">IFERROR(I10/E10,0)</f>
        <v>0.12086003997613</v>
      </c>
      <c r="L10" s="6" t="n">
        <f aca="false">IFERROR(G10/E10,0)</f>
        <v>0.271741682664117</v>
      </c>
      <c r="M10" s="6" t="n">
        <f aca="false">K10+L10</f>
        <v>0.392601722640247</v>
      </c>
      <c r="N10" s="4" t="n">
        <v>87200.07</v>
      </c>
      <c r="O10" s="4" t="n">
        <v>3812.34</v>
      </c>
      <c r="P10" s="4" t="n">
        <v>2364.03</v>
      </c>
      <c r="Q10" s="4" t="n">
        <v>638.07</v>
      </c>
      <c r="R10" s="4" t="n">
        <v>253812.31</v>
      </c>
      <c r="S10" s="4" t="n">
        <v>156159.22</v>
      </c>
      <c r="T10" s="6" t="n">
        <f aca="false">IFERROR(R10/S10-1,"")</f>
        <v>0.625343095335645</v>
      </c>
      <c r="U10" s="7" t="n">
        <v>41287</v>
      </c>
      <c r="V10" s="8" t="n">
        <v>0.1209</v>
      </c>
      <c r="W10" s="4" t="n">
        <f aca="false">R10*K10</f>
        <v>30675.765933034</v>
      </c>
      <c r="X10" s="4" t="n">
        <f aca="false">R10*V10</f>
        <v>30685.908279</v>
      </c>
      <c r="Y10" s="4" t="n">
        <f aca="false">X10-W10</f>
        <v>10.1423459659782</v>
      </c>
      <c r="Z10" s="3"/>
      <c r="AA10" s="3" t="s">
        <v>31</v>
      </c>
    </row>
    <row r="11" customFormat="false" ht="15" hidden="false" customHeight="false" outlineLevel="0" collapsed="false">
      <c r="A11" s="3" t="s">
        <v>50</v>
      </c>
      <c r="B11" s="3" t="s">
        <v>51</v>
      </c>
      <c r="C11" s="3" t="s">
        <v>34</v>
      </c>
      <c r="D11" s="3" t="s">
        <v>30</v>
      </c>
      <c r="E11" s="4" t="n">
        <v>532814.49</v>
      </c>
      <c r="F11" s="5" t="n">
        <f aca="false">IFERROR(E11/规则参数!$B$8,0)</f>
        <v>0.0163062929826444</v>
      </c>
      <c r="G11" s="4" t="n">
        <v>68026.06</v>
      </c>
      <c r="H11" s="5" t="n">
        <f aca="false">IFERROR(G11/规则参数!$B$9,0)</f>
        <v>0.0151198871231386</v>
      </c>
      <c r="I11" s="4" t="n">
        <v>91570.39</v>
      </c>
      <c r="J11" s="5" t="n">
        <f aca="false">IFERROR(I11/规则参数!$B$10,0)</f>
        <v>0.0189127113476939</v>
      </c>
      <c r="K11" s="6" t="n">
        <f aca="false">IFERROR(I11/E11,0)</f>
        <v>0.171861673656811</v>
      </c>
      <c r="L11" s="6" t="n">
        <f aca="false">IFERROR(G11/E11,0)</f>
        <v>0.127673066849214</v>
      </c>
      <c r="M11" s="6" t="n">
        <f aca="false">K11+L11</f>
        <v>0.299534740506025</v>
      </c>
      <c r="N11" s="4" t="n">
        <v>84458.78</v>
      </c>
      <c r="O11" s="4" t="n">
        <v>658.21</v>
      </c>
      <c r="P11" s="4" t="n">
        <v>4779.56</v>
      </c>
      <c r="Q11" s="4" t="n">
        <v>1673.84</v>
      </c>
      <c r="R11" s="4" t="n">
        <v>12087.9</v>
      </c>
      <c r="S11" s="4" t="n">
        <v>13547.46</v>
      </c>
      <c r="T11" s="6" t="n">
        <f aca="false">IFERROR(R11/S11-1,"")</f>
        <v>-0.107736800846801</v>
      </c>
      <c r="U11" s="7" t="n">
        <v>924</v>
      </c>
      <c r="V11" s="8" t="n">
        <v>0.1719</v>
      </c>
      <c r="W11" s="4" t="n">
        <f aca="false">R11*K11</f>
        <v>2077.44672499616</v>
      </c>
      <c r="X11" s="4" t="n">
        <f aca="false">R11*V11</f>
        <v>2077.91001</v>
      </c>
      <c r="Y11" s="4" t="n">
        <f aca="false">X11-W11</f>
        <v>0.463285003838791</v>
      </c>
      <c r="Z11" s="3"/>
      <c r="AA11" s="3" t="s">
        <v>31</v>
      </c>
    </row>
    <row r="12" customFormat="false" ht="15" hidden="false" customHeight="false" outlineLevel="0" collapsed="false">
      <c r="A12" s="3" t="s">
        <v>32</v>
      </c>
      <c r="B12" s="3" t="s">
        <v>52</v>
      </c>
      <c r="C12" s="3" t="s">
        <v>34</v>
      </c>
      <c r="D12" s="3" t="s">
        <v>30</v>
      </c>
      <c r="E12" s="4" t="n">
        <v>527114.59</v>
      </c>
      <c r="F12" s="5" t="n">
        <f aca="false">IFERROR(E12/规则参数!$B$8,0)</f>
        <v>0.0161318528329935</v>
      </c>
      <c r="G12" s="4" t="n">
        <v>72088.91</v>
      </c>
      <c r="H12" s="5" t="n">
        <f aca="false">IFERROR(G12/规则参数!$B$9,0)</f>
        <v>0.0160229209516191</v>
      </c>
      <c r="I12" s="4" t="n">
        <v>83401.06</v>
      </c>
      <c r="J12" s="5" t="n">
        <f aca="false">IFERROR(I12/规则参数!$B$10,0)</f>
        <v>0.0172254390733915</v>
      </c>
      <c r="K12" s="6" t="n">
        <f aca="false">IFERROR(I12/E12,0)</f>
        <v>0.158221877334111</v>
      </c>
      <c r="L12" s="6" t="n">
        <f aca="false">IFERROR(G12/E12,0)</f>
        <v>0.136761363406769</v>
      </c>
      <c r="M12" s="6" t="n">
        <f aca="false">K12+L12</f>
        <v>0.29498324074088</v>
      </c>
      <c r="N12" s="4" t="n">
        <v>77421.4</v>
      </c>
      <c r="O12" s="4" t="n">
        <v>2870.89</v>
      </c>
      <c r="P12" s="4" t="n">
        <v>1404.13</v>
      </c>
      <c r="Q12" s="4" t="n">
        <v>1704.64</v>
      </c>
      <c r="R12" s="4" t="n">
        <v>51721.59</v>
      </c>
      <c r="S12" s="4" t="n">
        <v>47226.65</v>
      </c>
      <c r="T12" s="6" t="n">
        <f aca="false">IFERROR(R12/S12-1,"")</f>
        <v>0.095178040364921</v>
      </c>
      <c r="U12" s="7" t="n">
        <v>9785</v>
      </c>
      <c r="V12" s="8" t="n">
        <v>0.1582</v>
      </c>
      <c r="W12" s="4" t="n">
        <f aca="false">R12*K12</f>
        <v>8183.48706850516</v>
      </c>
      <c r="X12" s="4" t="n">
        <f aca="false">R12*V12</f>
        <v>8182.355538</v>
      </c>
      <c r="Y12" s="4" t="n">
        <f aca="false">X12-W12</f>
        <v>-1.13153050516212</v>
      </c>
      <c r="Z12" s="3"/>
      <c r="AA12" s="3" t="s">
        <v>31</v>
      </c>
    </row>
    <row r="13" customFormat="false" ht="15" hidden="false" customHeight="false" outlineLevel="0" collapsed="false">
      <c r="A13" s="3" t="s">
        <v>53</v>
      </c>
      <c r="B13" s="3" t="s">
        <v>54</v>
      </c>
      <c r="C13" s="3" t="s">
        <v>29</v>
      </c>
      <c r="D13" s="3" t="s">
        <v>30</v>
      </c>
      <c r="E13" s="4" t="n">
        <v>606981.62</v>
      </c>
      <c r="F13" s="5" t="n">
        <f aca="false">IFERROR(E13/规则参数!$B$8,0)</f>
        <v>0.0185761091647491</v>
      </c>
      <c r="G13" s="4" t="n">
        <v>71748.5</v>
      </c>
      <c r="H13" s="5" t="n">
        <f aca="false">IFERROR(G13/规则参数!$B$9,0)</f>
        <v>0.0159472593481749</v>
      </c>
      <c r="I13" s="4" t="n">
        <v>81071.07</v>
      </c>
      <c r="J13" s="5" t="n">
        <f aca="false">IFERROR(I13/规则参数!$B$10,0)</f>
        <v>0.0167442089692824</v>
      </c>
      <c r="K13" s="6" t="n">
        <f aca="false">IFERROR(I13/E13,0)</f>
        <v>0.133564291452516</v>
      </c>
      <c r="L13" s="6" t="n">
        <f aca="false">IFERROR(G13/E13,0)</f>
        <v>0.118205391458147</v>
      </c>
      <c r="M13" s="6" t="n">
        <f aca="false">K13+L13</f>
        <v>0.251769682910662</v>
      </c>
      <c r="N13" s="4" t="n">
        <v>65735.95</v>
      </c>
      <c r="O13" s="4" t="n">
        <v>3477.27</v>
      </c>
      <c r="P13" s="4" t="n">
        <v>11352.89</v>
      </c>
      <c r="Q13" s="4" t="n">
        <v>504.96</v>
      </c>
      <c r="R13" s="4" t="n">
        <v>53085.98</v>
      </c>
      <c r="S13" s="4" t="n">
        <v>32427.04</v>
      </c>
      <c r="T13" s="6" t="n">
        <f aca="false">IFERROR(R13/S13-1,"")</f>
        <v>0.637089910149061</v>
      </c>
      <c r="U13" s="7" t="n">
        <v>1543</v>
      </c>
      <c r="V13" s="8" t="n">
        <v>0.1336</v>
      </c>
      <c r="W13" s="4" t="n">
        <f aca="false">R13*K13</f>
        <v>7090.39130476241</v>
      </c>
      <c r="X13" s="4" t="n">
        <f aca="false">R13*V13</f>
        <v>7092.286928</v>
      </c>
      <c r="Y13" s="4" t="n">
        <f aca="false">X13-W13</f>
        <v>1.89562323759128</v>
      </c>
      <c r="Z13" s="3"/>
      <c r="AA13" s="3" t="s">
        <v>31</v>
      </c>
    </row>
    <row r="14" customFormat="false" ht="15" hidden="false" customHeight="false" outlineLevel="0" collapsed="false">
      <c r="A14" s="3" t="s">
        <v>44</v>
      </c>
      <c r="B14" s="3" t="s">
        <v>55</v>
      </c>
      <c r="C14" s="3" t="s">
        <v>34</v>
      </c>
      <c r="D14" s="3" t="s">
        <v>56</v>
      </c>
      <c r="E14" s="4" t="n">
        <v>763675.52</v>
      </c>
      <c r="F14" s="5" t="n">
        <f aca="false">IFERROR(E14/规则参数!$B$8,0)</f>
        <v>0.0233715805529112</v>
      </c>
      <c r="G14" s="4" t="n">
        <v>201578.02</v>
      </c>
      <c r="H14" s="5" t="n">
        <f aca="false">IFERROR(G14/规则参数!$B$9,0)</f>
        <v>0.0448039605543195</v>
      </c>
      <c r="I14" s="4" t="n">
        <v>80015.46</v>
      </c>
      <c r="J14" s="5" t="n">
        <f aca="false">IFERROR(I14/规则参数!$B$10,0)</f>
        <v>0.0165261860120171</v>
      </c>
      <c r="K14" s="6" t="n">
        <f aca="false">IFERROR(I14/E14,0)</f>
        <v>0.104776777446002</v>
      </c>
      <c r="L14" s="6" t="n">
        <f aca="false">IFERROR(G14/E14,0)</f>
        <v>0.263957681922291</v>
      </c>
      <c r="M14" s="6" t="n">
        <f aca="false">K14+L14</f>
        <v>0.368734459368293</v>
      </c>
      <c r="N14" s="4" t="n">
        <v>59968.42</v>
      </c>
      <c r="O14" s="4" t="n">
        <v>17493.75</v>
      </c>
      <c r="P14" s="4" t="n">
        <v>1322.59</v>
      </c>
      <c r="Q14" s="4" t="n">
        <v>1230.7</v>
      </c>
      <c r="R14" s="4" t="n">
        <v>32841.45</v>
      </c>
      <c r="S14" s="4" t="n">
        <v>31176.88</v>
      </c>
      <c r="T14" s="6" t="n">
        <f aca="false">IFERROR(R14/S14-1,"")</f>
        <v>0.0533911667876963</v>
      </c>
      <c r="U14" s="7" t="n">
        <v>9283</v>
      </c>
      <c r="V14" s="8" t="n">
        <v>0.1362</v>
      </c>
      <c r="W14" s="4" t="n">
        <f aca="false">R14*K14</f>
        <v>3441.02129765401</v>
      </c>
      <c r="X14" s="4" t="n">
        <f aca="false">R14*V14</f>
        <v>4473.00549</v>
      </c>
      <c r="Y14" s="4" t="n">
        <f aca="false">X14-W14</f>
        <v>1031.98419234599</v>
      </c>
      <c r="Z14" s="3" t="s">
        <v>57</v>
      </c>
      <c r="AA14" s="3" t="s">
        <v>58</v>
      </c>
    </row>
    <row r="15" customFormat="false" ht="15" hidden="false" customHeight="false" outlineLevel="0" collapsed="false">
      <c r="A15" s="3" t="s">
        <v>59</v>
      </c>
      <c r="B15" s="3" t="s">
        <v>60</v>
      </c>
      <c r="C15" s="3" t="s">
        <v>34</v>
      </c>
      <c r="D15" s="3" t="s">
        <v>30</v>
      </c>
      <c r="E15" s="4" t="n">
        <v>507494.1</v>
      </c>
      <c r="F15" s="5" t="n">
        <f aca="false">IFERROR(E15/规则参数!$B$8,0)</f>
        <v>0.015531385945535</v>
      </c>
      <c r="G15" s="4" t="n">
        <v>38877.74</v>
      </c>
      <c r="H15" s="5" t="n">
        <f aca="false">IFERROR(G15/规则参数!$B$9,0)</f>
        <v>0.00864120368580408</v>
      </c>
      <c r="I15" s="4" t="n">
        <v>78750.47</v>
      </c>
      <c r="J15" s="5" t="n">
        <f aca="false">IFERROR(I15/规则参数!$B$10,0)</f>
        <v>0.0162649182514701</v>
      </c>
      <c r="K15" s="6" t="n">
        <f aca="false">IFERROR(I15/E15,0)</f>
        <v>0.155175143908077</v>
      </c>
      <c r="L15" s="6" t="n">
        <f aca="false">IFERROR(G15/E15,0)</f>
        <v>0.0766072748431952</v>
      </c>
      <c r="M15" s="6" t="n">
        <f aca="false">K15+L15</f>
        <v>0.231782418751272</v>
      </c>
      <c r="N15" s="4" t="n">
        <v>78617.05</v>
      </c>
      <c r="O15" s="4" t="n">
        <v>-171.38</v>
      </c>
      <c r="P15" s="4" t="n">
        <v>302.37</v>
      </c>
      <c r="Q15" s="4" t="n">
        <v>2.43</v>
      </c>
      <c r="R15" s="4" t="n">
        <v>45064.46</v>
      </c>
      <c r="S15" s="4" t="n">
        <v>44682.53</v>
      </c>
      <c r="T15" s="6" t="n">
        <f aca="false">IFERROR(R15/S15-1,"")</f>
        <v>0.00854763595526031</v>
      </c>
      <c r="U15" s="7" t="n">
        <v>6975</v>
      </c>
      <c r="V15" s="8" t="n">
        <v>0.1318</v>
      </c>
      <c r="W15" s="4" t="n">
        <f aca="false">R15*K15</f>
        <v>6992.88406563978</v>
      </c>
      <c r="X15" s="4" t="n">
        <f aca="false">R15*V15</f>
        <v>5939.495828</v>
      </c>
      <c r="Y15" s="4" t="n">
        <f aca="false">X15-W15</f>
        <v>-1053.38823763978</v>
      </c>
      <c r="Z15" s="3"/>
      <c r="AA15" s="3" t="s">
        <v>31</v>
      </c>
    </row>
    <row r="16" customFormat="false" ht="15" hidden="false" customHeight="false" outlineLevel="0" collapsed="false">
      <c r="A16" s="3" t="s">
        <v>37</v>
      </c>
      <c r="B16" s="3" t="s">
        <v>61</v>
      </c>
      <c r="C16" s="3" t="s">
        <v>34</v>
      </c>
      <c r="D16" s="3" t="s">
        <v>30</v>
      </c>
      <c r="E16" s="4" t="n">
        <v>578968.87</v>
      </c>
      <c r="F16" s="5" t="n">
        <f aca="false">IFERROR(E16/规则参数!$B$8,0)</f>
        <v>0.0177188049485113</v>
      </c>
      <c r="G16" s="4" t="n">
        <v>111875.31</v>
      </c>
      <c r="H16" s="5" t="n">
        <f aca="false">IFERROR(G16/规则参数!$B$9,0)</f>
        <v>0.0248660889527651</v>
      </c>
      <c r="I16" s="4" t="n">
        <v>77924.03</v>
      </c>
      <c r="J16" s="5" t="n">
        <f aca="false">IFERROR(I16/规则参数!$B$10,0)</f>
        <v>0.0160942274728659</v>
      </c>
      <c r="K16" s="6" t="n">
        <f aca="false">IFERROR(I16/E16,0)</f>
        <v>0.13459105322882</v>
      </c>
      <c r="L16" s="6" t="n">
        <f aca="false">IFERROR(G16/E16,0)</f>
        <v>0.19323199535754</v>
      </c>
      <c r="M16" s="6" t="n">
        <f aca="false">K16+L16</f>
        <v>0.32782304858636</v>
      </c>
      <c r="N16" s="4" t="n">
        <v>65339.67</v>
      </c>
      <c r="O16" s="4" t="n">
        <v>3005.09</v>
      </c>
      <c r="P16" s="4" t="n">
        <v>5711.58</v>
      </c>
      <c r="Q16" s="4" t="n">
        <v>3867.69</v>
      </c>
      <c r="R16" s="4" t="n">
        <v>66609.85</v>
      </c>
      <c r="S16" s="4" t="n">
        <v>62333.53</v>
      </c>
      <c r="T16" s="6" t="n">
        <f aca="false">IFERROR(R16/S16-1,"")</f>
        <v>0.0686038477204807</v>
      </c>
      <c r="U16" s="7" t="n">
        <v>4424</v>
      </c>
      <c r="V16" s="8" t="n">
        <v>0.1346</v>
      </c>
      <c r="W16" s="4" t="n">
        <f aca="false">R16*K16</f>
        <v>8965.08986691374</v>
      </c>
      <c r="X16" s="4" t="n">
        <f aca="false">R16*V16</f>
        <v>8965.68581</v>
      </c>
      <c r="Y16" s="4" t="n">
        <f aca="false">X16-W16</f>
        <v>0.595943086258558</v>
      </c>
      <c r="Z16" s="3"/>
      <c r="AA16" s="3" t="s">
        <v>31</v>
      </c>
    </row>
    <row r="17" customFormat="false" ht="15" hidden="false" customHeight="false" outlineLevel="0" collapsed="false">
      <c r="A17" s="3" t="s">
        <v>32</v>
      </c>
      <c r="B17" s="3" t="s">
        <v>62</v>
      </c>
      <c r="C17" s="3" t="s">
        <v>34</v>
      </c>
      <c r="D17" s="3" t="s">
        <v>30</v>
      </c>
      <c r="E17" s="4" t="n">
        <v>548585.89</v>
      </c>
      <c r="F17" s="5" t="n">
        <f aca="false">IFERROR(E17/规则参数!$B$8,0)</f>
        <v>0.0167889620428392</v>
      </c>
      <c r="G17" s="4" t="n">
        <v>89283.64</v>
      </c>
      <c r="H17" s="5" t="n">
        <f aca="false">IFERROR(G17/规则参数!$B$9,0)</f>
        <v>0.0198447265466049</v>
      </c>
      <c r="I17" s="4" t="n">
        <v>77263.64</v>
      </c>
      <c r="J17" s="5" t="n">
        <f aca="false">IFERROR(I17/规则参数!$B$10,0)</f>
        <v>0.0159578322314903</v>
      </c>
      <c r="K17" s="6" t="n">
        <f aca="false">IFERROR(I17/E17,0)</f>
        <v>0.140841464223588</v>
      </c>
      <c r="L17" s="6" t="n">
        <f aca="false">IFERROR(G17/E17,0)</f>
        <v>0.16275234494274</v>
      </c>
      <c r="M17" s="6" t="n">
        <f aca="false">K17+L17</f>
        <v>0.303593809166328</v>
      </c>
      <c r="N17" s="4" t="n">
        <v>67658.81</v>
      </c>
      <c r="O17" s="4" t="n">
        <v>6096.79</v>
      </c>
      <c r="P17" s="4" t="n">
        <v>2107.87</v>
      </c>
      <c r="Q17" s="4" t="n">
        <v>1400.17</v>
      </c>
      <c r="R17" s="4" t="n">
        <v>76791.18</v>
      </c>
      <c r="S17" s="4" t="n">
        <v>48707.94</v>
      </c>
      <c r="T17" s="6" t="n">
        <f aca="false">IFERROR(R17/S17-1,"")</f>
        <v>0.576563903133657</v>
      </c>
      <c r="U17" s="7" t="n">
        <v>6169</v>
      </c>
      <c r="V17" s="8" t="n">
        <v>0.1408</v>
      </c>
      <c r="W17" s="4" t="n">
        <f aca="false">R17*K17</f>
        <v>10815.3822306571</v>
      </c>
      <c r="X17" s="4" t="n">
        <f aca="false">R17*V17</f>
        <v>10812.198144</v>
      </c>
      <c r="Y17" s="4" t="n">
        <f aca="false">X17-W17</f>
        <v>-3.18408665708012</v>
      </c>
      <c r="Z17" s="3"/>
      <c r="AA17" s="3" t="s">
        <v>31</v>
      </c>
    </row>
    <row r="18" customFormat="false" ht="15" hidden="false" customHeight="false" outlineLevel="0" collapsed="false">
      <c r="A18" s="3" t="s">
        <v>39</v>
      </c>
      <c r="B18" s="3" t="s">
        <v>63</v>
      </c>
      <c r="C18" s="3" t="s">
        <v>34</v>
      </c>
      <c r="D18" s="3" t="s">
        <v>30</v>
      </c>
      <c r="E18" s="4" t="n">
        <v>482241.19</v>
      </c>
      <c r="F18" s="5" t="n">
        <f aca="false">IFERROR(E18/规则参数!$B$8,0)</f>
        <v>0.0147585440712002</v>
      </c>
      <c r="G18" s="4" t="n">
        <v>72155.78</v>
      </c>
      <c r="H18" s="5" t="n">
        <f aca="false">IFERROR(G18/规则参数!$B$9,0)</f>
        <v>0.0160377838857935</v>
      </c>
      <c r="I18" s="4" t="n">
        <v>71200.38</v>
      </c>
      <c r="J18" s="5" t="n">
        <f aca="false">IFERROR(I18/规则参数!$B$10,0)</f>
        <v>0.0147055422040478</v>
      </c>
      <c r="K18" s="6" t="n">
        <f aca="false">IFERROR(I18/E18,0)</f>
        <v>0.147644750130116</v>
      </c>
      <c r="L18" s="6" t="n">
        <f aca="false">IFERROR(G18/E18,0)</f>
        <v>0.149625916442351</v>
      </c>
      <c r="M18" s="6" t="n">
        <f aca="false">K18+L18</f>
        <v>0.297270666572468</v>
      </c>
      <c r="N18" s="4" t="n">
        <v>60381.21</v>
      </c>
      <c r="O18" s="4" t="n">
        <v>3624.64</v>
      </c>
      <c r="P18" s="4" t="n">
        <v>6637.99</v>
      </c>
      <c r="Q18" s="4" t="n">
        <v>556.54</v>
      </c>
      <c r="R18" s="4" t="n">
        <v>51367.23</v>
      </c>
      <c r="S18" s="4" t="n">
        <v>28856.42</v>
      </c>
      <c r="T18" s="6" t="n">
        <f aca="false">IFERROR(R18/S18-1,"")</f>
        <v>0.780097115303978</v>
      </c>
      <c r="U18" s="7" t="n">
        <v>2534</v>
      </c>
      <c r="V18" s="8" t="n">
        <v>0.1476</v>
      </c>
      <c r="W18" s="4" t="n">
        <f aca="false">R18*K18</f>
        <v>7584.10183822622</v>
      </c>
      <c r="X18" s="4" t="n">
        <f aca="false">R18*V18</f>
        <v>7581.803148</v>
      </c>
      <c r="Y18" s="4" t="n">
        <f aca="false">X18-W18</f>
        <v>-2.29869022622097</v>
      </c>
      <c r="Z18" s="3"/>
      <c r="AA18" s="3" t="s">
        <v>31</v>
      </c>
    </row>
    <row r="19" customFormat="false" ht="15" hidden="false" customHeight="false" outlineLevel="0" collapsed="false">
      <c r="A19" s="3" t="s">
        <v>64</v>
      </c>
      <c r="B19" s="3" t="s">
        <v>65</v>
      </c>
      <c r="C19" s="3" t="s">
        <v>34</v>
      </c>
      <c r="D19" s="3" t="s">
        <v>30</v>
      </c>
      <c r="E19" s="4" t="n">
        <v>489511.78</v>
      </c>
      <c r="F19" s="5" t="n">
        <f aca="false">IFERROR(E19/规则参数!$B$8,0)</f>
        <v>0.0149810537306066</v>
      </c>
      <c r="G19" s="4" t="n">
        <v>78854.32</v>
      </c>
      <c r="H19" s="5" t="n">
        <f aca="false">IFERROR(G19/规则参数!$B$9,0)</f>
        <v>0.0175266422540398</v>
      </c>
      <c r="I19" s="4" t="n">
        <v>64664.87</v>
      </c>
      <c r="J19" s="5" t="n">
        <f aca="false">IFERROR(I19/规则参数!$B$10,0)</f>
        <v>0.013355714883885</v>
      </c>
      <c r="K19" s="6" t="n">
        <f aca="false">IFERROR(I19/E19,0)</f>
        <v>0.132100743316126</v>
      </c>
      <c r="L19" s="6" t="n">
        <f aca="false">IFERROR(G19/E19,0)</f>
        <v>0.161087686183977</v>
      </c>
      <c r="M19" s="6" t="n">
        <f aca="false">K19+L19</f>
        <v>0.293188429500103</v>
      </c>
      <c r="N19" s="4" t="n">
        <v>63368.51</v>
      </c>
      <c r="O19" s="4" t="n">
        <v>195.31</v>
      </c>
      <c r="P19" s="4" t="n">
        <v>952.95</v>
      </c>
      <c r="Q19" s="4" t="n">
        <v>148.1</v>
      </c>
      <c r="R19" s="4" t="n">
        <v>18791.39</v>
      </c>
      <c r="S19" s="4" t="n">
        <v>23866.4</v>
      </c>
      <c r="T19" s="6" t="n">
        <f aca="false">IFERROR(R19/S19-1,"")</f>
        <v>-0.212642459692287</v>
      </c>
      <c r="U19" s="7" t="n">
        <v>1675</v>
      </c>
      <c r="V19" s="8" t="n">
        <v>0.1321</v>
      </c>
      <c r="W19" s="4" t="n">
        <f aca="false">R19*K19</f>
        <v>2482.35658694322</v>
      </c>
      <c r="X19" s="4" t="n">
        <f aca="false">R19*V19</f>
        <v>2482.342619</v>
      </c>
      <c r="Y19" s="4" t="n">
        <f aca="false">X19-W19</f>
        <v>-0.013967943219086</v>
      </c>
      <c r="Z19" s="3"/>
      <c r="AA19" s="3" t="s">
        <v>31</v>
      </c>
    </row>
    <row r="20" customFormat="false" ht="15" hidden="false" customHeight="false" outlineLevel="0" collapsed="false">
      <c r="A20" s="3" t="s">
        <v>53</v>
      </c>
      <c r="B20" s="3" t="s">
        <v>66</v>
      </c>
      <c r="C20" s="3" t="s">
        <v>29</v>
      </c>
      <c r="D20" s="3" t="s">
        <v>30</v>
      </c>
      <c r="E20" s="4" t="n">
        <v>472895.11</v>
      </c>
      <c r="F20" s="5" t="n">
        <f aca="false">IFERROR(E20/规则参数!$B$8,0)</f>
        <v>0.0144725159665231</v>
      </c>
      <c r="G20" s="4" t="n">
        <v>65366.99</v>
      </c>
      <c r="H20" s="5" t="n">
        <f aca="false">IFERROR(G20/规则参数!$B$9,0)</f>
        <v>0.0145288660019311</v>
      </c>
      <c r="I20" s="4" t="n">
        <v>64382.1</v>
      </c>
      <c r="J20" s="5" t="n">
        <f aca="false">IFERROR(I20/规则参数!$B$10,0)</f>
        <v>0.0132973122999516</v>
      </c>
      <c r="K20" s="6" t="n">
        <f aca="false">IFERROR(I20/E20,0)</f>
        <v>0.136144567026713</v>
      </c>
      <c r="L20" s="6" t="n">
        <f aca="false">IFERROR(G20/E20,0)</f>
        <v>0.138227248744441</v>
      </c>
      <c r="M20" s="6" t="n">
        <f aca="false">K20+L20</f>
        <v>0.274371815771155</v>
      </c>
      <c r="N20" s="4" t="n">
        <v>59889.73</v>
      </c>
      <c r="O20" s="4" t="n">
        <v>3765.34</v>
      </c>
      <c r="P20" s="4" t="n">
        <v>704.9</v>
      </c>
      <c r="Q20" s="4" t="n">
        <v>22.13</v>
      </c>
      <c r="R20" s="4" t="n">
        <v>33634.63</v>
      </c>
      <c r="S20" s="4" t="n">
        <v>37885.15</v>
      </c>
      <c r="T20" s="6" t="n">
        <f aca="false">IFERROR(R20/S20-1,"")</f>
        <v>-0.112194883747326</v>
      </c>
      <c r="U20" s="7" t="n">
        <v>2029</v>
      </c>
      <c r="V20" s="8" t="n">
        <v>0.1361</v>
      </c>
      <c r="W20" s="4" t="n">
        <f aca="false">R20*K20</f>
        <v>4579.1721384537</v>
      </c>
      <c r="X20" s="4" t="n">
        <f aca="false">R20*V20</f>
        <v>4577.673143</v>
      </c>
      <c r="Y20" s="4" t="n">
        <f aca="false">X20-W20</f>
        <v>-1.49899545370408</v>
      </c>
      <c r="Z20" s="3"/>
      <c r="AA20" s="3" t="s">
        <v>31</v>
      </c>
    </row>
    <row r="21" customFormat="false" ht="15" hidden="false" customHeight="false" outlineLevel="0" collapsed="false">
      <c r="A21" s="3" t="s">
        <v>67</v>
      </c>
      <c r="B21" s="3" t="s">
        <v>68</v>
      </c>
      <c r="C21" s="3" t="s">
        <v>29</v>
      </c>
      <c r="D21" s="3" t="s">
        <v>46</v>
      </c>
      <c r="E21" s="4" t="n">
        <v>250330.47</v>
      </c>
      <c r="F21" s="5" t="n">
        <f aca="false">IFERROR(E21/规则参数!$B$8,0)</f>
        <v>0.00766113171265869</v>
      </c>
      <c r="G21" s="4" t="n">
        <v>16450.35</v>
      </c>
      <c r="H21" s="5" t="n">
        <f aca="false">IFERROR(G21/规则参数!$B$9,0)</f>
        <v>0.00365635515471751</v>
      </c>
      <c r="I21" s="4" t="n">
        <v>63163.35</v>
      </c>
      <c r="J21" s="5" t="n">
        <f aca="false">IFERROR(I21/规则参数!$B$10,0)</f>
        <v>0.013045594829326</v>
      </c>
      <c r="K21" s="6" t="n">
        <f aca="false">IFERROR(I21/E21,0)</f>
        <v>0.252319863418944</v>
      </c>
      <c r="L21" s="6" t="n">
        <f aca="false">IFERROR(G21/E21,0)</f>
        <v>0.0657145332727574</v>
      </c>
      <c r="M21" s="6" t="n">
        <f aca="false">K21+L21</f>
        <v>0.318034396691701</v>
      </c>
      <c r="N21" s="4" t="n">
        <v>54757.38</v>
      </c>
      <c r="O21" s="4" t="n">
        <v>1694.65</v>
      </c>
      <c r="P21" s="4" t="n">
        <v>4745.96</v>
      </c>
      <c r="Q21" s="4" t="n">
        <v>1965.36</v>
      </c>
      <c r="R21" s="4" t="n">
        <v>960.1</v>
      </c>
      <c r="S21" s="4" t="n">
        <v>14046.22</v>
      </c>
      <c r="T21" s="6" t="n">
        <f aca="false">IFERROR(R21/S21-1,"")</f>
        <v>-0.93164709081874</v>
      </c>
      <c r="U21" s="7" t="n">
        <v>11</v>
      </c>
      <c r="V21" s="8" t="n">
        <v>0.15</v>
      </c>
      <c r="W21" s="4" t="n">
        <f aca="false">R21*K21</f>
        <v>242.252300868528</v>
      </c>
      <c r="X21" s="4" t="n">
        <f aca="false">R21*V21</f>
        <v>144.015</v>
      </c>
      <c r="Y21" s="4" t="n">
        <f aca="false">X21-W21</f>
        <v>-98.2373008685279</v>
      </c>
      <c r="Z21" s="3" t="s">
        <v>69</v>
      </c>
      <c r="AA21" s="3" t="s">
        <v>70</v>
      </c>
    </row>
    <row r="22" customFormat="false" ht="15" hidden="false" customHeight="false" outlineLevel="0" collapsed="false">
      <c r="A22" s="3" t="s">
        <v>35</v>
      </c>
      <c r="B22" s="3" t="s">
        <v>71</v>
      </c>
      <c r="C22" s="3" t="s">
        <v>34</v>
      </c>
      <c r="D22" s="3" t="s">
        <v>56</v>
      </c>
      <c r="E22" s="4" t="n">
        <v>532873.06</v>
      </c>
      <c r="F22" s="5" t="n">
        <f aca="false">IFERROR(E22/规则参数!$B$8,0)</f>
        <v>0.0163080854631379</v>
      </c>
      <c r="G22" s="4" t="n">
        <v>124867.05</v>
      </c>
      <c r="H22" s="5" t="n">
        <f aca="false">IFERROR(G22/规则参数!$B$9,0)</f>
        <v>0.0277537123478752</v>
      </c>
      <c r="I22" s="4" t="n">
        <v>55922.91</v>
      </c>
      <c r="J22" s="5" t="n">
        <f aca="false">IFERROR(I22/规则参数!$B$10,0)</f>
        <v>0.0115501730914662</v>
      </c>
      <c r="K22" s="6" t="n">
        <f aca="false">IFERROR(I22/E22,0)</f>
        <v>0.104946025982248</v>
      </c>
      <c r="L22" s="6" t="n">
        <f aca="false">IFERROR(G22/E22,0)</f>
        <v>0.234327946697099</v>
      </c>
      <c r="M22" s="6" t="n">
        <f aca="false">K22+L22</f>
        <v>0.339273972679347</v>
      </c>
      <c r="N22" s="4" t="n">
        <v>53628.46</v>
      </c>
      <c r="O22" s="4" t="n">
        <v>371.77</v>
      </c>
      <c r="P22" s="4" t="n">
        <v>-0.57</v>
      </c>
      <c r="Q22" s="4" t="n">
        <v>1923.25</v>
      </c>
      <c r="R22" s="4" t="n">
        <v>58386.69</v>
      </c>
      <c r="S22" s="4" t="n">
        <v>47492.73</v>
      </c>
      <c r="T22" s="6" t="n">
        <f aca="false">IFERROR(R22/S22-1,"")</f>
        <v>0.229381633778475</v>
      </c>
      <c r="U22" s="7" t="n">
        <v>1072</v>
      </c>
      <c r="V22" s="8" t="n">
        <v>0.1364</v>
      </c>
      <c r="W22" s="4" t="n">
        <f aca="false">R22*K22</f>
        <v>6127.45108575746</v>
      </c>
      <c r="X22" s="4" t="n">
        <f aca="false">R22*V22</f>
        <v>7963.944516</v>
      </c>
      <c r="Y22" s="4" t="n">
        <f aca="false">X22-W22</f>
        <v>1836.49343024254</v>
      </c>
      <c r="Z22" s="3" t="s">
        <v>57</v>
      </c>
      <c r="AA22" s="3" t="s">
        <v>72</v>
      </c>
    </row>
    <row r="23" customFormat="false" ht="15" hidden="false" customHeight="false" outlineLevel="0" collapsed="false">
      <c r="A23" s="3" t="s">
        <v>73</v>
      </c>
      <c r="B23" s="3" t="s">
        <v>74</v>
      </c>
      <c r="C23" s="3" t="s">
        <v>34</v>
      </c>
      <c r="D23" s="3" t="s">
        <v>30</v>
      </c>
      <c r="E23" s="4" t="n">
        <v>274351.02</v>
      </c>
      <c r="F23" s="5" t="n">
        <f aca="false">IFERROR(E23/规则参数!$B$8,0)</f>
        <v>0.00839625835289751</v>
      </c>
      <c r="G23" s="4" t="n">
        <v>37480.64</v>
      </c>
      <c r="H23" s="5" t="n">
        <f aca="false">IFERROR(G23/规则参数!$B$9,0)</f>
        <v>0.00833067571608576</v>
      </c>
      <c r="I23" s="4" t="n">
        <v>53808</v>
      </c>
      <c r="J23" s="5" t="n">
        <f aca="false">IFERROR(I23/规则参数!$B$10,0)</f>
        <v>0.011113365053886</v>
      </c>
      <c r="K23" s="6" t="n">
        <f aca="false">IFERROR(I23/E23,0)</f>
        <v>0.196128303076839</v>
      </c>
      <c r="L23" s="6" t="n">
        <f aca="false">IFERROR(G23/E23,0)</f>
        <v>0.136615639336788</v>
      </c>
      <c r="M23" s="6" t="n">
        <f aca="false">K23+L23</f>
        <v>0.332743942413628</v>
      </c>
      <c r="N23" s="4" t="n">
        <v>45781</v>
      </c>
      <c r="O23" s="4" t="n">
        <v>2207.73</v>
      </c>
      <c r="P23" s="4" t="n">
        <v>4418.98</v>
      </c>
      <c r="Q23" s="4" t="n">
        <v>1400.29</v>
      </c>
      <c r="R23" s="4" t="n">
        <v>27038.79</v>
      </c>
      <c r="S23" s="4" t="n">
        <v>15939.5</v>
      </c>
      <c r="T23" s="6" t="n">
        <f aca="false">IFERROR(R23/S23-1,"")</f>
        <v>0.696338655541265</v>
      </c>
      <c r="U23" s="7" t="n">
        <v>2457</v>
      </c>
      <c r="V23" s="8" t="n">
        <v>0.18</v>
      </c>
      <c r="W23" s="4" t="n">
        <f aca="false">R23*K23</f>
        <v>5303.07199995101</v>
      </c>
      <c r="X23" s="4" t="n">
        <f aca="false">R23*V23</f>
        <v>4866.9822</v>
      </c>
      <c r="Y23" s="4" t="n">
        <f aca="false">X23-W23</f>
        <v>-436.089799951012</v>
      </c>
      <c r="Z23" s="3"/>
      <c r="AA23" s="3" t="s">
        <v>31</v>
      </c>
    </row>
    <row r="24" customFormat="false" ht="15" hidden="false" customHeight="false" outlineLevel="0" collapsed="false">
      <c r="A24" s="3" t="s">
        <v>75</v>
      </c>
      <c r="B24" s="3" t="s">
        <v>76</v>
      </c>
      <c r="C24" s="3" t="s">
        <v>29</v>
      </c>
      <c r="D24" s="3" t="s">
        <v>56</v>
      </c>
      <c r="E24" s="4" t="n">
        <v>449731.87</v>
      </c>
      <c r="F24" s="5" t="n">
        <f aca="false">IFERROR(E24/规则参数!$B$8,0)</f>
        <v>0.0137636265031991</v>
      </c>
      <c r="G24" s="4" t="n">
        <v>69979.54</v>
      </c>
      <c r="H24" s="5" t="n">
        <f aca="false">IFERROR(G24/规则参数!$B$9,0)</f>
        <v>0.0155540795061357</v>
      </c>
      <c r="I24" s="4" t="n">
        <v>50385.73</v>
      </c>
      <c r="J24" s="5" t="n">
        <f aca="false">IFERROR(I24/规则参数!$B$10,0)</f>
        <v>0.010406538265621</v>
      </c>
      <c r="K24" s="6" t="n">
        <f aca="false">IFERROR(I24/E24,0)</f>
        <v>0.112035044347647</v>
      </c>
      <c r="L24" s="6" t="n">
        <f aca="false">IFERROR(G24/E24,0)</f>
        <v>0.155602803955166</v>
      </c>
      <c r="M24" s="6" t="n">
        <f aca="false">K24+L24</f>
        <v>0.267637848302812</v>
      </c>
      <c r="N24" s="4" t="n">
        <v>48072.72</v>
      </c>
      <c r="O24" s="4" t="n">
        <v>-11.55</v>
      </c>
      <c r="P24" s="4" t="n">
        <v>919.62</v>
      </c>
      <c r="Q24" s="4" t="n">
        <v>1404.94</v>
      </c>
      <c r="R24" s="4" t="n">
        <v>38992.07</v>
      </c>
      <c r="S24" s="4" t="n">
        <v>39009.02</v>
      </c>
      <c r="T24" s="6" t="n">
        <f aca="false">IFERROR(R24/S24-1,"")</f>
        <v>-0.000434514889120496</v>
      </c>
      <c r="U24" s="7" t="n">
        <v>2715</v>
      </c>
      <c r="V24" s="8" t="n">
        <v>0.1456</v>
      </c>
      <c r="W24" s="4" t="n">
        <f aca="false">R24*K24</f>
        <v>4368.47829165654</v>
      </c>
      <c r="X24" s="4" t="n">
        <f aca="false">R24*V24</f>
        <v>5677.245392</v>
      </c>
      <c r="Y24" s="4" t="n">
        <f aca="false">X24-W24</f>
        <v>1308.76710034346</v>
      </c>
      <c r="Z24" s="3" t="s">
        <v>57</v>
      </c>
      <c r="AA24" s="3" t="s">
        <v>77</v>
      </c>
    </row>
    <row r="25" customFormat="false" ht="15" hidden="false" customHeight="false" outlineLevel="0" collapsed="false">
      <c r="A25" s="3" t="s">
        <v>78</v>
      </c>
      <c r="B25" s="3" t="s">
        <v>79</v>
      </c>
      <c r="C25" s="3" t="s">
        <v>29</v>
      </c>
      <c r="D25" s="3" t="s">
        <v>30</v>
      </c>
      <c r="E25" s="4" t="n">
        <v>283652.57</v>
      </c>
      <c r="F25" s="5" t="n">
        <f aca="false">IFERROR(E25/规则参数!$B$8,0)</f>
        <v>0.00868092365825119</v>
      </c>
      <c r="G25" s="4" t="n">
        <v>39696.23</v>
      </c>
      <c r="H25" s="5" t="n">
        <f aca="false">IFERROR(G25/规则参数!$B$9,0)</f>
        <v>0.00882312626681815</v>
      </c>
      <c r="I25" s="4" t="n">
        <v>46772.97</v>
      </c>
      <c r="J25" s="5" t="n">
        <f aca="false">IFERROR(I25/规则参数!$B$10,0)</f>
        <v>0.00966036816578315</v>
      </c>
      <c r="K25" s="6" t="n">
        <f aca="false">IFERROR(I25/E25,0)</f>
        <v>0.164895280166155</v>
      </c>
      <c r="L25" s="6" t="n">
        <f aca="false">IFERROR(G25/E25,0)</f>
        <v>0.139946660804096</v>
      </c>
      <c r="M25" s="6" t="n">
        <f aca="false">K25+L25</f>
        <v>0.304841940970251</v>
      </c>
      <c r="N25" s="4" t="n">
        <v>44440.76</v>
      </c>
      <c r="O25" s="4" t="n">
        <v>412.59</v>
      </c>
      <c r="P25" s="4" t="n">
        <v>1905.14</v>
      </c>
      <c r="Q25" s="4" t="n">
        <v>14.48</v>
      </c>
      <c r="R25" s="4" t="n">
        <v>32921.92</v>
      </c>
      <c r="S25" s="4" t="n">
        <v>25838.31</v>
      </c>
      <c r="T25" s="6" t="n">
        <f aca="false">IFERROR(R25/S25-1,"")</f>
        <v>0.274151444115347</v>
      </c>
      <c r="U25" s="7" t="n">
        <v>740</v>
      </c>
      <c r="V25" s="8" t="n">
        <v>0.15</v>
      </c>
      <c r="W25" s="4" t="n">
        <f aca="false">R25*K25</f>
        <v>5428.66922200775</v>
      </c>
      <c r="X25" s="4" t="n">
        <f aca="false">R25*V25</f>
        <v>4938.288</v>
      </c>
      <c r="Y25" s="4" t="n">
        <f aca="false">X25-W25</f>
        <v>-490.381222007754</v>
      </c>
      <c r="Z25" s="3"/>
      <c r="AA25" s="3" t="s">
        <v>31</v>
      </c>
    </row>
    <row r="26" customFormat="false" ht="15" hidden="false" customHeight="false" outlineLevel="0" collapsed="false">
      <c r="A26" s="3" t="s">
        <v>80</v>
      </c>
      <c r="B26" s="3" t="s">
        <v>81</v>
      </c>
      <c r="C26" s="3" t="s">
        <v>34</v>
      </c>
      <c r="D26" s="3" t="s">
        <v>46</v>
      </c>
      <c r="E26" s="4" t="n">
        <v>148892.48</v>
      </c>
      <c r="F26" s="5" t="n">
        <f aca="false">IFERROR(E26/规则参数!$B$8,0)</f>
        <v>0.0045567161692478</v>
      </c>
      <c r="G26" s="4" t="n">
        <v>18287.22</v>
      </c>
      <c r="H26" s="5" t="n">
        <f aca="false">IFERROR(G26/规则参数!$B$9,0)</f>
        <v>0.00406462908767614</v>
      </c>
      <c r="I26" s="4" t="n">
        <v>44966.8</v>
      </c>
      <c r="J26" s="5" t="n">
        <f aca="false">IFERROR(I26/规则参数!$B$10,0)</f>
        <v>0.00928732648872068</v>
      </c>
      <c r="K26" s="6" t="n">
        <f aca="false">IFERROR(I26/E26,0)</f>
        <v>0.302008536629923</v>
      </c>
      <c r="L26" s="6" t="n">
        <f aca="false">IFERROR(G26/E26,0)</f>
        <v>0.122821649555438</v>
      </c>
      <c r="M26" s="6" t="n">
        <f aca="false">K26+L26</f>
        <v>0.42483018618536</v>
      </c>
      <c r="N26" s="4" t="n">
        <v>44741.93</v>
      </c>
      <c r="O26" s="4" t="n">
        <v>-75.96</v>
      </c>
      <c r="P26" s="4" t="n">
        <v>-7.28</v>
      </c>
      <c r="Q26" s="4" t="n">
        <v>308.11</v>
      </c>
      <c r="R26" s="4" t="n">
        <v>15241.75</v>
      </c>
      <c r="S26" s="4" t="n">
        <v>13136.66</v>
      </c>
      <c r="T26" s="6" t="n">
        <f aca="false">IFERROR(R26/S26-1,"")</f>
        <v>0.160245450517864</v>
      </c>
      <c r="U26" s="7" t="n">
        <v>793</v>
      </c>
      <c r="V26" s="8" t="n">
        <v>0.18</v>
      </c>
      <c r="W26" s="4" t="n">
        <f aca="false">R26*K26</f>
        <v>4603.13861317912</v>
      </c>
      <c r="X26" s="4" t="n">
        <f aca="false">R26*V26</f>
        <v>2743.515</v>
      </c>
      <c r="Y26" s="4" t="n">
        <f aca="false">X26-W26</f>
        <v>-1859.62361317912</v>
      </c>
      <c r="Z26" s="3" t="s">
        <v>69</v>
      </c>
      <c r="AA26" s="3" t="s">
        <v>82</v>
      </c>
    </row>
    <row r="27" customFormat="false" ht="15" hidden="false" customHeight="false" outlineLevel="0" collapsed="false">
      <c r="A27" s="3" t="s">
        <v>83</v>
      </c>
      <c r="B27" s="3" t="s">
        <v>84</v>
      </c>
      <c r="C27" s="3" t="s">
        <v>29</v>
      </c>
      <c r="D27" s="3" t="s">
        <v>85</v>
      </c>
      <c r="E27" s="4" t="n">
        <v>344145.18</v>
      </c>
      <c r="F27" s="5" t="n">
        <f aca="false">IFERROR(E27/规则参数!$B$8,0)</f>
        <v>0.0105322438465307</v>
      </c>
      <c r="G27" s="4" t="n">
        <v>-36953.05</v>
      </c>
      <c r="H27" s="5" t="n">
        <f aca="false">IFERROR(G27/规则参数!$B$9,0)</f>
        <v>-0.00821341034385493</v>
      </c>
      <c r="I27" s="4" t="n">
        <v>44617.11</v>
      </c>
      <c r="J27" s="5" t="n">
        <f aca="false">IFERROR(I27/规则参数!$B$10,0)</f>
        <v>0.00921510242118996</v>
      </c>
      <c r="K27" s="6" t="n">
        <f aca="false">IFERROR(I27/E27,0)</f>
        <v>0.129646185949779</v>
      </c>
      <c r="L27" s="6" t="n">
        <f aca="false">IFERROR(G27/E27,0)</f>
        <v>-0.107376340415403</v>
      </c>
      <c r="M27" s="6" t="n">
        <f aca="false">K27+L27</f>
        <v>0.0222698455343759</v>
      </c>
      <c r="N27" s="4" t="n">
        <v>40189.33</v>
      </c>
      <c r="O27" s="4" t="n">
        <v>2956.73</v>
      </c>
      <c r="P27" s="4" t="n">
        <v>1031.15</v>
      </c>
      <c r="Q27" s="4" t="n">
        <v>439.9</v>
      </c>
      <c r="R27" s="4" t="n">
        <v>15546.79</v>
      </c>
      <c r="S27" s="4" t="n">
        <v>37843.79</v>
      </c>
      <c r="T27" s="6" t="n">
        <f aca="false">IFERROR(R27/S27-1,"")</f>
        <v>-0.589185174106505</v>
      </c>
      <c r="U27" s="7" t="n">
        <v>1362</v>
      </c>
      <c r="V27" s="8" t="n">
        <v>0</v>
      </c>
      <c r="W27" s="4" t="n">
        <f aca="false">R27*K27</f>
        <v>2015.58202726216</v>
      </c>
      <c r="X27" s="4" t="n">
        <f aca="false">R27*V27</f>
        <v>0</v>
      </c>
      <c r="Y27" s="4" t="n">
        <f aca="false">X27-W27</f>
        <v>-2015.58202726216</v>
      </c>
      <c r="Z27" s="3" t="s">
        <v>86</v>
      </c>
      <c r="AA27" s="3" t="s">
        <v>87</v>
      </c>
    </row>
    <row r="28" customFormat="false" ht="15" hidden="false" customHeight="false" outlineLevel="0" collapsed="false">
      <c r="A28" s="3" t="s">
        <v>88</v>
      </c>
      <c r="B28" s="3" t="s">
        <v>89</v>
      </c>
      <c r="C28" s="3" t="s">
        <v>34</v>
      </c>
      <c r="D28" s="3" t="s">
        <v>46</v>
      </c>
      <c r="E28" s="4" t="n">
        <v>267894.4</v>
      </c>
      <c r="F28" s="5" t="n">
        <f aca="false">IFERROR(E28/规则参数!$B$8,0)</f>
        <v>0.00819865948992815</v>
      </c>
      <c r="G28" s="4" t="n">
        <v>50441.16</v>
      </c>
      <c r="H28" s="5" t="n">
        <f aca="false">IFERROR(G28/规则参数!$B$9,0)</f>
        <v>0.0112113599635224</v>
      </c>
      <c r="I28" s="4" t="n">
        <v>44150.66</v>
      </c>
      <c r="J28" s="5" t="n">
        <f aca="false">IFERROR(I28/规则参数!$B$10,0)</f>
        <v>0.009118763045458</v>
      </c>
      <c r="K28" s="6" t="n">
        <f aca="false">IFERROR(I28/E28,0)</f>
        <v>0.16480620722195</v>
      </c>
      <c r="L28" s="6" t="n">
        <f aca="false">IFERROR(G28/E28,0)</f>
        <v>0.188287474467551</v>
      </c>
      <c r="M28" s="6" t="n">
        <f aca="false">K28+L28</f>
        <v>0.353093681689502</v>
      </c>
      <c r="N28" s="4" t="n">
        <v>43214.98</v>
      </c>
      <c r="O28" s="4" t="n">
        <v>627.48</v>
      </c>
      <c r="P28" s="4" t="n">
        <v>308.2</v>
      </c>
      <c r="Q28" s="4" t="n">
        <v>0</v>
      </c>
      <c r="R28" s="4" t="n">
        <v>8225.49</v>
      </c>
      <c r="S28" s="4" t="n">
        <v>17942.28</v>
      </c>
      <c r="T28" s="6" t="n">
        <f aca="false">IFERROR(R28/S28-1,"")</f>
        <v>-0.541558263498285</v>
      </c>
      <c r="U28" s="7" t="n">
        <v>385</v>
      </c>
      <c r="V28" s="8" t="n">
        <v>0.1648</v>
      </c>
      <c r="W28" s="4" t="n">
        <f aca="false">R28*K28</f>
        <v>1355.61180944208</v>
      </c>
      <c r="X28" s="4" t="n">
        <f aca="false">R28*V28</f>
        <v>1355.560752</v>
      </c>
      <c r="Y28" s="4" t="n">
        <f aca="false">X28-W28</f>
        <v>-0.0510574420784451</v>
      </c>
      <c r="Z28" s="3" t="s">
        <v>47</v>
      </c>
      <c r="AA28" s="3" t="s">
        <v>90</v>
      </c>
    </row>
    <row r="29" customFormat="false" ht="15" hidden="false" customHeight="false" outlineLevel="0" collapsed="false">
      <c r="A29" s="3" t="s">
        <v>73</v>
      </c>
      <c r="B29" s="3" t="s">
        <v>91</v>
      </c>
      <c r="C29" s="3" t="s">
        <v>34</v>
      </c>
      <c r="D29" s="3" t="s">
        <v>30</v>
      </c>
      <c r="E29" s="4" t="n">
        <v>301359.11</v>
      </c>
      <c r="F29" s="5" t="n">
        <f aca="false">IFERROR(E29/规则参数!$B$8,0)</f>
        <v>0.00922281588222001</v>
      </c>
      <c r="G29" s="4" t="n">
        <v>59375.34</v>
      </c>
      <c r="H29" s="5" t="n">
        <f aca="false">IFERROR(G29/规则参数!$B$9,0)</f>
        <v>0.0131971253178264</v>
      </c>
      <c r="I29" s="4" t="n">
        <v>42076.55</v>
      </c>
      <c r="J29" s="5" t="n">
        <f aca="false">IFERROR(I29/规则参数!$B$10,0)</f>
        <v>0.00869038173427907</v>
      </c>
      <c r="K29" s="6" t="n">
        <f aca="false">IFERROR(I29/E29,0)</f>
        <v>0.139622624980542</v>
      </c>
      <c r="L29" s="6" t="n">
        <f aca="false">IFERROR(G29/E29,0)</f>
        <v>0.197025203585184</v>
      </c>
      <c r="M29" s="6" t="n">
        <f aca="false">K29+L29</f>
        <v>0.336647828565727</v>
      </c>
      <c r="N29" s="4" t="n">
        <v>35737.81</v>
      </c>
      <c r="O29" s="4" t="n">
        <v>1343.09</v>
      </c>
      <c r="P29" s="4" t="n">
        <v>3751.72</v>
      </c>
      <c r="Q29" s="4" t="n">
        <v>1243.93</v>
      </c>
      <c r="R29" s="4" t="n">
        <v>30127.89</v>
      </c>
      <c r="S29" s="4" t="n">
        <v>24648.5</v>
      </c>
      <c r="T29" s="6" t="n">
        <f aca="false">IFERROR(R29/S29-1,"")</f>
        <v>0.222301154228452</v>
      </c>
      <c r="U29" s="7" t="n">
        <v>2838</v>
      </c>
      <c r="V29" s="8" t="n">
        <v>0.1396</v>
      </c>
      <c r="W29" s="4" t="n">
        <f aca="false">R29*K29</f>
        <v>4206.53508692503</v>
      </c>
      <c r="X29" s="4" t="n">
        <f aca="false">R29*V29</f>
        <v>4205.853444</v>
      </c>
      <c r="Y29" s="4" t="n">
        <f aca="false">X29-W29</f>
        <v>-0.681642925031156</v>
      </c>
      <c r="Z29" s="3"/>
      <c r="AA29" s="3" t="s">
        <v>31</v>
      </c>
    </row>
    <row r="30" customFormat="false" ht="15" hidden="false" customHeight="false" outlineLevel="0" collapsed="false">
      <c r="A30" s="3" t="s">
        <v>92</v>
      </c>
      <c r="B30" s="3" t="s">
        <v>93</v>
      </c>
      <c r="C30" s="3" t="s">
        <v>34</v>
      </c>
      <c r="D30" s="3" t="s">
        <v>46</v>
      </c>
      <c r="E30" s="4" t="n">
        <v>332642.57</v>
      </c>
      <c r="F30" s="5" t="n">
        <f aca="false">IFERROR(E30/规则参数!$B$8,0)</f>
        <v>0.0101802171425927</v>
      </c>
      <c r="G30" s="4" t="n">
        <v>37891.96</v>
      </c>
      <c r="H30" s="5" t="n">
        <f aca="false">IFERROR(G30/规则参数!$B$9,0)</f>
        <v>0.00842209820875238</v>
      </c>
      <c r="I30" s="4" t="n">
        <v>39351.48</v>
      </c>
      <c r="J30" s="5" t="n">
        <f aca="false">IFERROR(I30/规则参数!$B$10,0)</f>
        <v>0.00812755282951783</v>
      </c>
      <c r="K30" s="6" t="n">
        <f aca="false">IFERROR(I30/E30,0)</f>
        <v>0.118299591059557</v>
      </c>
      <c r="L30" s="6" t="n">
        <f aca="false">IFERROR(G30/E30,0)</f>
        <v>0.113911938571182</v>
      </c>
      <c r="M30" s="6" t="n">
        <f aca="false">K30+L30</f>
        <v>0.232211529630739</v>
      </c>
      <c r="N30" s="4" t="n">
        <v>33661.69</v>
      </c>
      <c r="O30" s="4" t="n">
        <v>3754.3</v>
      </c>
      <c r="P30" s="4" t="n">
        <v>1824.18</v>
      </c>
      <c r="Q30" s="4" t="n">
        <v>111.31</v>
      </c>
      <c r="R30" s="4" t="n">
        <v>7102.88</v>
      </c>
      <c r="S30" s="4" t="n">
        <v>11112.35</v>
      </c>
      <c r="T30" s="6" t="n">
        <f aca="false">IFERROR(R30/S30-1,"")</f>
        <v>-0.360812069454256</v>
      </c>
      <c r="U30" s="7" t="n">
        <v>162</v>
      </c>
      <c r="V30" s="8" t="n">
        <v>0.1183</v>
      </c>
      <c r="W30" s="4" t="n">
        <f aca="false">R30*K30</f>
        <v>840.267799345105</v>
      </c>
      <c r="X30" s="4" t="n">
        <f aca="false">R30*V30</f>
        <v>840.270704</v>
      </c>
      <c r="Y30" s="4" t="n">
        <f aca="false">X30-W30</f>
        <v>0.00290465489513281</v>
      </c>
      <c r="Z30" s="3" t="s">
        <v>47</v>
      </c>
      <c r="AA30" s="3" t="s">
        <v>94</v>
      </c>
    </row>
    <row r="31" customFormat="false" ht="15" hidden="false" customHeight="false" outlineLevel="0" collapsed="false">
      <c r="A31" s="3" t="s">
        <v>44</v>
      </c>
      <c r="B31" s="3" t="s">
        <v>95</v>
      </c>
      <c r="C31" s="3" t="s">
        <v>96</v>
      </c>
      <c r="D31" s="3" t="s">
        <v>46</v>
      </c>
      <c r="E31" s="4" t="n">
        <v>260873.73</v>
      </c>
      <c r="F31" s="5" t="n">
        <f aca="false">IFERROR(E31/规则参数!$B$8,0)</f>
        <v>0.00798379840018102</v>
      </c>
      <c r="G31" s="4" t="n">
        <v>43558.11</v>
      </c>
      <c r="H31" s="5" t="n">
        <f aca="false">IFERROR(G31/规则参数!$B$9,0)</f>
        <v>0.00968149127697905</v>
      </c>
      <c r="I31" s="4" t="n">
        <v>38275.94</v>
      </c>
      <c r="J31" s="5" t="n">
        <f aca="false">IFERROR(I31/规则参数!$B$10,0)</f>
        <v>0.00790541358163542</v>
      </c>
      <c r="K31" s="6" t="n">
        <f aca="false">IFERROR(I31/E31,0)</f>
        <v>0.146722094248432</v>
      </c>
      <c r="L31" s="6" t="n">
        <f aca="false">IFERROR(G31/E31,0)</f>
        <v>0.166970089322524</v>
      </c>
      <c r="M31" s="6" t="n">
        <f aca="false">K31+L31</f>
        <v>0.313692183570956</v>
      </c>
      <c r="N31" s="4" t="n">
        <v>27631.07</v>
      </c>
      <c r="O31" s="4" t="n">
        <v>6257.2</v>
      </c>
      <c r="P31" s="4" t="n">
        <v>2356.49</v>
      </c>
      <c r="Q31" s="4" t="n">
        <v>2031.18</v>
      </c>
      <c r="R31" s="4" t="n">
        <v>49285.26</v>
      </c>
      <c r="S31" s="4" t="n">
        <v>78687.53</v>
      </c>
      <c r="T31" s="6" t="n">
        <f aca="false">IFERROR(R31/S31-1,"")</f>
        <v>-0.373658570805311</v>
      </c>
      <c r="U31" s="7" t="n">
        <v>1926</v>
      </c>
      <c r="V31" s="8" t="n">
        <v>0.1467</v>
      </c>
      <c r="W31" s="4" t="n">
        <f aca="false">R31*K31</f>
        <v>7231.23656277848</v>
      </c>
      <c r="X31" s="4" t="n">
        <f aca="false">R31*V31</f>
        <v>7230.147642</v>
      </c>
      <c r="Y31" s="4" t="n">
        <f aca="false">X31-W31</f>
        <v>-1.08892077847577</v>
      </c>
      <c r="Z31" s="3" t="s">
        <v>47</v>
      </c>
      <c r="AA31" s="3" t="s">
        <v>97</v>
      </c>
    </row>
    <row r="32" customFormat="false" ht="15" hidden="false" customHeight="false" outlineLevel="0" collapsed="false">
      <c r="A32" s="3" t="s">
        <v>98</v>
      </c>
      <c r="B32" s="3" t="s">
        <v>99</v>
      </c>
      <c r="C32" s="3" t="s">
        <v>34</v>
      </c>
      <c r="D32" s="3" t="s">
        <v>30</v>
      </c>
      <c r="E32" s="4" t="n">
        <v>243673.24</v>
      </c>
      <c r="F32" s="5" t="n">
        <f aca="false">IFERROR(E32/规则参数!$B$8,0)</f>
        <v>0.00745739336681744</v>
      </c>
      <c r="G32" s="4" t="n">
        <v>22373.83</v>
      </c>
      <c r="H32" s="5" t="n">
        <f aca="false">IFERROR(G32/规则参数!$B$9,0)</f>
        <v>0.00497294395871658</v>
      </c>
      <c r="I32" s="4" t="n">
        <v>36000.66</v>
      </c>
      <c r="J32" s="5" t="n">
        <f aca="false">IFERROR(I32/规则参数!$B$10,0)</f>
        <v>0.00743548313932562</v>
      </c>
      <c r="K32" s="6" t="n">
        <f aca="false">IFERROR(I32/E32,0)</f>
        <v>0.147741541090027</v>
      </c>
      <c r="L32" s="6" t="n">
        <f aca="false">IFERROR(G32/E32,0)</f>
        <v>0.0918189867709725</v>
      </c>
      <c r="M32" s="6" t="n">
        <f aca="false">K32+L32</f>
        <v>0.239560527860999</v>
      </c>
      <c r="N32" s="4" t="n">
        <v>35815.09</v>
      </c>
      <c r="O32" s="4" t="n">
        <v>17.89</v>
      </c>
      <c r="P32" s="4" t="n">
        <v>0.73</v>
      </c>
      <c r="Q32" s="4" t="n">
        <v>166.95</v>
      </c>
      <c r="R32" s="4" t="n">
        <v>43261</v>
      </c>
      <c r="S32" s="4" t="n">
        <v>40914.61</v>
      </c>
      <c r="T32" s="6" t="n">
        <f aca="false">IFERROR(R32/S32-1,"")</f>
        <v>0.0573484630551286</v>
      </c>
      <c r="U32" s="7" t="n">
        <v>3329</v>
      </c>
      <c r="V32" s="8" t="n">
        <v>0.1396</v>
      </c>
      <c r="W32" s="4" t="n">
        <f aca="false">R32*K32</f>
        <v>6391.44680909566</v>
      </c>
      <c r="X32" s="4" t="n">
        <f aca="false">R32*V32</f>
        <v>6039.2356</v>
      </c>
      <c r="Y32" s="4" t="n">
        <f aca="false">X32-W32</f>
        <v>-352.211209095656</v>
      </c>
      <c r="Z32" s="3"/>
      <c r="AA32" s="3" t="s">
        <v>31</v>
      </c>
    </row>
    <row r="33" customFormat="false" ht="15" hidden="false" customHeight="false" outlineLevel="0" collapsed="false">
      <c r="A33" s="3" t="s">
        <v>100</v>
      </c>
      <c r="B33" s="3" t="s">
        <v>101</v>
      </c>
      <c r="C33" s="3" t="s">
        <v>34</v>
      </c>
      <c r="D33" s="3" t="s">
        <v>30</v>
      </c>
      <c r="E33" s="4" t="n">
        <v>297895.57</v>
      </c>
      <c r="F33" s="5" t="n">
        <f aca="false">IFERROR(E33/规则参数!$B$8,0)</f>
        <v>0.00911681745489288</v>
      </c>
      <c r="G33" s="4" t="n">
        <v>53505.46</v>
      </c>
      <c r="H33" s="5" t="n">
        <f aca="false">IFERROR(G33/规则参数!$B$9,0)</f>
        <v>0.0118924499768413</v>
      </c>
      <c r="I33" s="4" t="n">
        <v>35945</v>
      </c>
      <c r="J33" s="5" t="n">
        <f aca="false">IFERROR(I33/规则参数!$B$10,0)</f>
        <v>0.00742398726698509</v>
      </c>
      <c r="K33" s="6" t="n">
        <f aca="false">IFERROR(I33/E33,0)</f>
        <v>0.120663090088919</v>
      </c>
      <c r="L33" s="6" t="n">
        <f aca="false">IFERROR(G33/E33,0)</f>
        <v>0.179611465856978</v>
      </c>
      <c r="M33" s="6" t="n">
        <f aca="false">K33+L33</f>
        <v>0.300274555945897</v>
      </c>
      <c r="N33" s="4" t="n">
        <v>35945</v>
      </c>
      <c r="O33" s="4" t="n">
        <v>0</v>
      </c>
      <c r="P33" s="4" t="n">
        <v>0</v>
      </c>
      <c r="Q33" s="4" t="n">
        <v>0</v>
      </c>
      <c r="R33" s="4" t="n">
        <v>51265.33</v>
      </c>
      <c r="S33" s="4" t="n">
        <v>22961.83</v>
      </c>
      <c r="T33" s="6" t="n">
        <f aca="false">IFERROR(R33/S33-1,"")</f>
        <v>1.23263259069508</v>
      </c>
      <c r="U33" s="7" t="n">
        <v>4813</v>
      </c>
      <c r="V33" s="8" t="n">
        <v>0.1207</v>
      </c>
      <c r="W33" s="4" t="n">
        <f aca="false">R33*K33</f>
        <v>6185.83313222818</v>
      </c>
      <c r="X33" s="4" t="n">
        <f aca="false">R33*V33</f>
        <v>6187.725331</v>
      </c>
      <c r="Y33" s="4" t="n">
        <f aca="false">X33-W33</f>
        <v>1.89219877181768</v>
      </c>
      <c r="Z33" s="3"/>
      <c r="AA33" s="3" t="s">
        <v>31</v>
      </c>
    </row>
    <row r="34" customFormat="false" ht="15" hidden="false" customHeight="false" outlineLevel="0" collapsed="false">
      <c r="A34" s="3" t="s">
        <v>32</v>
      </c>
      <c r="B34" s="3" t="s">
        <v>102</v>
      </c>
      <c r="C34" s="3" t="s">
        <v>96</v>
      </c>
      <c r="D34" s="3" t="s">
        <v>46</v>
      </c>
      <c r="E34" s="4" t="n">
        <v>168703.85</v>
      </c>
      <c r="F34" s="5" t="n">
        <f aca="false">IFERROR(E34/规则参数!$B$8,0)</f>
        <v>0.00516302476195812</v>
      </c>
      <c r="G34" s="4" t="n">
        <v>4916.72</v>
      </c>
      <c r="H34" s="5" t="n">
        <f aca="false">IFERROR(G34/规则参数!$B$9,0)</f>
        <v>0.00109282018414822</v>
      </c>
      <c r="I34" s="4" t="n">
        <v>35581.83</v>
      </c>
      <c r="J34" s="5" t="n">
        <f aca="false">IFERROR(I34/规则参数!$B$10,0)</f>
        <v>0.00734897907514336</v>
      </c>
      <c r="K34" s="6" t="n">
        <f aca="false">IFERROR(I34/E34,0)</f>
        <v>0.210912969680301</v>
      </c>
      <c r="L34" s="6" t="n">
        <f aca="false">IFERROR(G34/E34,0)</f>
        <v>0.0291440888871238</v>
      </c>
      <c r="M34" s="6" t="n">
        <f aca="false">K34+L34</f>
        <v>0.240057058567425</v>
      </c>
      <c r="N34" s="4" t="n">
        <v>35234.85</v>
      </c>
      <c r="O34" s="4" t="n">
        <v>270.28</v>
      </c>
      <c r="P34" s="4" t="n">
        <v>76.7</v>
      </c>
      <c r="Q34" s="4" t="n">
        <v>0</v>
      </c>
      <c r="R34" s="4" t="n">
        <v>42183.49</v>
      </c>
      <c r="S34" s="4" t="n">
        <v>26869.06</v>
      </c>
      <c r="T34" s="6" t="n">
        <f aca="false">IFERROR(R34/S34-1,"")</f>
        <v>0.569965231385095</v>
      </c>
      <c r="U34" s="7" t="n">
        <v>5636</v>
      </c>
      <c r="V34" s="8" t="n">
        <v>0.2109</v>
      </c>
      <c r="W34" s="4" t="n">
        <f aca="false">R34*K34</f>
        <v>8897.04514737927</v>
      </c>
      <c r="X34" s="4" t="n">
        <f aca="false">R34*V34</f>
        <v>8896.498041</v>
      </c>
      <c r="Y34" s="4" t="n">
        <f aca="false">X34-W34</f>
        <v>-0.547106379268371</v>
      </c>
      <c r="Z34" s="3" t="s">
        <v>103</v>
      </c>
      <c r="AA34" s="3" t="s">
        <v>104</v>
      </c>
    </row>
    <row r="35" customFormat="false" ht="15" hidden="false" customHeight="false" outlineLevel="0" collapsed="false">
      <c r="A35" s="3" t="s">
        <v>105</v>
      </c>
      <c r="B35" s="3" t="s">
        <v>106</v>
      </c>
      <c r="C35" s="3" t="s">
        <v>34</v>
      </c>
      <c r="D35" s="3" t="s">
        <v>30</v>
      </c>
      <c r="E35" s="4" t="n">
        <v>271360.02</v>
      </c>
      <c r="F35" s="5" t="n">
        <f aca="false">IFERROR(E35/规则参数!$B$8,0)</f>
        <v>0.00830472157372491</v>
      </c>
      <c r="G35" s="4" t="n">
        <v>40097.51</v>
      </c>
      <c r="H35" s="5" t="n">
        <f aca="false">IFERROR(G35/规则参数!$B$9,0)</f>
        <v>0.00891231720783065</v>
      </c>
      <c r="I35" s="4" t="n">
        <v>35422.04</v>
      </c>
      <c r="J35" s="5" t="n">
        <f aca="false">IFERROR(I35/规则参数!$B$10,0)</f>
        <v>0.00731597646211257</v>
      </c>
      <c r="K35" s="6" t="n">
        <f aca="false">IFERROR(I35/E35,0)</f>
        <v>0.130535220332015</v>
      </c>
      <c r="L35" s="6" t="n">
        <f aca="false">IFERROR(G35/E35,0)</f>
        <v>0.147764987635246</v>
      </c>
      <c r="M35" s="6" t="n">
        <f aca="false">K35+L35</f>
        <v>0.278300207967261</v>
      </c>
      <c r="N35" s="4" t="n">
        <v>28331.72</v>
      </c>
      <c r="O35" s="4" t="n">
        <v>1692.01</v>
      </c>
      <c r="P35" s="4" t="n">
        <v>4537.09</v>
      </c>
      <c r="Q35" s="4" t="n">
        <v>861.22</v>
      </c>
      <c r="R35" s="4" t="n">
        <v>31161.98</v>
      </c>
      <c r="S35" s="4" t="n">
        <v>20224.36</v>
      </c>
      <c r="T35" s="6" t="n">
        <f aca="false">IFERROR(R35/S35-1,"")</f>
        <v>0.540814146900075</v>
      </c>
      <c r="U35" s="7" t="n">
        <v>1286</v>
      </c>
      <c r="V35" s="8" t="n">
        <v>0.1305</v>
      </c>
      <c r="W35" s="4" t="n">
        <f aca="false">R35*K35</f>
        <v>4067.73592528185</v>
      </c>
      <c r="X35" s="4" t="n">
        <f aca="false">R35*V35</f>
        <v>4066.63839</v>
      </c>
      <c r="Y35" s="4" t="n">
        <f aca="false">X35-W35</f>
        <v>-1.09753528184501</v>
      </c>
      <c r="Z35" s="3"/>
      <c r="AA35" s="3" t="s">
        <v>31</v>
      </c>
    </row>
    <row r="36" customFormat="false" ht="15" hidden="false" customHeight="false" outlineLevel="0" collapsed="false">
      <c r="A36" s="3" t="s">
        <v>27</v>
      </c>
      <c r="B36" s="3" t="s">
        <v>107</v>
      </c>
      <c r="C36" s="3" t="s">
        <v>34</v>
      </c>
      <c r="D36" s="3" t="s">
        <v>56</v>
      </c>
      <c r="E36" s="4" t="n">
        <v>393243.09</v>
      </c>
      <c r="F36" s="5" t="n">
        <f aca="false">IFERROR(E36/规则参数!$B$8,0)</f>
        <v>0.0120348398162752</v>
      </c>
      <c r="G36" s="4" t="n">
        <v>69042.97</v>
      </c>
      <c r="H36" s="5" t="n">
        <f aca="false">IFERROR(G36/规则参数!$B$9,0)</f>
        <v>0.0153459117439147</v>
      </c>
      <c r="I36" s="4" t="n">
        <v>35350.94</v>
      </c>
      <c r="J36" s="5" t="n">
        <f aca="false">IFERROR(I36/规则参数!$B$10,0)</f>
        <v>0.00730129165213392</v>
      </c>
      <c r="K36" s="6" t="n">
        <f aca="false">IFERROR(I36/E36,0)</f>
        <v>0.0898958961999816</v>
      </c>
      <c r="L36" s="6" t="n">
        <f aca="false">IFERROR(G36/E36,0)</f>
        <v>0.17557325673542</v>
      </c>
      <c r="M36" s="6" t="n">
        <f aca="false">K36+L36</f>
        <v>0.265469152935402</v>
      </c>
      <c r="N36" s="4" t="n">
        <v>31798.61</v>
      </c>
      <c r="O36" s="4" t="n">
        <v>1748.2</v>
      </c>
      <c r="P36" s="4" t="n">
        <v>194.48</v>
      </c>
      <c r="Q36" s="4" t="n">
        <v>1609.65</v>
      </c>
      <c r="R36" s="4" t="n">
        <v>33005.06</v>
      </c>
      <c r="S36" s="4" t="n">
        <v>26294.33</v>
      </c>
      <c r="T36" s="6" t="n">
        <f aca="false">IFERROR(R36/S36-1,"")</f>
        <v>0.255215858323829</v>
      </c>
      <c r="U36" s="7" t="n">
        <v>955</v>
      </c>
      <c r="V36" s="8" t="n">
        <v>0.1169</v>
      </c>
      <c r="W36" s="4" t="n">
        <f aca="false">R36*K36</f>
        <v>2967.01944783416</v>
      </c>
      <c r="X36" s="4" t="n">
        <f aca="false">R36*V36</f>
        <v>3858.291514</v>
      </c>
      <c r="Y36" s="4" t="n">
        <f aca="false">X36-W36</f>
        <v>891.272066165837</v>
      </c>
      <c r="Z36" s="3" t="s">
        <v>57</v>
      </c>
      <c r="AA36" s="3" t="s">
        <v>108</v>
      </c>
    </row>
    <row r="37" customFormat="false" ht="15" hidden="false" customHeight="false" outlineLevel="0" collapsed="false">
      <c r="A37" s="3" t="s">
        <v>53</v>
      </c>
      <c r="B37" s="3" t="s">
        <v>109</v>
      </c>
      <c r="C37" s="3" t="s">
        <v>29</v>
      </c>
      <c r="D37" s="3" t="s">
        <v>46</v>
      </c>
      <c r="E37" s="4" t="n">
        <v>181025.33</v>
      </c>
      <c r="F37" s="5" t="n">
        <f aca="false">IFERROR(E37/规则参数!$B$8,0)</f>
        <v>0.00554011222228563</v>
      </c>
      <c r="G37" s="4" t="n">
        <v>28205.98</v>
      </c>
      <c r="H37" s="5" t="n">
        <f aca="false">IFERROR(G37/规则参数!$B$9,0)</f>
        <v>0.00626923319971058</v>
      </c>
      <c r="I37" s="4" t="n">
        <v>34046.42</v>
      </c>
      <c r="J37" s="5" t="n">
        <f aca="false">IFERROR(I37/规则参数!$B$10,0)</f>
        <v>0.0070318594676986</v>
      </c>
      <c r="K37" s="6" t="n">
        <f aca="false">IFERROR(I37/E37,0)</f>
        <v>0.18807544778402</v>
      </c>
      <c r="L37" s="6" t="n">
        <f aca="false">IFERROR(G37/E37,0)</f>
        <v>0.155812338527432</v>
      </c>
      <c r="M37" s="6" t="n">
        <f aca="false">K37+L37</f>
        <v>0.343887786311452</v>
      </c>
      <c r="N37" s="4" t="n">
        <v>32417.86</v>
      </c>
      <c r="O37" s="4" t="n">
        <v>1155.84</v>
      </c>
      <c r="P37" s="4" t="n">
        <v>472.72</v>
      </c>
      <c r="Q37" s="4" t="n">
        <v>0</v>
      </c>
      <c r="R37" s="4" t="n">
        <v>8492.32</v>
      </c>
      <c r="S37" s="4" t="n">
        <v>22702.27</v>
      </c>
      <c r="T37" s="6" t="n">
        <f aca="false">IFERROR(R37/S37-1,"")</f>
        <v>-0.625926394144727</v>
      </c>
      <c r="U37" s="7" t="n">
        <v>578</v>
      </c>
      <c r="V37" s="8" t="n">
        <v>0.15</v>
      </c>
      <c r="W37" s="4" t="n">
        <f aca="false">R37*K37</f>
        <v>1597.19688672519</v>
      </c>
      <c r="X37" s="4" t="n">
        <f aca="false">R37*V37</f>
        <v>1273.848</v>
      </c>
      <c r="Y37" s="4" t="n">
        <f aca="false">X37-W37</f>
        <v>-323.348886725189</v>
      </c>
      <c r="Z37" s="3" t="s">
        <v>47</v>
      </c>
      <c r="AA37" s="3" t="s">
        <v>110</v>
      </c>
    </row>
    <row r="38" customFormat="false" ht="15" hidden="false" customHeight="false" outlineLevel="0" collapsed="false">
      <c r="A38" s="3" t="s">
        <v>35</v>
      </c>
      <c r="B38" s="3" t="s">
        <v>111</v>
      </c>
      <c r="C38" s="3" t="s">
        <v>34</v>
      </c>
      <c r="D38" s="3" t="s">
        <v>46</v>
      </c>
      <c r="E38" s="4" t="n">
        <v>145227.14</v>
      </c>
      <c r="F38" s="5" t="n">
        <f aca="false">IFERROR(E38/规则参数!$B$8,0)</f>
        <v>0.00444454184020317</v>
      </c>
      <c r="G38" s="4" t="n">
        <v>33323.94</v>
      </c>
      <c r="H38" s="5" t="n">
        <f aca="false">IFERROR(G38/规则参数!$B$9,0)</f>
        <v>0.00740678221402566</v>
      </c>
      <c r="I38" s="4" t="n">
        <v>32184.92</v>
      </c>
      <c r="J38" s="5" t="n">
        <f aca="false">IFERROR(I38/规则参数!$B$10,0)</f>
        <v>0.0066473900756415</v>
      </c>
      <c r="K38" s="6" t="n">
        <f aca="false">IFERROR(I38/E38,0)</f>
        <v>0.221617805046632</v>
      </c>
      <c r="L38" s="6" t="n">
        <f aca="false">IFERROR(G38/E38,0)</f>
        <v>0.22946082942899</v>
      </c>
      <c r="M38" s="6" t="n">
        <f aca="false">K38+L38</f>
        <v>0.451078634475622</v>
      </c>
      <c r="N38" s="4" t="n">
        <v>32214.39</v>
      </c>
      <c r="O38" s="4" t="n">
        <v>-76.64</v>
      </c>
      <c r="P38" s="4" t="n">
        <v>47.17</v>
      </c>
      <c r="Q38" s="4" t="n">
        <v>0</v>
      </c>
      <c r="R38" s="4" t="n">
        <v>13161.18</v>
      </c>
      <c r="S38" s="4" t="n">
        <v>13161.5</v>
      </c>
      <c r="T38" s="6" t="n">
        <f aca="false">IFERROR(R38/S38-1,"")</f>
        <v>-2.43133381453431E-005</v>
      </c>
      <c r="U38" s="7" t="n">
        <v>697</v>
      </c>
      <c r="V38" s="8" t="n">
        <v>0.18</v>
      </c>
      <c r="W38" s="4" t="n">
        <f aca="false">R38*K38</f>
        <v>2916.75182342364</v>
      </c>
      <c r="X38" s="4" t="n">
        <f aca="false">R38*V38</f>
        <v>2369.0124</v>
      </c>
      <c r="Y38" s="4" t="n">
        <f aca="false">X38-W38</f>
        <v>-547.739423423638</v>
      </c>
      <c r="Z38" s="3" t="s">
        <v>69</v>
      </c>
      <c r="AA38" s="3" t="s">
        <v>112</v>
      </c>
    </row>
    <row r="39" customFormat="false" ht="15" hidden="false" customHeight="false" outlineLevel="0" collapsed="false">
      <c r="A39" s="3" t="s">
        <v>27</v>
      </c>
      <c r="B39" s="3" t="s">
        <v>113</v>
      </c>
      <c r="C39" s="3" t="s">
        <v>29</v>
      </c>
      <c r="D39" s="3" t="s">
        <v>85</v>
      </c>
      <c r="E39" s="4" t="n">
        <v>115886.94</v>
      </c>
      <c r="F39" s="5" t="n">
        <f aca="false">IFERROR(E39/规则参数!$B$8,0)</f>
        <v>0.00354661224866863</v>
      </c>
      <c r="G39" s="4" t="n">
        <v>-13300.19</v>
      </c>
      <c r="H39" s="5" t="n">
        <f aca="false">IFERROR(G39/规则参数!$B$9,0)</f>
        <v>-0.00295618137396604</v>
      </c>
      <c r="I39" s="4" t="n">
        <v>30462.31</v>
      </c>
      <c r="J39" s="5" t="n">
        <f aca="false">IFERROR(I39/规则参数!$B$10,0)</f>
        <v>0.00629160666470865</v>
      </c>
      <c r="K39" s="6" t="n">
        <f aca="false">IFERROR(I39/E39,0)</f>
        <v>0.262862320810266</v>
      </c>
      <c r="L39" s="6" t="n">
        <f aca="false">IFERROR(G39/E39,0)</f>
        <v>-0.114768670222891</v>
      </c>
      <c r="M39" s="6" t="n">
        <f aca="false">K39+L39</f>
        <v>0.148093650587374</v>
      </c>
      <c r="N39" s="4" t="n">
        <v>28196.77</v>
      </c>
      <c r="O39" s="4" t="n">
        <v>1860.54</v>
      </c>
      <c r="P39" s="4" t="n">
        <v>138.7</v>
      </c>
      <c r="Q39" s="4" t="n">
        <v>266.3</v>
      </c>
      <c r="R39" s="4" t="n">
        <v>3876.14</v>
      </c>
      <c r="S39" s="4" t="n">
        <v>3811.64</v>
      </c>
      <c r="T39" s="6" t="n">
        <f aca="false">IFERROR(R39/S39-1,"")</f>
        <v>0.0169218499123738</v>
      </c>
      <c r="U39" s="7" t="n">
        <v>499</v>
      </c>
      <c r="V39" s="8" t="n">
        <v>0.0981</v>
      </c>
      <c r="W39" s="4" t="n">
        <f aca="false">R39*K39</f>
        <v>1018.8911561855</v>
      </c>
      <c r="X39" s="4" t="n">
        <f aca="false">R39*V39</f>
        <v>380.249334</v>
      </c>
      <c r="Y39" s="4" t="n">
        <f aca="false">X39-W39</f>
        <v>-638.641822185503</v>
      </c>
      <c r="Z39" s="3" t="s">
        <v>86</v>
      </c>
      <c r="AA39" s="3" t="s">
        <v>114</v>
      </c>
    </row>
    <row r="40" customFormat="false" ht="15" hidden="false" customHeight="false" outlineLevel="0" collapsed="false">
      <c r="A40" s="3" t="s">
        <v>115</v>
      </c>
      <c r="B40" s="3" t="s">
        <v>116</v>
      </c>
      <c r="C40" s="3" t="s">
        <v>34</v>
      </c>
      <c r="D40" s="3" t="s">
        <v>30</v>
      </c>
      <c r="E40" s="4" t="n">
        <v>241434.02</v>
      </c>
      <c r="F40" s="5" t="n">
        <f aca="false">IFERROR(E40/规则参数!$B$8,0)</f>
        <v>0.00738886411684791</v>
      </c>
      <c r="G40" s="4" t="n">
        <v>30406.61</v>
      </c>
      <c r="H40" s="5" t="n">
        <f aca="false">IFERROR(G40/规则参数!$B$9,0)</f>
        <v>0.00675835864957189</v>
      </c>
      <c r="I40" s="4" t="n">
        <v>29105.81</v>
      </c>
      <c r="J40" s="5" t="n">
        <f aca="false">IFERROR(I40/规则参数!$B$10,0)</f>
        <v>0.00601143866560821</v>
      </c>
      <c r="K40" s="6" t="n">
        <f aca="false">IFERROR(I40/E40,0)</f>
        <v>0.120553888801586</v>
      </c>
      <c r="L40" s="6" t="n">
        <f aca="false">IFERROR(G40/E40,0)</f>
        <v>0.125941696203377</v>
      </c>
      <c r="M40" s="6" t="n">
        <f aca="false">K40+L40</f>
        <v>0.246495585004963</v>
      </c>
      <c r="N40" s="4" t="n">
        <v>28752.97</v>
      </c>
      <c r="O40" s="4" t="n">
        <v>39.74</v>
      </c>
      <c r="P40" s="4" t="n">
        <v>102.81</v>
      </c>
      <c r="Q40" s="4" t="n">
        <v>210.29</v>
      </c>
      <c r="R40" s="4" t="n">
        <v>17238.51</v>
      </c>
      <c r="S40" s="4" t="n">
        <v>16238.08</v>
      </c>
      <c r="T40" s="6" t="n">
        <f aca="false">IFERROR(R40/S40-1,"")</f>
        <v>0.0616101164669713</v>
      </c>
      <c r="U40" s="7" t="n">
        <v>6873</v>
      </c>
      <c r="V40" s="8" t="n">
        <v>0.1206</v>
      </c>
      <c r="W40" s="4" t="n">
        <f aca="false">R40*K40</f>
        <v>2078.16941764504</v>
      </c>
      <c r="X40" s="4" t="n">
        <f aca="false">R40*V40</f>
        <v>2078.964306</v>
      </c>
      <c r="Y40" s="4" t="n">
        <f aca="false">X40-W40</f>
        <v>0.79488835496386</v>
      </c>
      <c r="Z40" s="3"/>
      <c r="AA40" s="3" t="s">
        <v>31</v>
      </c>
    </row>
    <row r="41" customFormat="false" ht="15" hidden="false" customHeight="false" outlineLevel="0" collapsed="false">
      <c r="A41" s="3" t="s">
        <v>32</v>
      </c>
      <c r="B41" s="3" t="s">
        <v>117</v>
      </c>
      <c r="C41" s="3" t="s">
        <v>34</v>
      </c>
      <c r="D41" s="3" t="s">
        <v>85</v>
      </c>
      <c r="E41" s="4" t="n">
        <v>141065.16</v>
      </c>
      <c r="F41" s="5" t="n">
        <f aca="false">IFERROR(E41/规则参数!$B$8,0)</f>
        <v>0.00431716830487025</v>
      </c>
      <c r="G41" s="4" t="n">
        <v>-2184.47</v>
      </c>
      <c r="H41" s="5" t="n">
        <f aca="false">IFERROR(G41/规则参数!$B$9,0)</f>
        <v>-0.00048553362966902</v>
      </c>
      <c r="I41" s="4" t="n">
        <v>28758.32</v>
      </c>
      <c r="J41" s="5" t="n">
        <f aca="false">IFERROR(I41/规则参数!$B$10,0)</f>
        <v>0.00593966898038343</v>
      </c>
      <c r="K41" s="6" t="n">
        <f aca="false">IFERROR(I41/E41,0)</f>
        <v>0.203865504423629</v>
      </c>
      <c r="L41" s="6" t="n">
        <f aca="false">IFERROR(G41/E41,0)</f>
        <v>-0.015485538739686</v>
      </c>
      <c r="M41" s="6" t="n">
        <f aca="false">K41+L41</f>
        <v>0.188379965683944</v>
      </c>
      <c r="N41" s="4" t="n">
        <v>28382.59</v>
      </c>
      <c r="O41" s="4" t="n">
        <v>196.14</v>
      </c>
      <c r="P41" s="4" t="n">
        <v>100.92</v>
      </c>
      <c r="Q41" s="4" t="n">
        <v>78.67</v>
      </c>
      <c r="R41" s="4" t="n">
        <v>15635.5</v>
      </c>
      <c r="S41" s="4" t="n">
        <v>13375.77</v>
      </c>
      <c r="T41" s="6" t="n">
        <f aca="false">IFERROR(R41/S41-1,"")</f>
        <v>0.168942049691345</v>
      </c>
      <c r="U41" s="7" t="n">
        <v>1868</v>
      </c>
      <c r="V41" s="8" t="n">
        <v>0.0884</v>
      </c>
      <c r="W41" s="4" t="n">
        <f aca="false">R41*K41</f>
        <v>3187.53909441566</v>
      </c>
      <c r="X41" s="4" t="n">
        <f aca="false">R41*V41</f>
        <v>1382.1782</v>
      </c>
      <c r="Y41" s="4" t="n">
        <f aca="false">X41-W41</f>
        <v>-1805.36089441566</v>
      </c>
      <c r="Z41" s="3" t="s">
        <v>86</v>
      </c>
      <c r="AA41" s="3" t="s">
        <v>118</v>
      </c>
    </row>
    <row r="42" customFormat="false" ht="15" hidden="false" customHeight="false" outlineLevel="0" collapsed="false">
      <c r="A42" s="3" t="s">
        <v>59</v>
      </c>
      <c r="B42" s="3" t="s">
        <v>119</v>
      </c>
      <c r="C42" s="3" t="s">
        <v>34</v>
      </c>
      <c r="D42" s="3" t="s">
        <v>30</v>
      </c>
      <c r="E42" s="4" t="n">
        <v>185849.76</v>
      </c>
      <c r="F42" s="5" t="n">
        <f aca="false">IFERROR(E42/规则参数!$B$8,0)</f>
        <v>0.00568775942507521</v>
      </c>
      <c r="G42" s="4" t="n">
        <v>13420.86</v>
      </c>
      <c r="H42" s="5" t="n">
        <f aca="false">IFERROR(G42/规则参数!$B$9,0)</f>
        <v>0.00298300222437468</v>
      </c>
      <c r="I42" s="4" t="n">
        <v>28323.76</v>
      </c>
      <c r="J42" s="5" t="n">
        <f aca="false">IFERROR(I42/规则参数!$B$10,0)</f>
        <v>0.00584991608271363</v>
      </c>
      <c r="K42" s="6" t="n">
        <f aca="false">IFERROR(I42/E42,0)</f>
        <v>0.152401380555993</v>
      </c>
      <c r="L42" s="6" t="n">
        <f aca="false">IFERROR(G42/E42,0)</f>
        <v>0.0722134911554365</v>
      </c>
      <c r="M42" s="6" t="n">
        <f aca="false">K42+L42</f>
        <v>0.22461487171143</v>
      </c>
      <c r="N42" s="4" t="n">
        <v>25804.88</v>
      </c>
      <c r="O42" s="4" t="n">
        <v>114.58</v>
      </c>
      <c r="P42" s="4" t="n">
        <v>2261.32</v>
      </c>
      <c r="Q42" s="4" t="n">
        <v>142.98</v>
      </c>
      <c r="R42" s="4" t="n">
        <v>20710.74</v>
      </c>
      <c r="S42" s="4" t="n">
        <v>16925.44</v>
      </c>
      <c r="T42" s="6" t="n">
        <f aca="false">IFERROR(R42/S42-1,"")</f>
        <v>0.22364558912501</v>
      </c>
      <c r="U42" s="7" t="n">
        <v>2192</v>
      </c>
      <c r="V42" s="8" t="n">
        <v>0.1246</v>
      </c>
      <c r="W42" s="4" t="n">
        <f aca="false">R42*K42</f>
        <v>3156.34536833623</v>
      </c>
      <c r="X42" s="4" t="n">
        <f aca="false">R42*V42</f>
        <v>2580.558204</v>
      </c>
      <c r="Y42" s="4" t="n">
        <f aca="false">X42-W42</f>
        <v>-575.78716433623</v>
      </c>
      <c r="Z42" s="3"/>
      <c r="AA42" s="3" t="s">
        <v>31</v>
      </c>
    </row>
    <row r="43" customFormat="false" ht="15" hidden="false" customHeight="false" outlineLevel="0" collapsed="false">
      <c r="A43" s="3" t="s">
        <v>27</v>
      </c>
      <c r="B43" s="3" t="s">
        <v>120</v>
      </c>
      <c r="C43" s="3" t="s">
        <v>96</v>
      </c>
      <c r="D43" s="3" t="s">
        <v>46</v>
      </c>
      <c r="E43" s="4" t="n">
        <v>117874.23</v>
      </c>
      <c r="F43" s="5" t="n">
        <f aca="false">IFERROR(E43/规则参数!$B$8,0)</f>
        <v>0.00360743141479431</v>
      </c>
      <c r="G43" s="4" t="n">
        <v>-15546.22</v>
      </c>
      <c r="H43" s="5" t="n">
        <f aca="false">IFERROR(G43/规则参数!$B$9,0)</f>
        <v>-0.00345539770481312</v>
      </c>
      <c r="I43" s="4" t="n">
        <v>27354.75</v>
      </c>
      <c r="J43" s="5" t="n">
        <f aca="false">IFERROR(I43/规则参数!$B$10,0)</f>
        <v>0.00564977926530979</v>
      </c>
      <c r="K43" s="6" t="n">
        <f aca="false">IFERROR(I43/E43,0)</f>
        <v>0.232067263557098</v>
      </c>
      <c r="L43" s="6" t="n">
        <f aca="false">IFERROR(G43/E43,0)</f>
        <v>-0.131888199821114</v>
      </c>
      <c r="M43" s="6" t="n">
        <f aca="false">K43+L43</f>
        <v>0.100179063735984</v>
      </c>
      <c r="N43" s="4" t="n">
        <v>24947.12</v>
      </c>
      <c r="O43" s="4" t="n">
        <v>1126.57</v>
      </c>
      <c r="P43" s="4" t="n">
        <v>617.77</v>
      </c>
      <c r="Q43" s="4" t="n">
        <v>663.29</v>
      </c>
      <c r="R43" s="4" t="n">
        <v>18349.44</v>
      </c>
      <c r="S43" s="4" t="n">
        <v>27620.58</v>
      </c>
      <c r="T43" s="6" t="n">
        <f aca="false">IFERROR(R43/S43-1,"")</f>
        <v>-0.335660583521418</v>
      </c>
      <c r="U43" s="7" t="n">
        <v>4243</v>
      </c>
      <c r="V43" s="8" t="n">
        <v>0.1002</v>
      </c>
      <c r="W43" s="4" t="n">
        <f aca="false">R43*K43</f>
        <v>4258.30432860516</v>
      </c>
      <c r="X43" s="4" t="n">
        <f aca="false">R43*V43</f>
        <v>1838.613888</v>
      </c>
      <c r="Y43" s="4" t="n">
        <f aca="false">X43-W43</f>
        <v>-2419.69044060516</v>
      </c>
      <c r="Z43" s="3" t="s">
        <v>103</v>
      </c>
      <c r="AA43" s="3" t="s">
        <v>121</v>
      </c>
    </row>
    <row r="44" customFormat="false" ht="15" hidden="false" customHeight="false" outlineLevel="0" collapsed="false">
      <c r="A44" s="3" t="s">
        <v>44</v>
      </c>
      <c r="B44" s="3" t="s">
        <v>122</v>
      </c>
      <c r="C44" s="3" t="s">
        <v>34</v>
      </c>
      <c r="D44" s="3" t="s">
        <v>30</v>
      </c>
      <c r="E44" s="4" t="n">
        <v>224928.06</v>
      </c>
      <c r="F44" s="5" t="n">
        <f aca="false">IFERROR(E44/规则参数!$B$8,0)</f>
        <v>0.00688371452956884</v>
      </c>
      <c r="G44" s="4" t="n">
        <v>66449.88</v>
      </c>
      <c r="H44" s="5" t="n">
        <f aca="false">IFERROR(G44/规则参数!$B$9,0)</f>
        <v>0.0147695557400517</v>
      </c>
      <c r="I44" s="4" t="n">
        <v>27326.13</v>
      </c>
      <c r="J44" s="5" t="n">
        <f aca="false">IFERROR(I44/规则参数!$B$10,0)</f>
        <v>0.0056438681645842</v>
      </c>
      <c r="K44" s="6" t="n">
        <f aca="false">IFERROR(I44/E44,0)</f>
        <v>0.121488310529153</v>
      </c>
      <c r="L44" s="6" t="n">
        <f aca="false">IFERROR(G44/E44,0)</f>
        <v>0.295427257941939</v>
      </c>
      <c r="M44" s="6" t="n">
        <f aca="false">K44+L44</f>
        <v>0.416915568471093</v>
      </c>
      <c r="N44" s="4" t="n">
        <v>19127.8</v>
      </c>
      <c r="O44" s="4" t="n">
        <v>7438.66</v>
      </c>
      <c r="P44" s="4" t="n">
        <v>320.59</v>
      </c>
      <c r="Q44" s="4" t="n">
        <v>439.08</v>
      </c>
      <c r="R44" s="4" t="n">
        <v>16723.39</v>
      </c>
      <c r="S44" s="4" t="n">
        <v>20314.73</v>
      </c>
      <c r="T44" s="6" t="n">
        <f aca="false">IFERROR(R44/S44-1,"")</f>
        <v>-0.176785022493531</v>
      </c>
      <c r="U44" s="7" t="n">
        <v>2860</v>
      </c>
      <c r="V44" s="8" t="n">
        <v>0.1215</v>
      </c>
      <c r="W44" s="4" t="n">
        <f aca="false">R44*K44</f>
        <v>2031.69639742014</v>
      </c>
      <c r="X44" s="4" t="n">
        <f aca="false">R44*V44</f>
        <v>2031.891885</v>
      </c>
      <c r="Y44" s="4" t="n">
        <f aca="false">X44-W44</f>
        <v>0.195487579864675</v>
      </c>
      <c r="Z44" s="3"/>
      <c r="AA44" s="3" t="s">
        <v>31</v>
      </c>
    </row>
    <row r="45" customFormat="false" ht="15" hidden="false" customHeight="false" outlineLevel="0" collapsed="false">
      <c r="A45" s="3" t="s">
        <v>123</v>
      </c>
      <c r="B45" s="3" t="s">
        <v>124</v>
      </c>
      <c r="C45" s="3" t="s">
        <v>34</v>
      </c>
      <c r="D45" s="3" t="s">
        <v>56</v>
      </c>
      <c r="E45" s="4" t="n">
        <v>300917.23</v>
      </c>
      <c r="F45" s="5" t="n">
        <f aca="false">IFERROR(E45/规则参数!$B$8,0)</f>
        <v>0.00920929255491115</v>
      </c>
      <c r="G45" s="4" t="n">
        <v>89554.13</v>
      </c>
      <c r="H45" s="5" t="n">
        <f aca="false">IFERROR(G45/规则参数!$B$9,0)</f>
        <v>0.0199048473042666</v>
      </c>
      <c r="I45" s="4" t="n">
        <v>26885.37</v>
      </c>
      <c r="J45" s="5" t="n">
        <f aca="false">IFERROR(I45/规则参数!$B$10,0)</f>
        <v>0.00555283473496127</v>
      </c>
      <c r="K45" s="6" t="n">
        <f aca="false">IFERROR(I45/E45,0)</f>
        <v>0.0893447344307935</v>
      </c>
      <c r="L45" s="6" t="n">
        <f aca="false">IFERROR(G45/E45,0)</f>
        <v>0.297603862696729</v>
      </c>
      <c r="M45" s="6" t="n">
        <f aca="false">K45+L45</f>
        <v>0.386948597127522</v>
      </c>
      <c r="N45" s="4" t="n">
        <v>19570.79</v>
      </c>
      <c r="O45" s="4" t="n">
        <v>425.38</v>
      </c>
      <c r="P45" s="4" t="n">
        <v>3935.52</v>
      </c>
      <c r="Q45" s="4" t="n">
        <v>2953.68</v>
      </c>
      <c r="R45" s="4" t="n">
        <v>31115.6</v>
      </c>
      <c r="S45" s="4" t="n">
        <v>30628.46</v>
      </c>
      <c r="T45" s="6" t="n">
        <f aca="false">IFERROR(R45/S45-1,"")</f>
        <v>0.0159048153253543</v>
      </c>
      <c r="U45" s="7" t="n">
        <v>1224</v>
      </c>
      <c r="V45" s="8" t="n">
        <v>0.1161</v>
      </c>
      <c r="W45" s="4" t="n">
        <f aca="false">R45*K45</f>
        <v>2780.0150186548</v>
      </c>
      <c r="X45" s="4" t="n">
        <f aca="false">R45*V45</f>
        <v>3612.52116</v>
      </c>
      <c r="Y45" s="4" t="n">
        <f aca="false">X45-W45</f>
        <v>832.506141345202</v>
      </c>
      <c r="Z45" s="3" t="s">
        <v>57</v>
      </c>
      <c r="AA45" s="3" t="s">
        <v>125</v>
      </c>
    </row>
    <row r="46" customFormat="false" ht="15" hidden="false" customHeight="false" outlineLevel="0" collapsed="false">
      <c r="A46" s="3" t="s">
        <v>32</v>
      </c>
      <c r="B46" s="3" t="s">
        <v>126</v>
      </c>
      <c r="C46" s="3" t="s">
        <v>96</v>
      </c>
      <c r="D46" s="3" t="s">
        <v>46</v>
      </c>
      <c r="E46" s="4" t="n">
        <v>90731.07</v>
      </c>
      <c r="F46" s="5" t="n">
        <f aca="false">IFERROR(E46/规则参数!$B$8,0)</f>
        <v>0.00277674019347487</v>
      </c>
      <c r="G46" s="4" t="n">
        <v>-1411.95</v>
      </c>
      <c r="H46" s="5" t="n">
        <f aca="false">IFERROR(G46/规则参数!$B$9,0)</f>
        <v>-0.000313828621318293</v>
      </c>
      <c r="I46" s="4" t="n">
        <v>24808.53</v>
      </c>
      <c r="J46" s="5" t="n">
        <f aca="false">IFERROR(I46/规则参数!$B$10,0)</f>
        <v>0.00512388957664814</v>
      </c>
      <c r="K46" s="6" t="n">
        <f aca="false">IFERROR(I46/E46,0)</f>
        <v>0.273429267394289</v>
      </c>
      <c r="L46" s="6" t="n">
        <f aca="false">IFERROR(G46/E46,0)</f>
        <v>-0.015561923826094</v>
      </c>
      <c r="M46" s="6" t="n">
        <f aca="false">K46+L46</f>
        <v>0.257867343568196</v>
      </c>
      <c r="N46" s="4" t="n">
        <v>24467.75</v>
      </c>
      <c r="O46" s="4" t="n">
        <v>253.1</v>
      </c>
      <c r="P46" s="4" t="n">
        <v>87.68</v>
      </c>
      <c r="Q46" s="4" t="n">
        <v>0</v>
      </c>
      <c r="R46" s="4" t="n">
        <v>18337.1</v>
      </c>
      <c r="S46" s="4" t="n">
        <v>18268.36</v>
      </c>
      <c r="T46" s="6" t="n">
        <f aca="false">IFERROR(R46/S46-1,"")</f>
        <v>0.00376278987276346</v>
      </c>
      <c r="U46" s="7" t="n">
        <v>1259</v>
      </c>
      <c r="V46" s="8" t="n">
        <v>0.25</v>
      </c>
      <c r="W46" s="4" t="n">
        <f aca="false">R46*K46</f>
        <v>5013.89981913583</v>
      </c>
      <c r="X46" s="4" t="n">
        <f aca="false">R46*V46</f>
        <v>4584.275</v>
      </c>
      <c r="Y46" s="4" t="n">
        <f aca="false">X46-W46</f>
        <v>-429.624819135825</v>
      </c>
      <c r="Z46" s="3" t="s">
        <v>103</v>
      </c>
      <c r="AA46" s="3" t="s">
        <v>127</v>
      </c>
    </row>
    <row r="47" customFormat="false" ht="15" hidden="false" customHeight="false" outlineLevel="0" collapsed="false">
      <c r="A47" s="3" t="s">
        <v>67</v>
      </c>
      <c r="B47" s="3" t="s">
        <v>128</v>
      </c>
      <c r="C47" s="3" t="s">
        <v>29</v>
      </c>
      <c r="D47" s="3" t="s">
        <v>46</v>
      </c>
      <c r="E47" s="4" t="n">
        <v>233620.13</v>
      </c>
      <c r="F47" s="5" t="n">
        <f aca="false">IFERROR(E47/规则参数!$B$8,0)</f>
        <v>0.00714972726515652</v>
      </c>
      <c r="G47" s="4" t="n">
        <v>50017.09</v>
      </c>
      <c r="H47" s="5" t="n">
        <f aca="false">IFERROR(G47/规则参数!$B$9,0)</f>
        <v>0.0111171035780679</v>
      </c>
      <c r="I47" s="4" t="n">
        <v>24429.29</v>
      </c>
      <c r="J47" s="5" t="n">
        <f aca="false">IFERROR(I47/规则参数!$B$10,0)</f>
        <v>0.00504556232859886</v>
      </c>
      <c r="K47" s="6" t="n">
        <f aca="false">IFERROR(I47/E47,0)</f>
        <v>0.104568429098982</v>
      </c>
      <c r="L47" s="6" t="n">
        <f aca="false">IFERROR(G47/E47,0)</f>
        <v>0.214095805870838</v>
      </c>
      <c r="M47" s="6" t="n">
        <f aca="false">K47+L47</f>
        <v>0.31866423496982</v>
      </c>
      <c r="N47" s="4" t="n">
        <v>17847.14</v>
      </c>
      <c r="O47" s="4" t="n">
        <v>1146.02</v>
      </c>
      <c r="P47" s="4" t="n">
        <v>3985.32</v>
      </c>
      <c r="Q47" s="4" t="n">
        <v>1450.81</v>
      </c>
      <c r="R47" s="4" t="n">
        <v>7184.02</v>
      </c>
      <c r="S47" s="4" t="n">
        <v>33455.98</v>
      </c>
      <c r="T47" s="6" t="n">
        <f aca="false">IFERROR(R47/S47-1,"")</f>
        <v>-0.785269479477212</v>
      </c>
      <c r="U47" s="7" t="n">
        <v>245</v>
      </c>
      <c r="V47" s="8" t="n">
        <v>0.1046</v>
      </c>
      <c r="W47" s="4" t="n">
        <f aca="false">R47*K47</f>
        <v>751.22168601567</v>
      </c>
      <c r="X47" s="4" t="n">
        <f aca="false">R47*V47</f>
        <v>751.448492</v>
      </c>
      <c r="Y47" s="4" t="n">
        <f aca="false">X47-W47</f>
        <v>0.226805984329872</v>
      </c>
      <c r="Z47" s="3" t="s">
        <v>47</v>
      </c>
      <c r="AA47" s="3" t="s">
        <v>129</v>
      </c>
    </row>
    <row r="48" customFormat="false" ht="15" hidden="false" customHeight="false" outlineLevel="0" collapsed="false">
      <c r="A48" s="3" t="s">
        <v>98</v>
      </c>
      <c r="B48" s="3" t="s">
        <v>130</v>
      </c>
      <c r="C48" s="3" t="s">
        <v>34</v>
      </c>
      <c r="D48" s="3" t="s">
        <v>46</v>
      </c>
      <c r="E48" s="4" t="n">
        <v>91014.69</v>
      </c>
      <c r="F48" s="5" t="n">
        <f aca="false">IFERROR(E48/规则参数!$B$8,0)</f>
        <v>0.0027854201203585</v>
      </c>
      <c r="G48" s="4" t="n">
        <v>5138.8</v>
      </c>
      <c r="H48" s="5" t="n">
        <f aca="false">IFERROR(G48/规则参数!$B$9,0)</f>
        <v>0.00114218103986008</v>
      </c>
      <c r="I48" s="4" t="n">
        <v>24318.37</v>
      </c>
      <c r="J48" s="5" t="n">
        <f aca="false">IFERROR(I48/规则参数!$B$10,0)</f>
        <v>0.00502265319888252</v>
      </c>
      <c r="K48" s="6" t="n">
        <f aca="false">IFERROR(I48/E48,0)</f>
        <v>0.267191702789956</v>
      </c>
      <c r="L48" s="6" t="n">
        <f aca="false">IFERROR(G48/E48,0)</f>
        <v>0.0564612152170161</v>
      </c>
      <c r="M48" s="6" t="n">
        <f aca="false">K48+L48</f>
        <v>0.323652918006972</v>
      </c>
      <c r="N48" s="4" t="n">
        <v>22611.88</v>
      </c>
      <c r="O48" s="4" t="n">
        <v>-47.63</v>
      </c>
      <c r="P48" s="4" t="n">
        <v>12.23</v>
      </c>
      <c r="Q48" s="4" t="n">
        <v>1741.89</v>
      </c>
      <c r="R48" s="4" t="n">
        <v>15027.15</v>
      </c>
      <c r="S48" s="4" t="n">
        <v>6482.74</v>
      </c>
      <c r="T48" s="6" t="n">
        <f aca="false">IFERROR(R48/S48-1,"")</f>
        <v>1.31802447730435</v>
      </c>
      <c r="U48" s="7" t="n">
        <v>1136</v>
      </c>
      <c r="V48" s="8" t="n">
        <v>0.18</v>
      </c>
      <c r="W48" s="4" t="n">
        <f aca="false">R48*K48</f>
        <v>4015.12979658009</v>
      </c>
      <c r="X48" s="4" t="n">
        <f aca="false">R48*V48</f>
        <v>2704.887</v>
      </c>
      <c r="Y48" s="4" t="n">
        <f aca="false">X48-W48</f>
        <v>-1310.24279658009</v>
      </c>
      <c r="Z48" s="3" t="s">
        <v>69</v>
      </c>
      <c r="AA48" s="3" t="s">
        <v>131</v>
      </c>
    </row>
    <row r="49" customFormat="false" ht="15" hidden="false" customHeight="false" outlineLevel="0" collapsed="false">
      <c r="A49" s="3" t="s">
        <v>27</v>
      </c>
      <c r="B49" s="3" t="s">
        <v>132</v>
      </c>
      <c r="C49" s="3" t="s">
        <v>29</v>
      </c>
      <c r="D49" s="3" t="s">
        <v>85</v>
      </c>
      <c r="E49" s="4" t="n">
        <v>111194.75</v>
      </c>
      <c r="F49" s="5" t="n">
        <f aca="false">IFERROR(E49/规则参数!$B$8,0)</f>
        <v>0.00340301212835239</v>
      </c>
      <c r="G49" s="4" t="n">
        <v>-9591.51</v>
      </c>
      <c r="H49" s="5" t="n">
        <f aca="false">IFERROR(G49/规则参数!$B$9,0)</f>
        <v>-0.00213186753047957</v>
      </c>
      <c r="I49" s="4" t="n">
        <v>23573.78</v>
      </c>
      <c r="J49" s="5" t="n">
        <f aca="false">IFERROR(I49/规则参数!$B$10,0)</f>
        <v>0.00486886750743379</v>
      </c>
      <c r="K49" s="6" t="n">
        <f aca="false">IFERROR(I49/E49,0)</f>
        <v>0.212004433662561</v>
      </c>
      <c r="L49" s="6" t="n">
        <f aca="false">IFERROR(G49/E49,0)</f>
        <v>-0.0862586587945924</v>
      </c>
      <c r="M49" s="6" t="n">
        <f aca="false">K49+L49</f>
        <v>0.125745774867968</v>
      </c>
      <c r="N49" s="4" t="n">
        <v>22216.73</v>
      </c>
      <c r="O49" s="4" t="n">
        <v>577.94</v>
      </c>
      <c r="P49" s="4" t="n">
        <v>31.02</v>
      </c>
      <c r="Q49" s="4" t="n">
        <v>748.09</v>
      </c>
      <c r="R49" s="4" t="n">
        <v>2228.5</v>
      </c>
      <c r="S49" s="4" t="n">
        <v>4438.09</v>
      </c>
      <c r="T49" s="6" t="n">
        <f aca="false">IFERROR(R49/S49-1,"")</f>
        <v>-0.497869579030619</v>
      </c>
      <c r="U49" s="7" t="n">
        <v>466</v>
      </c>
      <c r="V49" s="8" t="n">
        <v>0.0757</v>
      </c>
      <c r="W49" s="4" t="n">
        <f aca="false">R49*K49</f>
        <v>472.451880417016</v>
      </c>
      <c r="X49" s="4" t="n">
        <f aca="false">R49*V49</f>
        <v>168.69745</v>
      </c>
      <c r="Y49" s="4" t="n">
        <f aca="false">X49-W49</f>
        <v>-303.754430417016</v>
      </c>
      <c r="Z49" s="3" t="s">
        <v>86</v>
      </c>
      <c r="AA49" s="3" t="s">
        <v>133</v>
      </c>
    </row>
    <row r="50" customFormat="false" ht="15" hidden="false" customHeight="false" outlineLevel="0" collapsed="false">
      <c r="A50" s="3" t="s">
        <v>134</v>
      </c>
      <c r="B50" s="3" t="s">
        <v>135</v>
      </c>
      <c r="C50" s="3" t="s">
        <v>29</v>
      </c>
      <c r="D50" s="3" t="s">
        <v>85</v>
      </c>
      <c r="E50" s="4" t="n">
        <v>102023.14</v>
      </c>
      <c r="F50" s="5" t="n">
        <f aca="false">IFERROR(E50/规则参数!$B$8,0)</f>
        <v>0.0031223235161066</v>
      </c>
      <c r="G50" s="4" t="n">
        <v>-7370.43</v>
      </c>
      <c r="H50" s="5" t="n">
        <f aca="false">IFERROR(G50/规则参数!$B$9,0)</f>
        <v>-0.00163819673885264</v>
      </c>
      <c r="I50" s="4" t="n">
        <v>22825.83</v>
      </c>
      <c r="J50" s="5" t="n">
        <f aca="false">IFERROR(I50/规则参数!$B$10,0)</f>
        <v>0.00471438785028144</v>
      </c>
      <c r="K50" s="6" t="n">
        <f aca="false">IFERROR(I50/E50,0)</f>
        <v>0.22373189062795</v>
      </c>
      <c r="L50" s="6" t="n">
        <f aca="false">IFERROR(G50/E50,0)</f>
        <v>-0.0722427284633663</v>
      </c>
      <c r="M50" s="6" t="n">
        <f aca="false">K50+L50</f>
        <v>0.151489162164583</v>
      </c>
      <c r="N50" s="4" t="n">
        <v>12628.3</v>
      </c>
      <c r="O50" s="4" t="n">
        <v>1429.63</v>
      </c>
      <c r="P50" s="4" t="n">
        <v>8293.62</v>
      </c>
      <c r="Q50" s="4" t="n">
        <v>474.28</v>
      </c>
      <c r="R50" s="4" t="n">
        <v>13252.09</v>
      </c>
      <c r="S50" s="4" t="n">
        <v>10626.15</v>
      </c>
      <c r="T50" s="6" t="n">
        <f aca="false">IFERROR(R50/S50-1,"")</f>
        <v>0.247120546952565</v>
      </c>
      <c r="U50" s="7" t="n">
        <v>593</v>
      </c>
      <c r="V50" s="8" t="n">
        <v>0.1015</v>
      </c>
      <c r="W50" s="4" t="n">
        <f aca="false">R50*K50</f>
        <v>2964.91515047175</v>
      </c>
      <c r="X50" s="4" t="n">
        <f aca="false">R50*V50</f>
        <v>1345.087135</v>
      </c>
      <c r="Y50" s="4" t="n">
        <f aca="false">X50-W50</f>
        <v>-1619.82801547175</v>
      </c>
      <c r="Z50" s="3" t="s">
        <v>86</v>
      </c>
      <c r="AA50" s="3" t="s">
        <v>136</v>
      </c>
    </row>
    <row r="51" customFormat="false" ht="15" hidden="false" customHeight="false" outlineLevel="0" collapsed="false">
      <c r="A51" s="3" t="s">
        <v>53</v>
      </c>
      <c r="B51" s="3" t="s">
        <v>137</v>
      </c>
      <c r="C51" s="3" t="s">
        <v>29</v>
      </c>
      <c r="D51" s="3" t="s">
        <v>138</v>
      </c>
      <c r="E51" s="4" t="n">
        <v>138701.98</v>
      </c>
      <c r="F51" s="5" t="n">
        <f aca="false">IFERROR(E51/规则参数!$B$8,0)</f>
        <v>0.00424484537414304</v>
      </c>
      <c r="G51" s="4" t="n">
        <v>5441.42</v>
      </c>
      <c r="H51" s="5" t="n">
        <f aca="false">IFERROR(G51/规则参数!$B$9,0)</f>
        <v>0.00120944320734714</v>
      </c>
      <c r="I51" s="4" t="n">
        <v>22579.33</v>
      </c>
      <c r="J51" s="5" t="n">
        <f aca="false">IFERROR(I51/规则参数!$B$10,0)</f>
        <v>0.00466347637827387</v>
      </c>
      <c r="K51" s="6" t="n">
        <f aca="false">IFERROR(I51/E51,0)</f>
        <v>0.162790250002199</v>
      </c>
      <c r="L51" s="6" t="n">
        <f aca="false">IFERROR(G51/E51,0)</f>
        <v>0.0392310189083097</v>
      </c>
      <c r="M51" s="6" t="n">
        <f aca="false">K51+L51</f>
        <v>0.202021268910509</v>
      </c>
      <c r="N51" s="4" t="n">
        <v>20776.37</v>
      </c>
      <c r="O51" s="4" t="n">
        <v>1792.86</v>
      </c>
      <c r="P51" s="4" t="n">
        <v>10.1</v>
      </c>
      <c r="Q51" s="4" t="n">
        <v>0</v>
      </c>
      <c r="R51" s="4" t="n">
        <v>13163.44</v>
      </c>
      <c r="S51" s="4" t="n">
        <v>20829.13</v>
      </c>
      <c r="T51" s="6" t="n">
        <f aca="false">IFERROR(R51/S51-1,"")</f>
        <v>-0.368027373202817</v>
      </c>
      <c r="U51" s="7" t="n">
        <v>561</v>
      </c>
      <c r="V51" s="8" t="n">
        <v>0.15</v>
      </c>
      <c r="W51" s="4" t="n">
        <f aca="false">R51*K51</f>
        <v>2142.87968848895</v>
      </c>
      <c r="X51" s="4" t="n">
        <f aca="false">R51*V51</f>
        <v>1974.516</v>
      </c>
      <c r="Y51" s="4" t="n">
        <f aca="false">X51-W51</f>
        <v>-168.363688488946</v>
      </c>
      <c r="Z51" s="3" t="s">
        <v>139</v>
      </c>
      <c r="AA51" s="3" t="s">
        <v>140</v>
      </c>
    </row>
    <row r="52" customFormat="false" ht="15" hidden="false" customHeight="false" outlineLevel="0" collapsed="false">
      <c r="A52" s="3" t="s">
        <v>141</v>
      </c>
      <c r="B52" s="3" t="s">
        <v>142</v>
      </c>
      <c r="C52" s="3" t="s">
        <v>34</v>
      </c>
      <c r="D52" s="3" t="s">
        <v>30</v>
      </c>
      <c r="E52" s="4" t="n">
        <v>122184.99</v>
      </c>
      <c r="F52" s="5" t="n">
        <f aca="false">IFERROR(E52/规则参数!$B$8,0)</f>
        <v>0.00373935822395047</v>
      </c>
      <c r="G52" s="4" t="n">
        <v>18750.58</v>
      </c>
      <c r="H52" s="5" t="n">
        <f aca="false">IFERROR(G52/规则参数!$B$9,0)</f>
        <v>0.00416761830823922</v>
      </c>
      <c r="I52" s="4" t="n">
        <v>22300.42</v>
      </c>
      <c r="J52" s="5" t="n">
        <f aca="false">IFERROR(I52/规则参数!$B$10,0)</f>
        <v>0.00460587102875002</v>
      </c>
      <c r="K52" s="6" t="n">
        <f aca="false">IFERROR(I52/E52,0)</f>
        <v>0.182513580432425</v>
      </c>
      <c r="L52" s="6" t="n">
        <f aca="false">IFERROR(G52/E52,0)</f>
        <v>0.153460584643007</v>
      </c>
      <c r="M52" s="6" t="n">
        <f aca="false">K52+L52</f>
        <v>0.335974165075432</v>
      </c>
      <c r="N52" s="4" t="n">
        <v>21908.41</v>
      </c>
      <c r="O52" s="4" t="n">
        <v>6.42</v>
      </c>
      <c r="P52" s="4" t="n">
        <v>43.02</v>
      </c>
      <c r="Q52" s="4" t="n">
        <v>342.57</v>
      </c>
      <c r="R52" s="4" t="n">
        <v>27407.67</v>
      </c>
      <c r="S52" s="4" t="n">
        <v>15772.41</v>
      </c>
      <c r="T52" s="6" t="n">
        <f aca="false">IFERROR(R52/S52-1,"")</f>
        <v>0.737697029179434</v>
      </c>
      <c r="U52" s="7" t="n">
        <v>1270</v>
      </c>
      <c r="V52" s="8" t="n">
        <v>0.18</v>
      </c>
      <c r="W52" s="4" t="n">
        <f aca="false">R52*K52</f>
        <v>5002.27198301035</v>
      </c>
      <c r="X52" s="4" t="n">
        <f aca="false">R52*V52</f>
        <v>4933.3806</v>
      </c>
      <c r="Y52" s="4" t="n">
        <f aca="false">X52-W52</f>
        <v>-68.8913830103511</v>
      </c>
      <c r="Z52" s="3"/>
      <c r="AA52" s="3" t="s">
        <v>31</v>
      </c>
    </row>
    <row r="53" customFormat="false" ht="15" hidden="false" customHeight="false" outlineLevel="0" collapsed="false">
      <c r="A53" s="3" t="s">
        <v>35</v>
      </c>
      <c r="B53" s="3" t="s">
        <v>143</v>
      </c>
      <c r="C53" s="3" t="s">
        <v>34</v>
      </c>
      <c r="D53" s="3" t="s">
        <v>30</v>
      </c>
      <c r="E53" s="4" t="n">
        <v>168090.03</v>
      </c>
      <c r="F53" s="5" t="n">
        <f aca="false">IFERROR(E53/规则参数!$B$8,0)</f>
        <v>0.0051442393705199</v>
      </c>
      <c r="G53" s="4" t="n">
        <v>24098.58</v>
      </c>
      <c r="H53" s="5" t="n">
        <f aca="false">IFERROR(G53/规则参数!$B$9,0)</f>
        <v>0.00535629741643019</v>
      </c>
      <c r="I53" s="4" t="n">
        <v>21825.3</v>
      </c>
      <c r="J53" s="5" t="n">
        <f aca="false">IFERROR(I53/规则参数!$B$10,0)</f>
        <v>0.0045077409736578</v>
      </c>
      <c r="K53" s="6" t="n">
        <f aca="false">IFERROR(I53/E53,0)</f>
        <v>0.129842918107636</v>
      </c>
      <c r="L53" s="6" t="n">
        <f aca="false">IFERROR(G53/E53,0)</f>
        <v>0.143367099167036</v>
      </c>
      <c r="M53" s="6" t="n">
        <f aca="false">K53+L53</f>
        <v>0.273210017274671</v>
      </c>
      <c r="N53" s="4" t="n">
        <v>21913.21</v>
      </c>
      <c r="O53" s="4" t="n">
        <v>-99.46</v>
      </c>
      <c r="P53" s="4" t="n">
        <v>11.55</v>
      </c>
      <c r="Q53" s="4" t="n">
        <v>0</v>
      </c>
      <c r="R53" s="4" t="n">
        <v>12179.18</v>
      </c>
      <c r="S53" s="4" t="n">
        <v>11598.67</v>
      </c>
      <c r="T53" s="6" t="n">
        <f aca="false">IFERROR(R53/S53-1,"")</f>
        <v>0.0500497039746799</v>
      </c>
      <c r="U53" s="7" t="n">
        <v>394</v>
      </c>
      <c r="V53" s="8" t="n">
        <v>0.1298</v>
      </c>
      <c r="W53" s="4" t="n">
        <f aca="false">R53*K53</f>
        <v>1581.38027135815</v>
      </c>
      <c r="X53" s="4" t="n">
        <f aca="false">R53*V53</f>
        <v>1580.857564</v>
      </c>
      <c r="Y53" s="4" t="n">
        <f aca="false">X53-W53</f>
        <v>-0.522707358152729</v>
      </c>
      <c r="Z53" s="3"/>
      <c r="AA53" s="3" t="s">
        <v>31</v>
      </c>
    </row>
    <row r="54" customFormat="false" ht="15" hidden="false" customHeight="false" outlineLevel="0" collapsed="false">
      <c r="A54" s="3" t="s">
        <v>144</v>
      </c>
      <c r="B54" s="3" t="s">
        <v>145</v>
      </c>
      <c r="C54" s="3" t="s">
        <v>29</v>
      </c>
      <c r="D54" s="3" t="s">
        <v>85</v>
      </c>
      <c r="E54" s="4" t="n">
        <v>124950.14</v>
      </c>
      <c r="F54" s="5" t="n">
        <f aca="false">IFERROR(E54/规则参数!$B$8,0)</f>
        <v>0.00382398307347541</v>
      </c>
      <c r="G54" s="4" t="n">
        <v>-2967.17</v>
      </c>
      <c r="H54" s="5" t="n">
        <f aca="false">IFERROR(G54/规则参数!$B$9,0)</f>
        <v>-0.000659501306928008</v>
      </c>
      <c r="I54" s="4" t="n">
        <v>21523.54</v>
      </c>
      <c r="J54" s="5" t="n">
        <f aca="false">IFERROR(I54/规则参数!$B$10,0)</f>
        <v>0.00444541624427442</v>
      </c>
      <c r="K54" s="6" t="n">
        <f aca="false">IFERROR(I54/E54,0)</f>
        <v>0.17225702988408</v>
      </c>
      <c r="L54" s="6" t="n">
        <f aca="false">IFERROR(G54/E54,0)</f>
        <v>-0.0237468321364026</v>
      </c>
      <c r="M54" s="6" t="n">
        <f aca="false">K54+L54</f>
        <v>0.148510197747678</v>
      </c>
      <c r="N54" s="4" t="n">
        <v>20206.78</v>
      </c>
      <c r="O54" s="4" t="n">
        <v>134.7</v>
      </c>
      <c r="P54" s="4" t="n">
        <v>1012.73</v>
      </c>
      <c r="Q54" s="4" t="n">
        <v>169.33</v>
      </c>
      <c r="R54" s="4" t="n">
        <v>5289.9</v>
      </c>
      <c r="S54" s="4" t="n">
        <v>7494.51</v>
      </c>
      <c r="T54" s="6" t="n">
        <f aca="false">IFERROR(R54/S54-1,"")</f>
        <v>-0.294163327555771</v>
      </c>
      <c r="U54" s="7" t="n">
        <v>889</v>
      </c>
      <c r="V54" s="8" t="n">
        <v>0.0985</v>
      </c>
      <c r="W54" s="4" t="n">
        <f aca="false">R54*K54</f>
        <v>911.222462383796</v>
      </c>
      <c r="X54" s="4" t="n">
        <f aca="false">R54*V54</f>
        <v>521.05515</v>
      </c>
      <c r="Y54" s="4" t="n">
        <f aca="false">X54-W54</f>
        <v>-390.167312383796</v>
      </c>
      <c r="Z54" s="3" t="s">
        <v>86</v>
      </c>
      <c r="AA54" s="3" t="s">
        <v>146</v>
      </c>
    </row>
    <row r="55" customFormat="false" ht="15" hidden="false" customHeight="false" outlineLevel="0" collapsed="false">
      <c r="A55" s="3" t="s">
        <v>144</v>
      </c>
      <c r="B55" s="3" t="s">
        <v>147</v>
      </c>
      <c r="C55" s="3" t="s">
        <v>34</v>
      </c>
      <c r="D55" s="3" t="s">
        <v>30</v>
      </c>
      <c r="E55" s="4" t="n">
        <v>131128.99</v>
      </c>
      <c r="F55" s="5" t="n">
        <f aca="false">IFERROR(E55/规则参数!$B$8,0)</f>
        <v>0.00401308104338199</v>
      </c>
      <c r="G55" s="4" t="n">
        <v>16273.02</v>
      </c>
      <c r="H55" s="5" t="n">
        <f aca="false">IFERROR(G55/规则参数!$B$9,0)</f>
        <v>0.00361694070702576</v>
      </c>
      <c r="I55" s="4" t="n">
        <v>21152.13</v>
      </c>
      <c r="J55" s="5" t="n">
        <f aca="false">IFERROR(I55/规则参数!$B$10,0)</f>
        <v>0.0043687061841595</v>
      </c>
      <c r="K55" s="6" t="n">
        <f aca="false">IFERROR(I55/E55,0)</f>
        <v>0.161307808441139</v>
      </c>
      <c r="L55" s="6" t="n">
        <f aca="false">IFERROR(G55/E55,0)</f>
        <v>0.124099331505566</v>
      </c>
      <c r="M55" s="6" t="n">
        <f aca="false">K55+L55</f>
        <v>0.285407139946704</v>
      </c>
      <c r="N55" s="4" t="n">
        <v>18236.42</v>
      </c>
      <c r="O55" s="4" t="n">
        <v>253.9</v>
      </c>
      <c r="P55" s="4" t="n">
        <v>2297.21</v>
      </c>
      <c r="Q55" s="4" t="n">
        <v>364.6</v>
      </c>
      <c r="R55" s="4" t="n">
        <v>16906.35</v>
      </c>
      <c r="S55" s="4" t="n">
        <v>16892.6</v>
      </c>
      <c r="T55" s="6" t="n">
        <f aca="false">IFERROR(R55/S55-1,"")</f>
        <v>0.000813965878550427</v>
      </c>
      <c r="U55" s="7" t="n">
        <v>173</v>
      </c>
      <c r="V55" s="8" t="n">
        <v>0.1613</v>
      </c>
      <c r="W55" s="4" t="n">
        <f aca="false">R55*K55</f>
        <v>2727.12626723885</v>
      </c>
      <c r="X55" s="4" t="n">
        <f aca="false">R55*V55</f>
        <v>2726.994255</v>
      </c>
      <c r="Y55" s="4" t="n">
        <f aca="false">X55-W55</f>
        <v>-0.132012238846983</v>
      </c>
      <c r="Z55" s="3"/>
      <c r="AA55" s="3" t="s">
        <v>31</v>
      </c>
    </row>
    <row r="56" customFormat="false" ht="15" hidden="false" customHeight="false" outlineLevel="0" collapsed="false">
      <c r="A56" s="3" t="s">
        <v>148</v>
      </c>
      <c r="B56" s="3" t="s">
        <v>149</v>
      </c>
      <c r="C56" s="3" t="s">
        <v>34</v>
      </c>
      <c r="D56" s="3" t="s">
        <v>30</v>
      </c>
      <c r="E56" s="4" t="n">
        <v>159128.32</v>
      </c>
      <c r="F56" s="5" t="n">
        <f aca="false">IFERROR(E56/规则参数!$B$8,0)</f>
        <v>0.00486997455297432</v>
      </c>
      <c r="G56" s="4" t="n">
        <v>22147.03</v>
      </c>
      <c r="H56" s="5" t="n">
        <f aca="false">IFERROR(G56/规则参数!$B$9,0)</f>
        <v>0.00492253400700796</v>
      </c>
      <c r="I56" s="4" t="n">
        <v>20926.16</v>
      </c>
      <c r="J56" s="5" t="n">
        <f aca="false">IFERROR(I56/规则参数!$B$10,0)</f>
        <v>0.0043220349252161</v>
      </c>
      <c r="K56" s="6" t="n">
        <f aca="false">IFERROR(I56/E56,0)</f>
        <v>0.131504938907166</v>
      </c>
      <c r="L56" s="6" t="n">
        <f aca="false">IFERROR(G56/E56,0)</f>
        <v>0.139177174748027</v>
      </c>
      <c r="M56" s="6" t="n">
        <f aca="false">K56+L56</f>
        <v>0.270682113655193</v>
      </c>
      <c r="N56" s="4" t="n">
        <v>20321.77</v>
      </c>
      <c r="O56" s="4" t="n">
        <v>28.25</v>
      </c>
      <c r="P56" s="4" t="n">
        <v>0.02</v>
      </c>
      <c r="Q56" s="4" t="n">
        <v>576.12</v>
      </c>
      <c r="R56" s="4" t="n">
        <v>12799.84</v>
      </c>
      <c r="S56" s="4" t="n">
        <v>5299.94</v>
      </c>
      <c r="T56" s="6" t="n">
        <f aca="false">IFERROR(R56/S56-1,"")</f>
        <v>1.41509149160179</v>
      </c>
      <c r="U56" s="7" t="n">
        <v>29</v>
      </c>
      <c r="V56" s="8" t="n">
        <v>0.1315</v>
      </c>
      <c r="W56" s="4" t="n">
        <f aca="false">R56*K56</f>
        <v>1683.2421772215</v>
      </c>
      <c r="X56" s="4" t="n">
        <f aca="false">R56*V56</f>
        <v>1683.17896</v>
      </c>
      <c r="Y56" s="4" t="n">
        <f aca="false">X56-W56</f>
        <v>-0.0632172215025548</v>
      </c>
      <c r="Z56" s="3"/>
      <c r="AA56" s="3" t="s">
        <v>31</v>
      </c>
    </row>
    <row r="57" customFormat="false" ht="15" hidden="false" customHeight="false" outlineLevel="0" collapsed="false">
      <c r="A57" s="3" t="s">
        <v>50</v>
      </c>
      <c r="B57" s="3" t="s">
        <v>150</v>
      </c>
      <c r="C57" s="3" t="s">
        <v>34</v>
      </c>
      <c r="D57" s="3" t="s">
        <v>30</v>
      </c>
      <c r="E57" s="4" t="n">
        <v>187381.97</v>
      </c>
      <c r="F57" s="5" t="n">
        <f aca="false">IFERROR(E57/规则参数!$B$8,0)</f>
        <v>0.00573465129014243</v>
      </c>
      <c r="G57" s="4" t="n">
        <v>25911.15</v>
      </c>
      <c r="H57" s="5" t="n">
        <f aca="false">IFERROR(G57/规则参数!$B$9,0)</f>
        <v>0.00575917028313432</v>
      </c>
      <c r="I57" s="4" t="n">
        <v>20502.67</v>
      </c>
      <c r="J57" s="5" t="n">
        <f aca="false">IFERROR(I57/规则参数!$B$10,0)</f>
        <v>0.00423456839669487</v>
      </c>
      <c r="K57" s="6" t="n">
        <f aca="false">IFERROR(I57/E57,0)</f>
        <v>0.109416450259329</v>
      </c>
      <c r="L57" s="6" t="n">
        <f aca="false">IFERROR(G57/E57,0)</f>
        <v>0.138279846241343</v>
      </c>
      <c r="M57" s="6" t="n">
        <f aca="false">K57+L57</f>
        <v>0.247696296500672</v>
      </c>
      <c r="N57" s="4" t="n">
        <v>20337.59</v>
      </c>
      <c r="O57" s="4" t="n">
        <v>49.06</v>
      </c>
      <c r="P57" s="4" t="n">
        <v>116.01</v>
      </c>
      <c r="Q57" s="4" t="n">
        <v>0.01</v>
      </c>
      <c r="R57" s="4" t="n">
        <v>10088.61</v>
      </c>
      <c r="S57" s="4" t="n">
        <v>5736.53</v>
      </c>
      <c r="T57" s="6" t="n">
        <f aca="false">IFERROR(R57/S57-1,"")</f>
        <v>0.758660723468717</v>
      </c>
      <c r="U57" s="7" t="n">
        <v>1022</v>
      </c>
      <c r="V57" s="8" t="n">
        <v>0.1094</v>
      </c>
      <c r="W57" s="4" t="n">
        <f aca="false">R57*K57</f>
        <v>1103.85989425077</v>
      </c>
      <c r="X57" s="4" t="n">
        <f aca="false">R57*V57</f>
        <v>1103.693934</v>
      </c>
      <c r="Y57" s="4" t="n">
        <f aca="false">X57-W57</f>
        <v>-0.165960250764783</v>
      </c>
      <c r="Z57" s="3"/>
      <c r="AA57" s="3" t="s">
        <v>31</v>
      </c>
    </row>
    <row r="58" customFormat="false" ht="15" hidden="false" customHeight="false" outlineLevel="0" collapsed="false">
      <c r="A58" s="3" t="s">
        <v>67</v>
      </c>
      <c r="B58" s="3" t="s">
        <v>151</v>
      </c>
      <c r="C58" s="3" t="s">
        <v>29</v>
      </c>
      <c r="D58" s="3" t="s">
        <v>46</v>
      </c>
      <c r="E58" s="4" t="n">
        <v>102130.96</v>
      </c>
      <c r="F58" s="5" t="n">
        <f aca="false">IFERROR(E58/规则参数!$B$8,0)</f>
        <v>0.00312562324714317</v>
      </c>
      <c r="G58" s="4" t="n">
        <v>18002.25</v>
      </c>
      <c r="H58" s="5" t="n">
        <f aca="false">IFERROR(G58/规则参数!$B$9,0)</f>
        <v>0.00400128991687188</v>
      </c>
      <c r="I58" s="4" t="n">
        <v>20423.83</v>
      </c>
      <c r="J58" s="5" t="n">
        <f aca="false">IFERROR(I58/规则参数!$B$10,0)</f>
        <v>0.00421828498714892</v>
      </c>
      <c r="K58" s="6" t="n">
        <f aca="false">IFERROR(I58/E58,0)</f>
        <v>0.199976872830726</v>
      </c>
      <c r="L58" s="6" t="n">
        <f aca="false">IFERROR(G58/E58,0)</f>
        <v>0.17626633490961</v>
      </c>
      <c r="M58" s="6" t="n">
        <f aca="false">K58+L58</f>
        <v>0.376243207740337</v>
      </c>
      <c r="N58" s="4" t="n">
        <v>14823.39</v>
      </c>
      <c r="O58" s="4" t="n">
        <v>1484.87</v>
      </c>
      <c r="P58" s="4" t="n">
        <v>2969.54</v>
      </c>
      <c r="Q58" s="4" t="n">
        <v>1146.03</v>
      </c>
      <c r="R58" s="4" t="n">
        <v>1024.3</v>
      </c>
      <c r="S58" s="4" t="n">
        <v>7384.03</v>
      </c>
      <c r="T58" s="6" t="n">
        <f aca="false">IFERROR(R58/S58-1,"")</f>
        <v>-0.861281712019047</v>
      </c>
      <c r="U58" s="7" t="n">
        <v>28</v>
      </c>
      <c r="V58" s="8" t="n">
        <v>0.15</v>
      </c>
      <c r="W58" s="4" t="n">
        <f aca="false">R58*K58</f>
        <v>204.836310840513</v>
      </c>
      <c r="X58" s="4" t="n">
        <f aca="false">R58*V58</f>
        <v>153.645</v>
      </c>
      <c r="Y58" s="4" t="n">
        <f aca="false">X58-W58</f>
        <v>-51.191310840513</v>
      </c>
      <c r="Z58" s="3" t="s">
        <v>47</v>
      </c>
      <c r="AA58" s="3" t="s">
        <v>152</v>
      </c>
    </row>
    <row r="59" customFormat="false" ht="15" hidden="false" customHeight="false" outlineLevel="0" collapsed="false">
      <c r="A59" s="3" t="s">
        <v>134</v>
      </c>
      <c r="B59" s="3" t="s">
        <v>153</v>
      </c>
      <c r="C59" s="3" t="s">
        <v>29</v>
      </c>
      <c r="D59" s="3" t="s">
        <v>85</v>
      </c>
      <c r="E59" s="4" t="n">
        <v>102967.04</v>
      </c>
      <c r="F59" s="5" t="n">
        <f aca="false">IFERROR(E59/规则参数!$B$8,0)</f>
        <v>0.00315121069961078</v>
      </c>
      <c r="G59" s="4" t="n">
        <v>-7949.27</v>
      </c>
      <c r="H59" s="5" t="n">
        <f aca="false">IFERROR(G59/规则参数!$B$9,0)</f>
        <v>-0.00176685324876013</v>
      </c>
      <c r="I59" s="4" t="n">
        <v>19469.1</v>
      </c>
      <c r="J59" s="5" t="n">
        <f aca="false">IFERROR(I59/规则参数!$B$10,0)</f>
        <v>0.00402109752398551</v>
      </c>
      <c r="K59" s="6" t="n">
        <f aca="false">IFERROR(I59/E59,0)</f>
        <v>0.18908089423567</v>
      </c>
      <c r="L59" s="6" t="n">
        <f aca="false">IFERROR(G59/E59,0)</f>
        <v>-0.0772020833074351</v>
      </c>
      <c r="M59" s="6" t="n">
        <f aca="false">K59+L59</f>
        <v>0.111878810928235</v>
      </c>
      <c r="N59" s="4" t="n">
        <v>13782.43</v>
      </c>
      <c r="O59" s="4" t="n">
        <v>1691.33</v>
      </c>
      <c r="P59" s="4" t="n">
        <v>3731.09</v>
      </c>
      <c r="Q59" s="4" t="n">
        <v>264.25</v>
      </c>
      <c r="R59" s="4" t="n">
        <v>3873.18</v>
      </c>
      <c r="S59" s="4" t="n">
        <v>7943.16</v>
      </c>
      <c r="T59" s="6" t="n">
        <f aca="false">IFERROR(R59/S59-1,"")</f>
        <v>-0.512388016859789</v>
      </c>
      <c r="U59" s="7" t="n">
        <v>23</v>
      </c>
      <c r="V59" s="8" t="n">
        <v>0.0619</v>
      </c>
      <c r="W59" s="4" t="n">
        <f aca="false">R59*K59</f>
        <v>732.344337935712</v>
      </c>
      <c r="X59" s="4" t="n">
        <f aca="false">R59*V59</f>
        <v>239.749842</v>
      </c>
      <c r="Y59" s="4" t="n">
        <f aca="false">X59-W59</f>
        <v>-492.594495935712</v>
      </c>
      <c r="Z59" s="3" t="s">
        <v>86</v>
      </c>
      <c r="AA59" s="3" t="s">
        <v>154</v>
      </c>
    </row>
    <row r="60" customFormat="false" ht="15" hidden="false" customHeight="false" outlineLevel="0" collapsed="false">
      <c r="A60" s="3" t="s">
        <v>39</v>
      </c>
      <c r="B60" s="3" t="s">
        <v>155</v>
      </c>
      <c r="C60" s="3" t="s">
        <v>96</v>
      </c>
      <c r="D60" s="3" t="s">
        <v>85</v>
      </c>
      <c r="E60" s="4" t="n">
        <v>44858.96</v>
      </c>
      <c r="F60" s="5" t="n">
        <f aca="false">IFERROR(E60/规则参数!$B$8,0)</f>
        <v>0.00137286683899442</v>
      </c>
      <c r="G60" s="4" t="n">
        <v>-12963.6</v>
      </c>
      <c r="H60" s="5" t="n">
        <f aca="false">IFERROR(G60/规则参数!$B$9,0)</f>
        <v>-0.00288136882702775</v>
      </c>
      <c r="I60" s="4" t="n">
        <v>19101.62</v>
      </c>
      <c r="J60" s="5" t="n">
        <f aca="false">IFERROR(I60/规则参数!$B$10,0)</f>
        <v>0.00394519915589895</v>
      </c>
      <c r="K60" s="6" t="n">
        <f aca="false">IFERROR(I60/E60,0)</f>
        <v>0.425815043416076</v>
      </c>
      <c r="L60" s="6" t="n">
        <f aca="false">IFERROR(G60/E60,0)</f>
        <v>-0.288985745545595</v>
      </c>
      <c r="M60" s="6" t="n">
        <f aca="false">K60+L60</f>
        <v>0.136829297870481</v>
      </c>
      <c r="N60" s="4" t="n">
        <v>17830.62</v>
      </c>
      <c r="O60" s="4" t="n">
        <v>59.44</v>
      </c>
      <c r="P60" s="4" t="n">
        <v>1211.56</v>
      </c>
      <c r="Q60" s="4" t="n">
        <v>0</v>
      </c>
      <c r="R60" s="4" t="n">
        <v>15887.8</v>
      </c>
      <c r="S60" s="4" t="n">
        <v>7591.29</v>
      </c>
      <c r="T60" s="6" t="n">
        <f aca="false">IFERROR(R60/S60-1,"")</f>
        <v>1.09289857191597</v>
      </c>
      <c r="U60" s="7" t="n">
        <v>3412</v>
      </c>
      <c r="V60" s="8" t="n">
        <v>0.1368</v>
      </c>
      <c r="W60" s="4" t="n">
        <f aca="false">R60*K60</f>
        <v>6765.26424678593</v>
      </c>
      <c r="X60" s="4" t="n">
        <f aca="false">R60*V60</f>
        <v>2173.45104</v>
      </c>
      <c r="Y60" s="4" t="n">
        <f aca="false">X60-W60</f>
        <v>-4591.81320678593</v>
      </c>
      <c r="Z60" s="3" t="s">
        <v>156</v>
      </c>
      <c r="AA60" s="3" t="s">
        <v>157</v>
      </c>
    </row>
    <row r="61" customFormat="false" ht="15" hidden="false" customHeight="false" outlineLevel="0" collapsed="false">
      <c r="A61" s="3" t="s">
        <v>141</v>
      </c>
      <c r="B61" s="3" t="s">
        <v>158</v>
      </c>
      <c r="C61" s="3" t="s">
        <v>34</v>
      </c>
      <c r="D61" s="3" t="s">
        <v>138</v>
      </c>
      <c r="E61" s="4" t="n">
        <v>58510.01</v>
      </c>
      <c r="F61" s="5" t="n">
        <f aca="false">IFERROR(E61/规则参数!$B$8,0)</f>
        <v>0.00179064455525121</v>
      </c>
      <c r="G61" s="4" t="n">
        <v>230.88</v>
      </c>
      <c r="H61" s="5" t="n">
        <f aca="false">IFERROR(G61/规则参数!$B$9,0)</f>
        <v>5.13167974007349E-005</v>
      </c>
      <c r="I61" s="4" t="n">
        <v>19003.31</v>
      </c>
      <c r="J61" s="5" t="n">
        <f aca="false">IFERROR(I61/规则参数!$B$10,0)</f>
        <v>0.00392489446294534</v>
      </c>
      <c r="K61" s="6" t="n">
        <f aca="false">IFERROR(I61/E61,0)</f>
        <v>0.324787331261779</v>
      </c>
      <c r="L61" s="6" t="n">
        <f aca="false">IFERROR(G61/E61,0)</f>
        <v>0.00394599146368288</v>
      </c>
      <c r="M61" s="6" t="n">
        <f aca="false">K61+L61</f>
        <v>0.328733322725462</v>
      </c>
      <c r="N61" s="4" t="n">
        <v>17797.04</v>
      </c>
      <c r="O61" s="4" t="n">
        <v>-70.34</v>
      </c>
      <c r="P61" s="4" t="n">
        <v>1254.58</v>
      </c>
      <c r="Q61" s="4" t="n">
        <v>22.03</v>
      </c>
      <c r="R61" s="4" t="n">
        <v>5777.11</v>
      </c>
      <c r="S61" s="4" t="n">
        <v>4114.39</v>
      </c>
      <c r="T61" s="6" t="n">
        <f aca="false">IFERROR(R61/S61-1,"")</f>
        <v>0.404123089935567</v>
      </c>
      <c r="U61" s="7" t="n">
        <v>259</v>
      </c>
      <c r="V61" s="8" t="n">
        <v>0.18</v>
      </c>
      <c r="W61" s="4" t="n">
        <f aca="false">R61*K61</f>
        <v>1876.33213930574</v>
      </c>
      <c r="X61" s="4" t="n">
        <f aca="false">R61*V61</f>
        <v>1039.8798</v>
      </c>
      <c r="Y61" s="4" t="n">
        <f aca="false">X61-W61</f>
        <v>-836.452339305736</v>
      </c>
      <c r="Z61" s="3" t="s">
        <v>139</v>
      </c>
      <c r="AA61" s="3" t="s">
        <v>159</v>
      </c>
    </row>
    <row r="62" customFormat="false" ht="15" hidden="false" customHeight="false" outlineLevel="0" collapsed="false">
      <c r="A62" s="3" t="s">
        <v>160</v>
      </c>
      <c r="B62" s="3" t="s">
        <v>161</v>
      </c>
      <c r="C62" s="3" t="s">
        <v>34</v>
      </c>
      <c r="D62" s="3" t="s">
        <v>56</v>
      </c>
      <c r="E62" s="4" t="n">
        <v>164879.1</v>
      </c>
      <c r="F62" s="5" t="n">
        <f aca="false">IFERROR(E62/规则参数!$B$8,0)</f>
        <v>0.00504597183780554</v>
      </c>
      <c r="G62" s="4" t="n">
        <v>27998.83</v>
      </c>
      <c r="H62" s="5" t="n">
        <f aca="false">IFERROR(G62/规则参数!$B$9,0)</f>
        <v>0.00622319077688677</v>
      </c>
      <c r="I62" s="4" t="n">
        <v>18842.87</v>
      </c>
      <c r="J62" s="5" t="n">
        <f aca="false">IFERROR(I62/规则参数!$B$10,0)</f>
        <v>0.00389175760059689</v>
      </c>
      <c r="K62" s="6" t="n">
        <f aca="false">IFERROR(I62/E62,0)</f>
        <v>0.114282950355746</v>
      </c>
      <c r="L62" s="6" t="n">
        <f aca="false">IFERROR(G62/E62,0)</f>
        <v>0.169814306361449</v>
      </c>
      <c r="M62" s="6" t="n">
        <f aca="false">K62+L62</f>
        <v>0.284097256717195</v>
      </c>
      <c r="N62" s="4" t="n">
        <v>15298.96</v>
      </c>
      <c r="O62" s="4" t="n">
        <v>1587.96</v>
      </c>
      <c r="P62" s="4" t="n">
        <v>1916.61</v>
      </c>
      <c r="Q62" s="4" t="n">
        <v>39.34</v>
      </c>
      <c r="R62" s="4" t="n">
        <v>12218.56</v>
      </c>
      <c r="S62" s="4" t="n">
        <v>14113.78</v>
      </c>
      <c r="T62" s="6" t="n">
        <f aca="false">IFERROR(R62/S62-1,"")</f>
        <v>-0.134281531949627</v>
      </c>
      <c r="U62" s="7" t="n">
        <v>469</v>
      </c>
      <c r="V62" s="8" t="n">
        <v>0.1486</v>
      </c>
      <c r="W62" s="4" t="n">
        <f aca="false">R62*K62</f>
        <v>1396.3730858987</v>
      </c>
      <c r="X62" s="4" t="n">
        <f aca="false">R62*V62</f>
        <v>1815.678016</v>
      </c>
      <c r="Y62" s="4" t="n">
        <f aca="false">X62-W62</f>
        <v>419.304930101303</v>
      </c>
      <c r="Z62" s="3" t="s">
        <v>57</v>
      </c>
      <c r="AA62" s="3" t="s">
        <v>162</v>
      </c>
    </row>
    <row r="63" customFormat="false" ht="15" hidden="false" customHeight="false" outlineLevel="0" collapsed="false">
      <c r="A63" s="3" t="s">
        <v>163</v>
      </c>
      <c r="B63" s="3" t="s">
        <v>164</v>
      </c>
      <c r="C63" s="3" t="s">
        <v>34</v>
      </c>
      <c r="D63" s="3" t="s">
        <v>46</v>
      </c>
      <c r="E63" s="4" t="n">
        <v>137287.78</v>
      </c>
      <c r="F63" s="5" t="n">
        <f aca="false">IFERROR(E63/规则参数!$B$8,0)</f>
        <v>0.00420156509560546</v>
      </c>
      <c r="G63" s="4" t="n">
        <v>17043.6</v>
      </c>
      <c r="H63" s="5" t="n">
        <f aca="false">IFERROR(G63/规则参数!$B$9,0)</f>
        <v>0.00378821451914053</v>
      </c>
      <c r="I63" s="4" t="n">
        <v>18119.99</v>
      </c>
      <c r="J63" s="5" t="n">
        <f aca="false">IFERROR(I63/规则参数!$B$10,0)</f>
        <v>0.00374245583635824</v>
      </c>
      <c r="K63" s="6" t="n">
        <f aca="false">IFERROR(I63/E63,0)</f>
        <v>0.1319854542043</v>
      </c>
      <c r="L63" s="6" t="n">
        <f aca="false">IFERROR(G63/E63,0)</f>
        <v>0.124145062291779</v>
      </c>
      <c r="M63" s="6" t="n">
        <f aca="false">K63+L63</f>
        <v>0.256130516496079</v>
      </c>
      <c r="N63" s="4" t="n">
        <v>15986.64</v>
      </c>
      <c r="O63" s="4" t="n">
        <v>18.45</v>
      </c>
      <c r="P63" s="4" t="n">
        <v>2111.52</v>
      </c>
      <c r="Q63" s="4" t="n">
        <v>3.38</v>
      </c>
      <c r="R63" s="4" t="n">
        <v>14184.69</v>
      </c>
      <c r="S63" s="4" t="n">
        <v>21273.37</v>
      </c>
      <c r="T63" s="6" t="n">
        <f aca="false">IFERROR(R63/S63-1,"")</f>
        <v>-0.33321847925364</v>
      </c>
      <c r="U63" s="7" t="n">
        <v>315</v>
      </c>
      <c r="V63" s="8" t="n">
        <v>0.132</v>
      </c>
      <c r="W63" s="4" t="n">
        <f aca="false">R63*K63</f>
        <v>1872.17275239719</v>
      </c>
      <c r="X63" s="4" t="n">
        <f aca="false">R63*V63</f>
        <v>1872.37908</v>
      </c>
      <c r="Y63" s="4" t="n">
        <f aca="false">X63-W63</f>
        <v>0.206327602809097</v>
      </c>
      <c r="Z63" s="3" t="s">
        <v>47</v>
      </c>
      <c r="AA63" s="3" t="s">
        <v>165</v>
      </c>
    </row>
    <row r="64" customFormat="false" ht="15" hidden="false" customHeight="false" outlineLevel="0" collapsed="false">
      <c r="A64" s="3" t="s">
        <v>39</v>
      </c>
      <c r="B64" s="3" t="s">
        <v>166</v>
      </c>
      <c r="C64" s="3" t="s">
        <v>34</v>
      </c>
      <c r="D64" s="3" t="s">
        <v>30</v>
      </c>
      <c r="E64" s="4" t="n">
        <v>124072.66</v>
      </c>
      <c r="F64" s="5" t="n">
        <f aca="false">IFERROR(E64/规则参数!$B$8,0)</f>
        <v>0.00379712861242948</v>
      </c>
      <c r="G64" s="4" t="n">
        <v>22428.05</v>
      </c>
      <c r="H64" s="5" t="n">
        <f aca="false">IFERROR(G64/规则参数!$B$9,0)</f>
        <v>0.00498499522671324</v>
      </c>
      <c r="I64" s="4" t="n">
        <v>17948.23</v>
      </c>
      <c r="J64" s="5" t="n">
        <f aca="false">IFERROR(I64/规则参数!$B$10,0)</f>
        <v>0.00370698097050827</v>
      </c>
      <c r="K64" s="6" t="n">
        <f aca="false">IFERROR(I64/E64,0)</f>
        <v>0.144659024800468</v>
      </c>
      <c r="L64" s="6" t="n">
        <f aca="false">IFERROR(G64/E64,0)</f>
        <v>0.180765448246213</v>
      </c>
      <c r="M64" s="6" t="n">
        <f aca="false">K64+L64</f>
        <v>0.325424473046681</v>
      </c>
      <c r="N64" s="4" t="n">
        <v>16229.43</v>
      </c>
      <c r="O64" s="4" t="n">
        <v>594.85</v>
      </c>
      <c r="P64" s="4" t="n">
        <v>1123.95</v>
      </c>
      <c r="Q64" s="4" t="n">
        <v>0</v>
      </c>
      <c r="R64" s="4" t="n">
        <v>13576.35</v>
      </c>
      <c r="S64" s="4" t="n">
        <v>10444.01</v>
      </c>
      <c r="T64" s="6" t="n">
        <f aca="false">IFERROR(R64/S64-1,"")</f>
        <v>0.299917368903323</v>
      </c>
      <c r="U64" s="7" t="n">
        <v>1823</v>
      </c>
      <c r="V64" s="8" t="n">
        <v>0.1447</v>
      </c>
      <c r="W64" s="4" t="n">
        <f aca="false">R64*K64</f>
        <v>1963.94155134983</v>
      </c>
      <c r="X64" s="4" t="n">
        <f aca="false">R64*V64</f>
        <v>1964.497845</v>
      </c>
      <c r="Y64" s="4" t="n">
        <f aca="false">X64-W64</f>
        <v>0.556293650170119</v>
      </c>
      <c r="Z64" s="3"/>
      <c r="AA64" s="3" t="s">
        <v>31</v>
      </c>
    </row>
    <row r="65" customFormat="false" ht="15" hidden="false" customHeight="false" outlineLevel="0" collapsed="false">
      <c r="A65" s="3" t="s">
        <v>92</v>
      </c>
      <c r="B65" s="3" t="s">
        <v>167</v>
      </c>
      <c r="C65" s="3" t="s">
        <v>29</v>
      </c>
      <c r="D65" s="3" t="s">
        <v>85</v>
      </c>
      <c r="E65" s="4" t="n">
        <v>101077.64</v>
      </c>
      <c r="F65" s="5" t="n">
        <f aca="false">IFERROR(E65/规则参数!$B$8,0)</f>
        <v>0.00309338736608731</v>
      </c>
      <c r="G65" s="4" t="n">
        <v>-14514.06</v>
      </c>
      <c r="H65" s="5" t="n">
        <f aca="false">IFERROR(G65/规则参数!$B$9,0)</f>
        <v>-0.00322598352599666</v>
      </c>
      <c r="I65" s="4" t="n">
        <v>17279.52</v>
      </c>
      <c r="J65" s="5" t="n">
        <f aca="false">IFERROR(I65/规则参数!$B$10,0)</f>
        <v>0.00356886733786658</v>
      </c>
      <c r="K65" s="6" t="n">
        <f aca="false">IFERROR(I65/E65,0)</f>
        <v>0.170952942708199</v>
      </c>
      <c r="L65" s="6" t="n">
        <f aca="false">IFERROR(G65/E65,0)</f>
        <v>-0.143593182428873</v>
      </c>
      <c r="M65" s="6" t="n">
        <f aca="false">K65+L65</f>
        <v>0.0273597602793259</v>
      </c>
      <c r="N65" s="4" t="n">
        <v>14256.67</v>
      </c>
      <c r="O65" s="4" t="n">
        <v>1291.27</v>
      </c>
      <c r="P65" s="4" t="n">
        <v>1517.83</v>
      </c>
      <c r="Q65" s="4" t="n">
        <v>213.75</v>
      </c>
      <c r="R65" s="4" t="n">
        <v>5181.8</v>
      </c>
      <c r="S65" s="4" t="n">
        <v>6256.34</v>
      </c>
      <c r="T65" s="6" t="n">
        <f aca="false">IFERROR(R65/S65-1,"")</f>
        <v>-0.171752174594092</v>
      </c>
      <c r="U65" s="7" t="n">
        <v>431</v>
      </c>
      <c r="V65" s="8" t="n">
        <v>0</v>
      </c>
      <c r="W65" s="4" t="n">
        <f aca="false">R65*K65</f>
        <v>885.843958525348</v>
      </c>
      <c r="X65" s="4" t="n">
        <f aca="false">R65*V65</f>
        <v>0</v>
      </c>
      <c r="Y65" s="4" t="n">
        <f aca="false">X65-W65</f>
        <v>-885.843958525348</v>
      </c>
      <c r="Z65" s="3" t="s">
        <v>86</v>
      </c>
      <c r="AA65" s="3" t="s">
        <v>168</v>
      </c>
    </row>
    <row r="66" customFormat="false" ht="15" hidden="false" customHeight="false" outlineLevel="0" collapsed="false">
      <c r="A66" s="3" t="s">
        <v>169</v>
      </c>
      <c r="B66" s="3" t="s">
        <v>170</v>
      </c>
      <c r="C66" s="3" t="s">
        <v>29</v>
      </c>
      <c r="D66" s="3" t="s">
        <v>30</v>
      </c>
      <c r="E66" s="4" t="n">
        <v>88913.59</v>
      </c>
      <c r="F66" s="5" t="n">
        <f aca="false">IFERROR(E66/规则参数!$B$8,0)</f>
        <v>0.00272111790480533</v>
      </c>
      <c r="G66" s="4" t="n">
        <v>11902.57</v>
      </c>
      <c r="H66" s="5" t="n">
        <f aca="false">IFERROR(G66/规则参数!$B$9,0)</f>
        <v>0.00264553782587519</v>
      </c>
      <c r="I66" s="4" t="n">
        <v>17009.34</v>
      </c>
      <c r="J66" s="5" t="n">
        <f aca="false">IFERROR(I66/规则参数!$B$10,0)</f>
        <v>0.0035130650599477</v>
      </c>
      <c r="K66" s="6" t="n">
        <f aca="false">IFERROR(I66/E66,0)</f>
        <v>0.19130191458921</v>
      </c>
      <c r="L66" s="6" t="n">
        <f aca="false">IFERROR(G66/E66,0)</f>
        <v>0.133866712613899</v>
      </c>
      <c r="M66" s="6" t="n">
        <f aca="false">K66+L66</f>
        <v>0.325168627203108</v>
      </c>
      <c r="N66" s="4" t="n">
        <v>14244.09</v>
      </c>
      <c r="O66" s="4" t="n">
        <v>282.2</v>
      </c>
      <c r="P66" s="4" t="n">
        <v>2483.05</v>
      </c>
      <c r="Q66" s="4" t="n">
        <v>0</v>
      </c>
      <c r="R66" s="4" t="n">
        <v>14960.15</v>
      </c>
      <c r="S66" s="4" t="n">
        <v>13568.9</v>
      </c>
      <c r="T66" s="6" t="n">
        <f aca="false">IFERROR(R66/S66-1,"")</f>
        <v>0.102532261273943</v>
      </c>
      <c r="U66" s="7" t="n">
        <v>160</v>
      </c>
      <c r="V66" s="8" t="n">
        <v>0.15</v>
      </c>
      <c r="W66" s="4" t="n">
        <f aca="false">R66*K66</f>
        <v>2861.90533754176</v>
      </c>
      <c r="X66" s="4" t="n">
        <f aca="false">R66*V66</f>
        <v>2244.0225</v>
      </c>
      <c r="Y66" s="4" t="n">
        <f aca="false">X66-W66</f>
        <v>-617.882837541764</v>
      </c>
      <c r="Z66" s="3"/>
      <c r="AA66" s="3" t="s">
        <v>31</v>
      </c>
    </row>
    <row r="67" customFormat="false" ht="15" hidden="false" customHeight="false" outlineLevel="0" collapsed="false">
      <c r="A67" s="3" t="s">
        <v>171</v>
      </c>
      <c r="B67" s="3" t="s">
        <v>172</v>
      </c>
      <c r="C67" s="3" t="s">
        <v>34</v>
      </c>
      <c r="D67" s="3" t="s">
        <v>30</v>
      </c>
      <c r="E67" s="4" t="n">
        <v>108765.98</v>
      </c>
      <c r="F67" s="5" t="n">
        <f aca="false">IFERROR(E67/规则参数!$B$8,0)</f>
        <v>0.00332868187654664</v>
      </c>
      <c r="G67" s="4" t="n">
        <v>8845.81</v>
      </c>
      <c r="H67" s="5" t="n">
        <f aca="false">IFERROR(G67/规则参数!$B$9,0)</f>
        <v>0.00196612369895788</v>
      </c>
      <c r="I67" s="4" t="n">
        <v>16958</v>
      </c>
      <c r="J67" s="5" t="n">
        <f aca="false">IFERROR(I67/规则参数!$B$10,0)</f>
        <v>0.00350246142922613</v>
      </c>
      <c r="K67" s="6" t="n">
        <f aca="false">IFERROR(I67/E67,0)</f>
        <v>0.155912721974279</v>
      </c>
      <c r="L67" s="6" t="n">
        <f aca="false">IFERROR(G67/E67,0)</f>
        <v>0.0813288309451172</v>
      </c>
      <c r="M67" s="6" t="n">
        <f aca="false">K67+L67</f>
        <v>0.237241552919396</v>
      </c>
      <c r="N67" s="4" t="n">
        <v>14665.16</v>
      </c>
      <c r="O67" s="4" t="n">
        <v>-5.2</v>
      </c>
      <c r="P67" s="4" t="n">
        <v>2298.04</v>
      </c>
      <c r="Q67" s="4" t="n">
        <v>0</v>
      </c>
      <c r="R67" s="4" t="n">
        <v>7159.45</v>
      </c>
      <c r="S67" s="4" t="n">
        <v>8674.7</v>
      </c>
      <c r="T67" s="6" t="n">
        <f aca="false">IFERROR(R67/S67-1,"")</f>
        <v>-0.174674628517413</v>
      </c>
      <c r="U67" s="7" t="n">
        <v>265</v>
      </c>
      <c r="V67" s="8" t="n">
        <v>0.1372</v>
      </c>
      <c r="W67" s="4" t="n">
        <f aca="false">R67*K67</f>
        <v>1116.24933733875</v>
      </c>
      <c r="X67" s="4" t="n">
        <f aca="false">R67*V67</f>
        <v>982.27654</v>
      </c>
      <c r="Y67" s="4" t="n">
        <f aca="false">X67-W67</f>
        <v>-133.972797338753</v>
      </c>
      <c r="Z67" s="3"/>
      <c r="AA67" s="3" t="s">
        <v>31</v>
      </c>
    </row>
    <row r="68" customFormat="false" ht="15" hidden="false" customHeight="false" outlineLevel="0" collapsed="false">
      <c r="A68" s="3" t="s">
        <v>173</v>
      </c>
      <c r="B68" s="3" t="s">
        <v>174</v>
      </c>
      <c r="C68" s="3" t="s">
        <v>96</v>
      </c>
      <c r="D68" s="3" t="s">
        <v>46</v>
      </c>
      <c r="E68" s="4" t="n">
        <v>73748.16</v>
      </c>
      <c r="F68" s="5" t="n">
        <f aca="false">IFERROR(E68/规则参数!$B$8,0)</f>
        <v>0.00225699399408401</v>
      </c>
      <c r="G68" s="4" t="n">
        <v>7169.46</v>
      </c>
      <c r="H68" s="5" t="n">
        <f aca="false">IFERROR(G68/规则参数!$B$9,0)</f>
        <v>0.00159352792053306</v>
      </c>
      <c r="I68" s="4" t="n">
        <v>16028.59</v>
      </c>
      <c r="J68" s="5" t="n">
        <f aca="false">IFERROR(I68/规则参数!$B$10,0)</f>
        <v>0.00331050349332938</v>
      </c>
      <c r="K68" s="6" t="n">
        <f aca="false">IFERROR(I68/E68,0)</f>
        <v>0.217342236063923</v>
      </c>
      <c r="L68" s="6" t="n">
        <f aca="false">IFERROR(G68/E68,0)</f>
        <v>0.0972154423920543</v>
      </c>
      <c r="M68" s="6" t="n">
        <f aca="false">K68+L68</f>
        <v>0.314557678455978</v>
      </c>
      <c r="N68" s="4" t="n">
        <v>15931.25</v>
      </c>
      <c r="O68" s="4" t="n">
        <v>-5.5</v>
      </c>
      <c r="P68" s="4" t="n">
        <v>-0.09</v>
      </c>
      <c r="Q68" s="4" t="n">
        <v>102.93</v>
      </c>
      <c r="R68" s="4" t="n">
        <v>13141.8</v>
      </c>
      <c r="S68" s="4" t="n">
        <v>12141.49</v>
      </c>
      <c r="T68" s="6" t="n">
        <f aca="false">IFERROR(R68/S68-1,"")</f>
        <v>0.0823877464792213</v>
      </c>
      <c r="U68" s="7" t="n">
        <v>391</v>
      </c>
      <c r="V68" s="8" t="n">
        <v>0.2173</v>
      </c>
      <c r="W68" s="4" t="n">
        <f aca="false">R68*K68</f>
        <v>2856.26819790487</v>
      </c>
      <c r="X68" s="4" t="n">
        <f aca="false">R68*V68</f>
        <v>2855.71314</v>
      </c>
      <c r="Y68" s="4" t="n">
        <f aca="false">X68-W68</f>
        <v>-0.5550579048695</v>
      </c>
      <c r="Z68" s="3" t="s">
        <v>69</v>
      </c>
      <c r="AA68" s="3" t="s">
        <v>175</v>
      </c>
    </row>
    <row r="69" customFormat="false" ht="15" hidden="false" customHeight="false" outlineLevel="0" collapsed="false">
      <c r="A69" s="3" t="s">
        <v>53</v>
      </c>
      <c r="B69" s="9" t="s">
        <v>176</v>
      </c>
      <c r="C69" s="3" t="s">
        <v>96</v>
      </c>
      <c r="D69" s="3" t="s">
        <v>46</v>
      </c>
      <c r="E69" s="4" t="n">
        <v>72216.8</v>
      </c>
      <c r="F69" s="5" t="n">
        <f aca="false">IFERROR(E69/规则参数!$B$8,0)</f>
        <v>0.00221012814247794</v>
      </c>
      <c r="G69" s="4" t="n">
        <v>2087.06</v>
      </c>
      <c r="H69" s="5" t="n">
        <f aca="false">IFERROR(G69/规则参数!$B$9,0)</f>
        <v>0.000463882688769827</v>
      </c>
      <c r="I69" s="4" t="n">
        <v>15684.07</v>
      </c>
      <c r="J69" s="5" t="n">
        <f aca="false">IFERROR(I69/规则参数!$B$10,0)</f>
        <v>0.00323934722421763</v>
      </c>
      <c r="K69" s="6" t="n">
        <f aca="false">IFERROR(I69/E69,0)</f>
        <v>0.217180351386381</v>
      </c>
      <c r="L69" s="6" t="n">
        <f aca="false">IFERROR(G69/E69,0)</f>
        <v>0.0288999235634922</v>
      </c>
      <c r="M69" s="6" t="n">
        <f aca="false">K69+L69</f>
        <v>0.246080274949873</v>
      </c>
      <c r="N69" s="4" t="n">
        <v>15600.12</v>
      </c>
      <c r="O69" s="4" t="n">
        <v>33.81</v>
      </c>
      <c r="P69" s="4" t="n">
        <v>50.14</v>
      </c>
      <c r="Q69" s="4" t="n">
        <v>0</v>
      </c>
      <c r="R69" s="4" t="n">
        <v>19963.74</v>
      </c>
      <c r="S69" s="4" t="n">
        <v>16355.89</v>
      </c>
      <c r="T69" s="6" t="n">
        <f aca="false">IFERROR(R69/S69-1,"")</f>
        <v>0.220584144305201</v>
      </c>
      <c r="U69" s="7" t="n">
        <v>3309</v>
      </c>
      <c r="V69" s="8" t="n">
        <v>0.2172</v>
      </c>
      <c r="W69" s="4" t="n">
        <f aca="false">R69*K69</f>
        <v>4335.73206818635</v>
      </c>
      <c r="X69" s="4" t="n">
        <f aca="false">R69*V69</f>
        <v>4336.124328</v>
      </c>
      <c r="Y69" s="4" t="n">
        <f aca="false">X69-W69</f>
        <v>0.392259813650526</v>
      </c>
      <c r="Z69" s="3" t="s">
        <v>103</v>
      </c>
      <c r="AA69" s="3" t="s">
        <v>177</v>
      </c>
    </row>
    <row r="70" customFormat="false" ht="15" hidden="false" customHeight="false" outlineLevel="0" collapsed="false">
      <c r="A70" s="3" t="s">
        <v>78</v>
      </c>
      <c r="B70" s="3" t="s">
        <v>178</v>
      </c>
      <c r="C70" s="3" t="s">
        <v>34</v>
      </c>
      <c r="D70" s="3" t="s">
        <v>30</v>
      </c>
      <c r="E70" s="4" t="n">
        <v>100138.85</v>
      </c>
      <c r="F70" s="5" t="n">
        <f aca="false">IFERROR(E70/规则参数!$B$8,0)</f>
        <v>0.00306465656939074</v>
      </c>
      <c r="G70" s="4" t="n">
        <v>20930.93</v>
      </c>
      <c r="H70" s="5" t="n">
        <f aca="false">IFERROR(G70/规则参数!$B$9,0)</f>
        <v>0.00465223620157209</v>
      </c>
      <c r="I70" s="4" t="n">
        <v>14664.49</v>
      </c>
      <c r="J70" s="5" t="n">
        <f aca="false">IFERROR(I70/规则参数!$B$10,0)</f>
        <v>0.00302876580989929</v>
      </c>
      <c r="K70" s="6" t="n">
        <f aca="false">IFERROR(I70/E70,0)</f>
        <v>0.146441565885768</v>
      </c>
      <c r="L70" s="6" t="n">
        <f aca="false">IFERROR(G70/E70,0)</f>
        <v>0.209019077011569</v>
      </c>
      <c r="M70" s="6" t="n">
        <f aca="false">K70+L70</f>
        <v>0.355460642897337</v>
      </c>
      <c r="N70" s="4" t="n">
        <v>11601.92</v>
      </c>
      <c r="O70" s="4" t="n">
        <v>267.61</v>
      </c>
      <c r="P70" s="4" t="n">
        <v>2794.96</v>
      </c>
      <c r="Q70" s="4" t="n">
        <v>0</v>
      </c>
      <c r="R70" s="4" t="n">
        <v>13318.63</v>
      </c>
      <c r="S70" s="4" t="n">
        <v>8570.3</v>
      </c>
      <c r="T70" s="6" t="n">
        <f aca="false">IFERROR(R70/S70-1,"")</f>
        <v>0.554044782563038</v>
      </c>
      <c r="U70" s="7" t="n">
        <v>192</v>
      </c>
      <c r="V70" s="8" t="n">
        <v>0.1464</v>
      </c>
      <c r="W70" s="4" t="n">
        <f aca="false">R70*K70</f>
        <v>1950.40103265316</v>
      </c>
      <c r="X70" s="4" t="n">
        <f aca="false">R70*V70</f>
        <v>1949.847432</v>
      </c>
      <c r="Y70" s="4" t="n">
        <f aca="false">X70-W70</f>
        <v>-0.553600653160629</v>
      </c>
      <c r="Z70" s="3"/>
      <c r="AA70" s="3" t="s">
        <v>31</v>
      </c>
    </row>
    <row r="71" customFormat="false" ht="15" hidden="false" customHeight="false" outlineLevel="0" collapsed="false">
      <c r="A71" s="3" t="s">
        <v>179</v>
      </c>
      <c r="B71" s="3" t="s">
        <v>180</v>
      </c>
      <c r="C71" s="3" t="s">
        <v>29</v>
      </c>
      <c r="D71" s="3" t="s">
        <v>138</v>
      </c>
      <c r="E71" s="4" t="n">
        <v>114547.05</v>
      </c>
      <c r="F71" s="5" t="n">
        <f aca="false">IFERROR(E71/规则参数!$B$8,0)</f>
        <v>0.00350560615871692</v>
      </c>
      <c r="G71" s="4" t="n">
        <v>4952.67</v>
      </c>
      <c r="H71" s="5" t="n">
        <f aca="false">IFERROR(G71/规则参数!$B$9,0)</f>
        <v>0.00110081065047946</v>
      </c>
      <c r="I71" s="4" t="n">
        <v>14224.5</v>
      </c>
      <c r="J71" s="5" t="n">
        <f aca="false">IFERROR(I71/规则参数!$B$10,0)</f>
        <v>0.00293789141408344</v>
      </c>
      <c r="K71" s="6" t="n">
        <f aca="false">IFERROR(I71/E71,0)</f>
        <v>0.124180413201388</v>
      </c>
      <c r="L71" s="6" t="n">
        <f aca="false">IFERROR(G71/E71,0)</f>
        <v>0.0432369930085498</v>
      </c>
      <c r="M71" s="6" t="n">
        <f aca="false">K71+L71</f>
        <v>0.167417406209937</v>
      </c>
      <c r="N71" s="4" t="n">
        <v>14201.73</v>
      </c>
      <c r="O71" s="4" t="n">
        <v>6.65</v>
      </c>
      <c r="P71" s="4" t="n">
        <v>16.12</v>
      </c>
      <c r="Q71" s="4" t="n">
        <v>0</v>
      </c>
      <c r="R71" s="4" t="n">
        <v>10970.08</v>
      </c>
      <c r="S71" s="4" t="n">
        <v>17337.06</v>
      </c>
      <c r="T71" s="6" t="n">
        <f aca="false">IFERROR(R71/S71-1,"")</f>
        <v>-0.367246811166369</v>
      </c>
      <c r="U71" s="7" t="n">
        <v>22</v>
      </c>
      <c r="V71" s="8" t="n">
        <v>0.1174</v>
      </c>
      <c r="W71" s="4" t="n">
        <f aca="false">R71*K71</f>
        <v>1362.26906725228</v>
      </c>
      <c r="X71" s="4" t="n">
        <f aca="false">R71*V71</f>
        <v>1287.887392</v>
      </c>
      <c r="Y71" s="4" t="n">
        <f aca="false">X71-W71</f>
        <v>-74.3816752522773</v>
      </c>
      <c r="Z71" s="3" t="s">
        <v>139</v>
      </c>
      <c r="AA71" s="3" t="s">
        <v>181</v>
      </c>
    </row>
    <row r="72" customFormat="false" ht="15" hidden="false" customHeight="false" outlineLevel="0" collapsed="false">
      <c r="A72" s="3" t="s">
        <v>182</v>
      </c>
      <c r="B72" s="3" t="s">
        <v>183</v>
      </c>
      <c r="C72" s="3" t="s">
        <v>34</v>
      </c>
      <c r="D72" s="3" t="s">
        <v>30</v>
      </c>
      <c r="E72" s="4" t="n">
        <v>107690.4</v>
      </c>
      <c r="F72" s="5" t="n">
        <f aca="false">IFERROR(E72/规则参数!$B$8,0)</f>
        <v>0.00329576474884939</v>
      </c>
      <c r="G72" s="4" t="n">
        <v>8202.79</v>
      </c>
      <c r="H72" s="5" t="n">
        <f aca="false">IFERROR(G72/规则参数!$B$9,0)</f>
        <v>0.00182320215068769</v>
      </c>
      <c r="I72" s="4" t="n">
        <v>13753.1</v>
      </c>
      <c r="J72" s="5" t="n">
        <f aca="false">IFERROR(I72/规则参数!$B$10,0)</f>
        <v>0.0028405296781631</v>
      </c>
      <c r="K72" s="6" t="n">
        <f aca="false">IFERROR(I72/E72,0)</f>
        <v>0.127709619427544</v>
      </c>
      <c r="L72" s="6" t="n">
        <f aca="false">IFERROR(G72/E72,0)</f>
        <v>0.0761701135848692</v>
      </c>
      <c r="M72" s="6" t="n">
        <f aca="false">K72+L72</f>
        <v>0.203879733012413</v>
      </c>
      <c r="N72" s="4" t="n">
        <v>12047.42</v>
      </c>
      <c r="O72" s="4" t="n">
        <v>96.53</v>
      </c>
      <c r="P72" s="4" t="n">
        <v>1609.15</v>
      </c>
      <c r="Q72" s="4" t="n">
        <v>0</v>
      </c>
      <c r="R72" s="4" t="n">
        <v>19331.7</v>
      </c>
      <c r="S72" s="4" t="n">
        <v>15516.7</v>
      </c>
      <c r="T72" s="6" t="n">
        <f aca="false">IFERROR(R72/S72-1,"")</f>
        <v>0.24586413348199</v>
      </c>
      <c r="U72" s="7" t="n">
        <v>389</v>
      </c>
      <c r="V72" s="8" t="n">
        <v>0.1039</v>
      </c>
      <c r="W72" s="4" t="n">
        <f aca="false">R72*K72</f>
        <v>2468.84404988746</v>
      </c>
      <c r="X72" s="4" t="n">
        <f aca="false">R72*V72</f>
        <v>2008.56363</v>
      </c>
      <c r="Y72" s="4" t="n">
        <f aca="false">X72-W72</f>
        <v>-460.280419887456</v>
      </c>
      <c r="Z72" s="3"/>
      <c r="AA72" s="3" t="s">
        <v>31</v>
      </c>
    </row>
    <row r="73" customFormat="false" ht="15" hidden="false" customHeight="false" outlineLevel="0" collapsed="false">
      <c r="A73" s="3" t="s">
        <v>184</v>
      </c>
      <c r="B73" s="3" t="s">
        <v>185</v>
      </c>
      <c r="C73" s="3" t="s">
        <v>34</v>
      </c>
      <c r="D73" s="3" t="s">
        <v>56</v>
      </c>
      <c r="E73" s="4" t="n">
        <v>121505.27</v>
      </c>
      <c r="F73" s="5" t="n">
        <f aca="false">IFERROR(E73/规则参数!$B$8,0)</f>
        <v>0.0037185560241714</v>
      </c>
      <c r="G73" s="4" t="n">
        <v>23853.15</v>
      </c>
      <c r="H73" s="5" t="n">
        <f aca="false">IFERROR(G73/规则参数!$B$9,0)</f>
        <v>0.00530174664725978</v>
      </c>
      <c r="I73" s="4" t="n">
        <v>13170.88</v>
      </c>
      <c r="J73" s="5" t="n">
        <f aca="false">IFERROR(I73/规则参数!$B$10,0)</f>
        <v>0.00272027946626759</v>
      </c>
      <c r="K73" s="6" t="n">
        <f aca="false">IFERROR(I73/E73,0)</f>
        <v>0.108397602836486</v>
      </c>
      <c r="L73" s="6" t="n">
        <f aca="false">IFERROR(G73/E73,0)</f>
        <v>0.196313707216156</v>
      </c>
      <c r="M73" s="6" t="n">
        <f aca="false">K73+L73</f>
        <v>0.304711310052642</v>
      </c>
      <c r="N73" s="4" t="n">
        <v>12872.19</v>
      </c>
      <c r="O73" s="4" t="n">
        <v>2.32</v>
      </c>
      <c r="P73" s="4" t="n">
        <v>296.37</v>
      </c>
      <c r="Q73" s="4" t="n">
        <v>0</v>
      </c>
      <c r="R73" s="4" t="n">
        <v>19758.35</v>
      </c>
      <c r="S73" s="4" t="n">
        <v>16139.67</v>
      </c>
      <c r="T73" s="6" t="n">
        <f aca="false">IFERROR(R73/S73-1,"")</f>
        <v>0.22421028434906</v>
      </c>
      <c r="U73" s="7" t="n">
        <v>2223</v>
      </c>
      <c r="V73" s="8" t="n">
        <v>0.1409</v>
      </c>
      <c r="W73" s="4" t="n">
        <f aca="false">R73*K73</f>
        <v>2141.75777600428</v>
      </c>
      <c r="X73" s="4" t="n">
        <f aca="false">R73*V73</f>
        <v>2783.951515</v>
      </c>
      <c r="Y73" s="4" t="n">
        <f aca="false">X73-W73</f>
        <v>642.193738995717</v>
      </c>
      <c r="Z73" s="3" t="s">
        <v>57</v>
      </c>
      <c r="AA73" s="3" t="s">
        <v>186</v>
      </c>
    </row>
    <row r="74" customFormat="false" ht="15" hidden="false" customHeight="false" outlineLevel="0" collapsed="false">
      <c r="A74" s="3" t="s">
        <v>187</v>
      </c>
      <c r="B74" s="3" t="s">
        <v>188</v>
      </c>
      <c r="C74" s="3" t="s">
        <v>34</v>
      </c>
      <c r="D74" s="3" t="s">
        <v>46</v>
      </c>
      <c r="E74" s="4" t="n">
        <v>64579.38</v>
      </c>
      <c r="F74" s="5" t="n">
        <f aca="false">IFERROR(E74/规则参数!$B$8,0)</f>
        <v>0.00197639199136181</v>
      </c>
      <c r="G74" s="4" t="n">
        <v>4849.17</v>
      </c>
      <c r="H74" s="5" t="n">
        <f aca="false">IFERROR(G74/规则参数!$B$9,0)</f>
        <v>0.00107780610902513</v>
      </c>
      <c r="I74" s="4" t="n">
        <v>13029.07</v>
      </c>
      <c r="J74" s="5" t="n">
        <f aca="false">IFERROR(I74/规则参数!$B$10,0)</f>
        <v>0.00269099039590089</v>
      </c>
      <c r="K74" s="6" t="n">
        <f aca="false">IFERROR(I74/E74,0)</f>
        <v>0.201752788583601</v>
      </c>
      <c r="L74" s="6" t="n">
        <f aca="false">IFERROR(G74/E74,0)</f>
        <v>0.0750885189668901</v>
      </c>
      <c r="M74" s="6" t="n">
        <f aca="false">K74+L74</f>
        <v>0.276841307550491</v>
      </c>
      <c r="N74" s="4" t="n">
        <v>13007.81</v>
      </c>
      <c r="O74" s="4" t="n">
        <v>10.36</v>
      </c>
      <c r="P74" s="4" t="n">
        <v>4.18</v>
      </c>
      <c r="Q74" s="4" t="n">
        <v>6.72</v>
      </c>
      <c r="R74" s="4" t="n">
        <v>2811.31</v>
      </c>
      <c r="S74" s="4" t="n">
        <v>2515.33</v>
      </c>
      <c r="T74" s="6" t="n">
        <f aca="false">IFERROR(R74/S74-1,"")</f>
        <v>0.117670444832289</v>
      </c>
      <c r="U74" s="7" t="n">
        <v>984</v>
      </c>
      <c r="V74" s="8" t="n">
        <v>0.1768</v>
      </c>
      <c r="W74" s="4" t="n">
        <f aca="false">R74*K74</f>
        <v>567.189632072962</v>
      </c>
      <c r="X74" s="4" t="n">
        <f aca="false">R74*V74</f>
        <v>497.039608</v>
      </c>
      <c r="Y74" s="4" t="n">
        <f aca="false">X74-W74</f>
        <v>-70.150024072962</v>
      </c>
      <c r="Z74" s="3" t="s">
        <v>69</v>
      </c>
      <c r="AA74" s="3" t="s">
        <v>189</v>
      </c>
    </row>
    <row r="75" customFormat="false" ht="15" hidden="false" customHeight="false" outlineLevel="0" collapsed="false">
      <c r="A75" s="3" t="s">
        <v>144</v>
      </c>
      <c r="B75" s="3" t="s">
        <v>190</v>
      </c>
      <c r="C75" s="3" t="s">
        <v>34</v>
      </c>
      <c r="D75" s="3" t="s">
        <v>46</v>
      </c>
      <c r="E75" s="4" t="n">
        <v>56207.83</v>
      </c>
      <c r="F75" s="5" t="n">
        <f aca="false">IFERROR(E75/规则参数!$B$8,0)</f>
        <v>0.00172018847291234</v>
      </c>
      <c r="G75" s="4" t="n">
        <v>5266.49</v>
      </c>
      <c r="H75" s="5" t="n">
        <f aca="false">IFERROR(G75/规则参数!$B$9,0)</f>
        <v>0.0011705621982978</v>
      </c>
      <c r="I75" s="4" t="n">
        <v>13011.03</v>
      </c>
      <c r="J75" s="5" t="n">
        <f aca="false">IFERROR(I75/规则参数!$B$10,0)</f>
        <v>0.0026872644609921</v>
      </c>
      <c r="K75" s="6" t="n">
        <f aca="false">IFERROR(I75/E75,0)</f>
        <v>0.231480738537673</v>
      </c>
      <c r="L75" s="6" t="n">
        <f aca="false">IFERROR(G75/E75,0)</f>
        <v>0.0936967322880104</v>
      </c>
      <c r="M75" s="6" t="n">
        <f aca="false">K75+L75</f>
        <v>0.325177470825684</v>
      </c>
      <c r="N75" s="4" t="n">
        <v>12519.4</v>
      </c>
      <c r="O75" s="4" t="n">
        <v>109.71</v>
      </c>
      <c r="P75" s="4" t="n">
        <v>373.19</v>
      </c>
      <c r="Q75" s="4" t="n">
        <v>8.73</v>
      </c>
      <c r="R75" s="4" t="n">
        <v>2987.59</v>
      </c>
      <c r="S75" s="4" t="n">
        <v>2488.74</v>
      </c>
      <c r="T75" s="6" t="n">
        <f aca="false">IFERROR(R75/S75-1,"")</f>
        <v>0.200442794345733</v>
      </c>
      <c r="U75" s="7" t="n">
        <v>215</v>
      </c>
      <c r="V75" s="8" t="n">
        <v>0.18</v>
      </c>
      <c r="W75" s="4" t="n">
        <f aca="false">R75*K75</f>
        <v>691.569539647768</v>
      </c>
      <c r="X75" s="4" t="n">
        <f aca="false">R75*V75</f>
        <v>537.7662</v>
      </c>
      <c r="Y75" s="4" t="n">
        <f aca="false">X75-W75</f>
        <v>-153.803339647768</v>
      </c>
      <c r="Z75" s="3" t="s">
        <v>69</v>
      </c>
      <c r="AA75" s="3" t="s">
        <v>191</v>
      </c>
    </row>
    <row r="76" customFormat="false" ht="15" hidden="false" customHeight="false" outlineLevel="0" collapsed="false">
      <c r="A76" s="3" t="s">
        <v>192</v>
      </c>
      <c r="B76" s="3" t="s">
        <v>193</v>
      </c>
      <c r="C76" s="3" t="s">
        <v>34</v>
      </c>
      <c r="D76" s="9" t="s">
        <v>194</v>
      </c>
      <c r="E76" s="4" t="n">
        <v>158519.6</v>
      </c>
      <c r="F76" s="5" t="n">
        <f aca="false">IFERROR(E76/规则参数!$B$8,0)</f>
        <v>0.00485134524230299</v>
      </c>
      <c r="G76" s="4" t="n">
        <v>43497.82</v>
      </c>
      <c r="H76" s="5" t="n">
        <f aca="false">IFERROR(G76/规则参数!$B$9,0)</f>
        <v>0.00966809085374928</v>
      </c>
      <c r="I76" s="4" t="n">
        <v>12962.33</v>
      </c>
      <c r="J76" s="5" t="n">
        <f aca="false">IFERROR(I76/规则参数!$B$10,0)</f>
        <v>0.00267720608903766</v>
      </c>
      <c r="K76" s="6" t="n">
        <f aca="false">IFERROR(I76/E76,0)</f>
        <v>0.0817711500659855</v>
      </c>
      <c r="L76" s="6" t="n">
        <f aca="false">IFERROR(G76/E76,0)</f>
        <v>0.274400263437455</v>
      </c>
      <c r="M76" s="6" t="n">
        <f aca="false">K76+L76</f>
        <v>0.356171413503441</v>
      </c>
      <c r="N76" s="4" t="n">
        <v>987.54</v>
      </c>
      <c r="O76" s="4" t="n">
        <v>4654.39</v>
      </c>
      <c r="P76" s="4" t="n">
        <v>7320.4</v>
      </c>
      <c r="Q76" s="4" t="n">
        <v>0</v>
      </c>
      <c r="R76" s="4" t="n">
        <v>237.18</v>
      </c>
      <c r="S76" s="4" t="n">
        <v>115.98</v>
      </c>
      <c r="T76" s="6" t="n">
        <f aca="false">IFERROR(R76/S76-1,"")</f>
        <v>1.04500775995861</v>
      </c>
      <c r="U76" s="7" t="n">
        <v>387</v>
      </c>
      <c r="V76" s="8" t="n">
        <v>0.0818</v>
      </c>
      <c r="W76" s="4" t="n">
        <f aca="false">R76*K76</f>
        <v>19.3944813726504</v>
      </c>
      <c r="X76" s="4" t="n">
        <f aca="false">R76*V76</f>
        <v>19.401324</v>
      </c>
      <c r="Y76" s="4" t="n">
        <f aca="false">X76-W76</f>
        <v>0.00684262734955254</v>
      </c>
      <c r="Z76" s="3" t="s">
        <v>195</v>
      </c>
      <c r="AA76" s="3" t="s">
        <v>31</v>
      </c>
    </row>
    <row r="77" customFormat="false" ht="15" hidden="false" customHeight="false" outlineLevel="0" collapsed="false">
      <c r="A77" s="3" t="s">
        <v>196</v>
      </c>
      <c r="B77" s="3" t="s">
        <v>197</v>
      </c>
      <c r="C77" s="3" t="s">
        <v>34</v>
      </c>
      <c r="D77" s="3" t="s">
        <v>30</v>
      </c>
      <c r="E77" s="4" t="n">
        <v>123695.27</v>
      </c>
      <c r="F77" s="5" t="n">
        <f aca="false">IFERROR(E77/规则参数!$B$8,0)</f>
        <v>0.00378557894172004</v>
      </c>
      <c r="G77" s="4" t="n">
        <v>17014.26</v>
      </c>
      <c r="H77" s="5" t="n">
        <f aca="false">IFERROR(G77/规则参数!$B$9,0)</f>
        <v>0.00378169323173695</v>
      </c>
      <c r="I77" s="4" t="n">
        <v>12814.95</v>
      </c>
      <c r="J77" s="5" t="n">
        <f aca="false">IFERROR(I77/规则参数!$B$10,0)</f>
        <v>0.00264676660528726</v>
      </c>
      <c r="K77" s="6" t="n">
        <f aca="false">IFERROR(I77/E77,0)</f>
        <v>0.103600970352383</v>
      </c>
      <c r="L77" s="6" t="n">
        <f aca="false">IFERROR(G77/E77,0)</f>
        <v>0.137549802834013</v>
      </c>
      <c r="M77" s="6" t="n">
        <f aca="false">K77+L77</f>
        <v>0.241150773186396</v>
      </c>
      <c r="N77" s="4" t="n">
        <v>12803.68</v>
      </c>
      <c r="O77" s="4" t="n">
        <v>0</v>
      </c>
      <c r="P77" s="4" t="n">
        <v>11.27</v>
      </c>
      <c r="Q77" s="4" t="n">
        <v>0</v>
      </c>
      <c r="R77" s="4" t="n">
        <v>17691.87</v>
      </c>
      <c r="S77" s="4" t="n">
        <v>10380.3</v>
      </c>
      <c r="T77" s="6" t="n">
        <f aca="false">IFERROR(R77/S77-1,"")</f>
        <v>0.704369815901275</v>
      </c>
      <c r="U77" s="7" t="n">
        <v>1583</v>
      </c>
      <c r="V77" s="8" t="n">
        <v>0.1036</v>
      </c>
      <c r="W77" s="4" t="n">
        <f aca="false">R77*K77</f>
        <v>1832.89489934821</v>
      </c>
      <c r="X77" s="4" t="n">
        <f aca="false">R77*V77</f>
        <v>1832.877732</v>
      </c>
      <c r="Y77" s="4" t="n">
        <f aca="false">X77-W77</f>
        <v>-0.0171673482127517</v>
      </c>
      <c r="Z77" s="3"/>
      <c r="AA77" s="3" t="s">
        <v>31</v>
      </c>
    </row>
    <row r="78" customFormat="false" ht="15" hidden="false" customHeight="false" outlineLevel="0" collapsed="false">
      <c r="A78" s="3" t="s">
        <v>39</v>
      </c>
      <c r="B78" s="3" t="s">
        <v>198</v>
      </c>
      <c r="C78" s="3" t="s">
        <v>34</v>
      </c>
      <c r="D78" s="3" t="s">
        <v>30</v>
      </c>
      <c r="E78" s="4" t="n">
        <v>68370.29</v>
      </c>
      <c r="F78" s="5" t="n">
        <f aca="false">IFERROR(E78/规则参数!$B$8,0)</f>
        <v>0.00209240927371994</v>
      </c>
      <c r="G78" s="4" t="n">
        <v>6128.01</v>
      </c>
      <c r="H78" s="5" t="n">
        <f aca="false">IFERROR(G78/规则参数!$B$9,0)</f>
        <v>0.00136204888963824</v>
      </c>
      <c r="I78" s="4" t="n">
        <v>12567.26</v>
      </c>
      <c r="J78" s="5" t="n">
        <f aca="false">IFERROR(I78/规则参数!$B$10,0)</f>
        <v>0.00259560935375966</v>
      </c>
      <c r="K78" s="6" t="n">
        <f aca="false">IFERROR(I78/E78,0)</f>
        <v>0.183811711197949</v>
      </c>
      <c r="L78" s="6" t="n">
        <f aca="false">IFERROR(G78/E78,0)</f>
        <v>0.0896297207456631</v>
      </c>
      <c r="M78" s="6" t="n">
        <f aca="false">K78+L78</f>
        <v>0.273441431943612</v>
      </c>
      <c r="N78" s="4" t="n">
        <v>11922.67</v>
      </c>
      <c r="O78" s="4" t="n">
        <v>175.09</v>
      </c>
      <c r="P78" s="4" t="n">
        <v>292.26</v>
      </c>
      <c r="Q78" s="4" t="n">
        <v>177.24</v>
      </c>
      <c r="R78" s="4" t="n">
        <v>6248.83</v>
      </c>
      <c r="S78" s="4" t="n">
        <v>6719.11</v>
      </c>
      <c r="T78" s="6" t="n">
        <f aca="false">IFERROR(R78/S78-1,"")</f>
        <v>-0.0699914125531506</v>
      </c>
      <c r="U78" s="7" t="n">
        <v>618</v>
      </c>
      <c r="V78" s="8" t="n">
        <v>0.1734</v>
      </c>
      <c r="W78" s="4" t="n">
        <f aca="false">R78*K78</f>
        <v>1148.60813528508</v>
      </c>
      <c r="X78" s="4" t="n">
        <f aca="false">R78*V78</f>
        <v>1083.547122</v>
      </c>
      <c r="Y78" s="4" t="n">
        <f aca="false">X78-W78</f>
        <v>-65.0610132850779</v>
      </c>
      <c r="Z78" s="3"/>
      <c r="AA78" s="3" t="s">
        <v>31</v>
      </c>
    </row>
    <row r="79" customFormat="false" ht="15" hidden="false" customHeight="false" outlineLevel="0" collapsed="false">
      <c r="A79" s="3" t="s">
        <v>148</v>
      </c>
      <c r="B79" s="3" t="s">
        <v>199</v>
      </c>
      <c r="C79" s="3" t="s">
        <v>29</v>
      </c>
      <c r="D79" s="3" t="s">
        <v>30</v>
      </c>
      <c r="E79" s="4" t="n">
        <v>63826.28</v>
      </c>
      <c r="F79" s="5" t="n">
        <f aca="false">IFERROR(E79/规则参数!$B$8,0)</f>
        <v>0.00195334406478378</v>
      </c>
      <c r="G79" s="4" t="n">
        <v>6099.67</v>
      </c>
      <c r="H79" s="5" t="n">
        <f aca="false">IFERROR(G79/规则参数!$B$9,0)</f>
        <v>0.00135574986833567</v>
      </c>
      <c r="I79" s="4" t="n">
        <v>12537.2</v>
      </c>
      <c r="J79" s="5" t="n">
        <f aca="false">IFERROR(I79/规则参数!$B$10,0)</f>
        <v>0.00258940083916109</v>
      </c>
      <c r="K79" s="6" t="n">
        <f aca="false">IFERROR(I79/E79,0)</f>
        <v>0.196426926338179</v>
      </c>
      <c r="L79" s="6" t="n">
        <f aca="false">IFERROR(G79/E79,0)</f>
        <v>0.0955667477408992</v>
      </c>
      <c r="M79" s="6" t="n">
        <f aca="false">K79+L79</f>
        <v>0.291993674079078</v>
      </c>
      <c r="N79" s="4" t="n">
        <v>12434.61</v>
      </c>
      <c r="O79" s="4" t="n">
        <v>-3.75</v>
      </c>
      <c r="P79" s="4" t="n">
        <v>0</v>
      </c>
      <c r="Q79" s="4" t="n">
        <v>106.34</v>
      </c>
      <c r="R79" s="4" t="n">
        <v>10971.85</v>
      </c>
      <c r="S79" s="4" t="n">
        <v>6029.93</v>
      </c>
      <c r="T79" s="6" t="n">
        <f aca="false">IFERROR(R79/S79-1,"")</f>
        <v>0.819565069577922</v>
      </c>
      <c r="U79" s="7" t="n">
        <v>16</v>
      </c>
      <c r="V79" s="8" t="n">
        <v>0.15</v>
      </c>
      <c r="W79" s="4" t="n">
        <f aca="false">R79*K79</f>
        <v>2155.16677174355</v>
      </c>
      <c r="X79" s="4" t="n">
        <f aca="false">R79*V79</f>
        <v>1645.7775</v>
      </c>
      <c r="Y79" s="4" t="n">
        <f aca="false">X79-W79</f>
        <v>-509.389271743552</v>
      </c>
      <c r="Z79" s="3"/>
      <c r="AA79" s="3" t="s">
        <v>31</v>
      </c>
    </row>
    <row r="80" customFormat="false" ht="15" hidden="false" customHeight="false" outlineLevel="0" collapsed="false">
      <c r="A80" s="3" t="s">
        <v>184</v>
      </c>
      <c r="B80" s="3" t="s">
        <v>200</v>
      </c>
      <c r="C80" s="3" t="s">
        <v>34</v>
      </c>
      <c r="D80" s="3" t="s">
        <v>30</v>
      </c>
      <c r="E80" s="4" t="n">
        <v>89429.61</v>
      </c>
      <c r="F80" s="5" t="n">
        <f aca="false">IFERROR(E80/规则参数!$B$8,0)</f>
        <v>0.00273691021800782</v>
      </c>
      <c r="G80" s="4" t="n">
        <v>14123.42</v>
      </c>
      <c r="H80" s="5" t="n">
        <f aca="false">IFERROR(G80/规则参数!$B$9,0)</f>
        <v>0.00313915749629889</v>
      </c>
      <c r="I80" s="4" t="n">
        <v>12529.43</v>
      </c>
      <c r="J80" s="5" t="n">
        <f aca="false">IFERROR(I80/规则参数!$B$10,0)</f>
        <v>0.00258779604347144</v>
      </c>
      <c r="K80" s="6" t="n">
        <f aca="false">IFERROR(I80/E80,0)</f>
        <v>0.140103820200043</v>
      </c>
      <c r="L80" s="6" t="n">
        <f aca="false">IFERROR(G80/E80,0)</f>
        <v>0.157927782531982</v>
      </c>
      <c r="M80" s="6" t="n">
        <f aca="false">K80+L80</f>
        <v>0.298031602732026</v>
      </c>
      <c r="N80" s="4" t="n">
        <v>9940.57</v>
      </c>
      <c r="O80" s="4" t="n">
        <v>0</v>
      </c>
      <c r="P80" s="4" t="n">
        <v>1104.26</v>
      </c>
      <c r="Q80" s="4" t="n">
        <v>1484.6</v>
      </c>
      <c r="R80" s="4" t="n">
        <v>5813.29</v>
      </c>
      <c r="S80" s="4" t="n">
        <v>6872.92</v>
      </c>
      <c r="T80" s="6" t="n">
        <f aca="false">IFERROR(R80/S80-1,"")</f>
        <v>-0.154174644838002</v>
      </c>
      <c r="U80" s="7" t="n">
        <v>268</v>
      </c>
      <c r="V80" s="8" t="n">
        <v>0.1401</v>
      </c>
      <c r="W80" s="4" t="n">
        <f aca="false">R80*K80</f>
        <v>814.46413693071</v>
      </c>
      <c r="X80" s="4" t="n">
        <f aca="false">R80*V80</f>
        <v>814.441929</v>
      </c>
      <c r="Y80" s="4" t="n">
        <f aca="false">X80-W80</f>
        <v>-0.0222079307101239</v>
      </c>
      <c r="Z80" s="3"/>
      <c r="AA80" s="3" t="s">
        <v>31</v>
      </c>
    </row>
    <row r="81" customFormat="false" ht="15" hidden="false" customHeight="false" outlineLevel="0" collapsed="false">
      <c r="A81" s="3" t="s">
        <v>201</v>
      </c>
      <c r="B81" s="3" t="s">
        <v>202</v>
      </c>
      <c r="C81" s="3" t="s">
        <v>34</v>
      </c>
      <c r="D81" s="3" t="s">
        <v>85</v>
      </c>
      <c r="E81" s="4" t="n">
        <v>55678.72</v>
      </c>
      <c r="F81" s="5" t="n">
        <f aca="false">IFERROR(E81/规则参数!$B$8,0)</f>
        <v>0.00170399555240816</v>
      </c>
      <c r="G81" s="4" t="n">
        <v>-1195.17</v>
      </c>
      <c r="H81" s="5" t="n">
        <f aca="false">IFERROR(G81/规则参数!$B$9,0)</f>
        <v>-0.000265645775941772</v>
      </c>
      <c r="I81" s="4" t="n">
        <v>12325.73</v>
      </c>
      <c r="J81" s="5" t="n">
        <f aca="false">IFERROR(I81/规则参数!$B$10,0)</f>
        <v>0.00254572437268872</v>
      </c>
      <c r="K81" s="6" t="n">
        <f aca="false">IFERROR(I81/E81,0)</f>
        <v>0.221372366318766</v>
      </c>
      <c r="L81" s="6" t="n">
        <f aca="false">IFERROR(G81/E81,0)</f>
        <v>-0.0214654719074002</v>
      </c>
      <c r="M81" s="6" t="n">
        <f aca="false">K81+L81</f>
        <v>0.199906894411366</v>
      </c>
      <c r="N81" s="4" t="n">
        <v>7969.4</v>
      </c>
      <c r="O81" s="4" t="n">
        <v>216.38</v>
      </c>
      <c r="P81" s="4" t="n">
        <v>3744.06</v>
      </c>
      <c r="Q81" s="4" t="n">
        <v>395.89</v>
      </c>
      <c r="R81" s="4" t="n">
        <v>8805.76</v>
      </c>
      <c r="S81" s="4" t="n">
        <v>6914.74</v>
      </c>
      <c r="T81" s="6" t="n">
        <f aca="false">IFERROR(R81/S81-1,"")</f>
        <v>0.27347666000457</v>
      </c>
      <c r="U81" s="7" t="n">
        <v>627</v>
      </c>
      <c r="V81" s="8" t="n">
        <v>0.0999</v>
      </c>
      <c r="W81" s="4" t="n">
        <f aca="false">R81*K81</f>
        <v>1949.35192843514</v>
      </c>
      <c r="X81" s="4" t="n">
        <f aca="false">R81*V81</f>
        <v>879.695424</v>
      </c>
      <c r="Y81" s="4" t="n">
        <f aca="false">X81-W81</f>
        <v>-1069.65650443514</v>
      </c>
      <c r="Z81" s="3" t="s">
        <v>86</v>
      </c>
      <c r="AA81" s="3" t="s">
        <v>203</v>
      </c>
    </row>
    <row r="82" customFormat="false" ht="15" hidden="false" customHeight="false" outlineLevel="0" collapsed="false">
      <c r="A82" s="3" t="s">
        <v>35</v>
      </c>
      <c r="B82" s="3" t="s">
        <v>204</v>
      </c>
      <c r="C82" s="3" t="s">
        <v>29</v>
      </c>
      <c r="D82" s="3" t="s">
        <v>30</v>
      </c>
      <c r="E82" s="4" t="n">
        <v>71912.54</v>
      </c>
      <c r="F82" s="5" t="n">
        <f aca="false">IFERROR(E82/规则参数!$B$8,0)</f>
        <v>0.00220081654754947</v>
      </c>
      <c r="G82" s="4" t="n">
        <v>3981.19</v>
      </c>
      <c r="H82" s="5" t="n">
        <f aca="false">IFERROR(G82/规则参数!$B$9,0)</f>
        <v>0.000884883578672175</v>
      </c>
      <c r="I82" s="4" t="n">
        <v>12008.74</v>
      </c>
      <c r="J82" s="5" t="n">
        <f aca="false">IFERROR(I82/规则参数!$B$10,0)</f>
        <v>0.0024802540785237</v>
      </c>
      <c r="K82" s="6" t="n">
        <f aca="false">IFERROR(I82/E82,0)</f>
        <v>0.16699090311648</v>
      </c>
      <c r="L82" s="6" t="n">
        <f aca="false">IFERROR(G82/E82,0)</f>
        <v>0.0553615544660222</v>
      </c>
      <c r="M82" s="6" t="n">
        <f aca="false">K82+L82</f>
        <v>0.222352457582502</v>
      </c>
      <c r="N82" s="4" t="n">
        <v>11952.98</v>
      </c>
      <c r="O82" s="4" t="n">
        <v>8.53</v>
      </c>
      <c r="P82" s="4" t="n">
        <v>41.47</v>
      </c>
      <c r="Q82" s="4" t="n">
        <v>5.76</v>
      </c>
      <c r="R82" s="4" t="n">
        <v>7497.77</v>
      </c>
      <c r="S82" s="4" t="n">
        <v>4687.61</v>
      </c>
      <c r="T82" s="6" t="n">
        <f aca="false">IFERROR(R82/S82-1,"")</f>
        <v>0.599486732044688</v>
      </c>
      <c r="U82" s="7" t="n">
        <v>1401</v>
      </c>
      <c r="V82" s="8" t="n">
        <v>0.15</v>
      </c>
      <c r="W82" s="4" t="n">
        <f aca="false">R82*K82</f>
        <v>1252.05938365965</v>
      </c>
      <c r="X82" s="4" t="n">
        <f aca="false">R82*V82</f>
        <v>1124.6655</v>
      </c>
      <c r="Y82" s="4" t="n">
        <f aca="false">X82-W82</f>
        <v>-127.393883659651</v>
      </c>
      <c r="Z82" s="3"/>
      <c r="AA82" s="3" t="s">
        <v>31</v>
      </c>
    </row>
    <row r="83" customFormat="false" ht="15" hidden="false" customHeight="false" outlineLevel="0" collapsed="false">
      <c r="A83" s="3" t="s">
        <v>205</v>
      </c>
      <c r="B83" s="3" t="s">
        <v>206</v>
      </c>
      <c r="C83" s="3" t="s">
        <v>29</v>
      </c>
      <c r="D83" s="3" t="s">
        <v>138</v>
      </c>
      <c r="E83" s="4" t="n">
        <v>55776.86</v>
      </c>
      <c r="F83" s="5" t="n">
        <f aca="false">IFERROR(E83/规则参数!$B$8,0)</f>
        <v>0.00170699903602835</v>
      </c>
      <c r="G83" s="4" t="n">
        <v>2761.19</v>
      </c>
      <c r="H83" s="5" t="n">
        <f aca="false">IFERROR(G83/规则参数!$B$9,0)</f>
        <v>0.000613718935442373</v>
      </c>
      <c r="I83" s="4" t="n">
        <v>11627.54</v>
      </c>
      <c r="J83" s="5" t="n">
        <f aca="false">IFERROR(I83/规则参数!$B$10,0)</f>
        <v>0.0024015220171473</v>
      </c>
      <c r="K83" s="6" t="n">
        <f aca="false">IFERROR(I83/E83,0)</f>
        <v>0.208465302636255</v>
      </c>
      <c r="L83" s="6" t="n">
        <f aca="false">IFERROR(G83/E83,0)</f>
        <v>0.0495042209260256</v>
      </c>
      <c r="M83" s="6" t="n">
        <f aca="false">K83+L83</f>
        <v>0.25796952356228</v>
      </c>
      <c r="N83" s="4" t="n">
        <v>10595.37</v>
      </c>
      <c r="O83" s="4" t="n">
        <v>-2.63</v>
      </c>
      <c r="P83" s="4" t="n">
        <v>875.37</v>
      </c>
      <c r="Q83" s="4" t="n">
        <v>159.43</v>
      </c>
      <c r="R83" s="4" t="n">
        <v>9782.78</v>
      </c>
      <c r="S83" s="4" t="n">
        <v>7817.88</v>
      </c>
      <c r="T83" s="6" t="n">
        <f aca="false">IFERROR(R83/S83-1,"")</f>
        <v>0.251334121270728</v>
      </c>
      <c r="U83" s="7" t="n">
        <v>339</v>
      </c>
      <c r="V83" s="8" t="n">
        <v>0.15</v>
      </c>
      <c r="W83" s="4" t="n">
        <f aca="false">R83*K83</f>
        <v>2039.3701933239</v>
      </c>
      <c r="X83" s="4" t="n">
        <f aca="false">R83*V83</f>
        <v>1467.417</v>
      </c>
      <c r="Y83" s="4" t="n">
        <f aca="false">X83-W83</f>
        <v>-571.953193323898</v>
      </c>
      <c r="Z83" s="3" t="s">
        <v>139</v>
      </c>
      <c r="AA83" s="3" t="s">
        <v>207</v>
      </c>
    </row>
    <row r="84" customFormat="false" ht="15" hidden="false" customHeight="false" outlineLevel="0" collapsed="false">
      <c r="A84" s="3" t="s">
        <v>42</v>
      </c>
      <c r="B84" s="3" t="s">
        <v>208</v>
      </c>
      <c r="C84" s="3" t="s">
        <v>34</v>
      </c>
      <c r="D84" s="3" t="s">
        <v>85</v>
      </c>
      <c r="E84" s="4" t="n">
        <v>41768.35</v>
      </c>
      <c r="F84" s="5" t="n">
        <f aca="false">IFERROR(E84/规则参数!$B$8,0)</f>
        <v>0.00127828158821588</v>
      </c>
      <c r="G84" s="4" t="n">
        <v>-13289.11</v>
      </c>
      <c r="H84" s="5" t="n">
        <f aca="false">IFERROR(G84/规则参数!$B$9,0)</f>
        <v>-0.00295371866556687</v>
      </c>
      <c r="I84" s="4" t="n">
        <v>11236.22</v>
      </c>
      <c r="J84" s="5" t="n">
        <f aca="false">IFERROR(I84/规则参数!$B$10,0)</f>
        <v>0.00232069979716353</v>
      </c>
      <c r="K84" s="6" t="n">
        <f aca="false">IFERROR(I84/E84,0)</f>
        <v>0.269012781208738</v>
      </c>
      <c r="L84" s="6" t="n">
        <f aca="false">IFERROR(G84/E84,0)</f>
        <v>-0.318162196974503</v>
      </c>
      <c r="M84" s="6" t="n">
        <f aca="false">K84+L84</f>
        <v>-0.0491494157657653</v>
      </c>
      <c r="N84" s="4" t="n">
        <v>10779.97</v>
      </c>
      <c r="O84" s="4" t="n">
        <v>-10.37</v>
      </c>
      <c r="P84" s="4" t="n">
        <v>466.62</v>
      </c>
      <c r="Q84" s="4" t="n">
        <v>0</v>
      </c>
      <c r="R84" s="4" t="n">
        <v>3888.17</v>
      </c>
      <c r="S84" s="4" t="n">
        <v>2912.46</v>
      </c>
      <c r="T84" s="6" t="n">
        <f aca="false">IFERROR(R84/S84-1,"")</f>
        <v>0.335012326349546</v>
      </c>
      <c r="U84" s="7" t="n">
        <v>552</v>
      </c>
      <c r="V84" s="8" t="n">
        <v>0</v>
      </c>
      <c r="W84" s="4" t="n">
        <f aca="false">R84*K84</f>
        <v>1045.96742551238</v>
      </c>
      <c r="X84" s="4" t="n">
        <f aca="false">R84*V84</f>
        <v>0</v>
      </c>
      <c r="Y84" s="4" t="n">
        <f aca="false">X84-W84</f>
        <v>-1045.96742551238</v>
      </c>
      <c r="Z84" s="3" t="s">
        <v>86</v>
      </c>
      <c r="AA84" s="3" t="s">
        <v>209</v>
      </c>
    </row>
    <row r="85" customFormat="false" ht="15" hidden="false" customHeight="false" outlineLevel="0" collapsed="false">
      <c r="A85" s="3" t="s">
        <v>39</v>
      </c>
      <c r="B85" s="3" t="s">
        <v>210</v>
      </c>
      <c r="C85" s="3" t="s">
        <v>34</v>
      </c>
      <c r="D85" s="3" t="s">
        <v>30</v>
      </c>
      <c r="E85" s="4" t="n">
        <v>92530.49</v>
      </c>
      <c r="F85" s="5" t="n">
        <f aca="false">IFERROR(E85/规则参数!$B$8,0)</f>
        <v>0.00283180977260518</v>
      </c>
      <c r="G85" s="4" t="n">
        <v>25485.55</v>
      </c>
      <c r="H85" s="5" t="n">
        <f aca="false">IFERROR(G85/规则参数!$B$9,0)</f>
        <v>0.0056645738305453</v>
      </c>
      <c r="I85" s="4" t="n">
        <v>11198.26</v>
      </c>
      <c r="J85" s="5" t="n">
        <f aca="false">IFERROR(I85/规则参数!$B$10,0)</f>
        <v>0.00231285963701178</v>
      </c>
      <c r="K85" s="6" t="n">
        <f aca="false">IFERROR(I85/E85,0)</f>
        <v>0.121022378677558</v>
      </c>
      <c r="L85" s="6" t="n">
        <f aca="false">IFERROR(G85/E85,0)</f>
        <v>0.275428672213883</v>
      </c>
      <c r="M85" s="6" t="n">
        <f aca="false">K85+L85</f>
        <v>0.396451050891441</v>
      </c>
      <c r="N85" s="4" t="n">
        <v>9720.68</v>
      </c>
      <c r="O85" s="4" t="n">
        <v>483.38</v>
      </c>
      <c r="P85" s="4" t="n">
        <v>994.2</v>
      </c>
      <c r="Q85" s="4" t="n">
        <v>0</v>
      </c>
      <c r="R85" s="4" t="n">
        <v>53630.44</v>
      </c>
      <c r="S85" s="4" t="n">
        <v>6633.13</v>
      </c>
      <c r="T85" s="6" t="n">
        <f aca="false">IFERROR(R85/S85-1,"")</f>
        <v>7.08523879375197</v>
      </c>
      <c r="U85" s="7" t="n">
        <v>4940</v>
      </c>
      <c r="V85" s="8" t="n">
        <v>0.121</v>
      </c>
      <c r="W85" s="4" t="n">
        <f aca="false">R85*K85</f>
        <v>6490.48341832406</v>
      </c>
      <c r="X85" s="4" t="n">
        <f aca="false">R85*V85</f>
        <v>6489.28324</v>
      </c>
      <c r="Y85" s="4" t="n">
        <f aca="false">X85-W85</f>
        <v>-1.20017832405756</v>
      </c>
      <c r="Z85" s="3"/>
      <c r="AA85" s="3" t="s">
        <v>31</v>
      </c>
    </row>
    <row r="86" customFormat="false" ht="15" hidden="false" customHeight="false" outlineLevel="0" collapsed="false">
      <c r="A86" s="3" t="s">
        <v>35</v>
      </c>
      <c r="B86" s="3" t="s">
        <v>211</v>
      </c>
      <c r="C86" s="3" t="s">
        <v>96</v>
      </c>
      <c r="D86" s="3" t="s">
        <v>30</v>
      </c>
      <c r="E86" s="4" t="n">
        <v>72218.78</v>
      </c>
      <c r="F86" s="5" t="n">
        <f aca="false">IFERROR(E86/规则参数!$B$8,0)</f>
        <v>0.00221018873854038</v>
      </c>
      <c r="G86" s="4" t="n">
        <v>6700</v>
      </c>
      <c r="H86" s="5" t="n">
        <f aca="false">IFERROR(G86/规则参数!$B$9,0)</f>
        <v>0.00148918287675383</v>
      </c>
      <c r="I86" s="4" t="n">
        <v>11195.33</v>
      </c>
      <c r="J86" s="5" t="n">
        <f aca="false">IFERROR(I86/规则参数!$B$10,0)</f>
        <v>0.00231225448239522</v>
      </c>
      <c r="K86" s="6" t="n">
        <f aca="false">IFERROR(I86/E86,0)</f>
        <v>0.155019650013473</v>
      </c>
      <c r="L86" s="6" t="n">
        <f aca="false">IFERROR(G86/E86,0)</f>
        <v>0.0927736525042378</v>
      </c>
      <c r="M86" s="6" t="n">
        <f aca="false">K86+L86</f>
        <v>0.247793302517711</v>
      </c>
      <c r="N86" s="4" t="n">
        <v>10964.75</v>
      </c>
      <c r="O86" s="4" t="n">
        <v>206.9</v>
      </c>
      <c r="P86" s="4" t="n">
        <v>17.05</v>
      </c>
      <c r="Q86" s="4" t="n">
        <v>6.63</v>
      </c>
      <c r="R86" s="4" t="n">
        <v>31456.08</v>
      </c>
      <c r="S86" s="4" t="n">
        <v>27477.03</v>
      </c>
      <c r="T86" s="6" t="n">
        <f aca="false">IFERROR(R86/S86-1,"")</f>
        <v>0.144813686195342</v>
      </c>
      <c r="U86" s="7" t="n">
        <v>1567</v>
      </c>
      <c r="V86" s="8" t="n">
        <v>0.155</v>
      </c>
      <c r="W86" s="4" t="n">
        <f aca="false">R86*K86</f>
        <v>4876.31051239581</v>
      </c>
      <c r="X86" s="4" t="n">
        <f aca="false">R86*V86</f>
        <v>4875.6924</v>
      </c>
      <c r="Y86" s="4" t="n">
        <f aca="false">X86-W86</f>
        <v>-0.618112395806747</v>
      </c>
      <c r="Z86" s="3"/>
      <c r="AA86" s="3" t="s">
        <v>31</v>
      </c>
    </row>
    <row r="87" customFormat="false" ht="15" hidden="false" customHeight="false" outlineLevel="0" collapsed="false">
      <c r="A87" s="3" t="s">
        <v>212</v>
      </c>
      <c r="B87" s="3" t="s">
        <v>213</v>
      </c>
      <c r="C87" s="3" t="s">
        <v>34</v>
      </c>
      <c r="D87" s="3" t="s">
        <v>30</v>
      </c>
      <c r="E87" s="4" t="n">
        <v>72026.24</v>
      </c>
      <c r="F87" s="5" t="n">
        <f aca="false">IFERROR(E87/规则参数!$B$8,0)</f>
        <v>0.00220429623052905</v>
      </c>
      <c r="G87" s="4" t="n">
        <v>15040.52</v>
      </c>
      <c r="H87" s="5" t="n">
        <f aca="false">IFERROR(G87/规则参数!$B$9,0)</f>
        <v>0.00334299773753335</v>
      </c>
      <c r="I87" s="4" t="n">
        <v>11112.4</v>
      </c>
      <c r="J87" s="5" t="n">
        <f aca="false">IFERROR(I87/规则参数!$B$10,0)</f>
        <v>0.00229512633483503</v>
      </c>
      <c r="K87" s="6" t="n">
        <f aca="false">IFERROR(I87/E87,0)</f>
        <v>0.154282661430057</v>
      </c>
      <c r="L87" s="6" t="n">
        <f aca="false">IFERROR(G87/E87,0)</f>
        <v>0.208820007819373</v>
      </c>
      <c r="M87" s="6" t="n">
        <f aca="false">K87+L87</f>
        <v>0.363102669249429</v>
      </c>
      <c r="N87" s="4" t="n">
        <v>10209.23</v>
      </c>
      <c r="O87" s="4" t="n">
        <v>13.02</v>
      </c>
      <c r="P87" s="4" t="n">
        <v>599.18</v>
      </c>
      <c r="Q87" s="4" t="n">
        <v>290.97</v>
      </c>
      <c r="R87" s="4" t="n">
        <v>12364.31</v>
      </c>
      <c r="S87" s="4" t="n">
        <v>8804.94</v>
      </c>
      <c r="T87" s="6" t="n">
        <f aca="false">IFERROR(R87/S87-1,"")</f>
        <v>0.404246934107444</v>
      </c>
      <c r="U87" s="7" t="n">
        <v>685</v>
      </c>
      <c r="V87" s="8" t="n">
        <v>0.1543</v>
      </c>
      <c r="W87" s="4" t="n">
        <f aca="false">R87*K87</f>
        <v>1907.59865354626</v>
      </c>
      <c r="X87" s="4" t="n">
        <f aca="false">R87*V87</f>
        <v>1907.813033</v>
      </c>
      <c r="Y87" s="4" t="n">
        <f aca="false">X87-W87</f>
        <v>0.21437945373691</v>
      </c>
      <c r="Z87" s="3"/>
      <c r="AA87" s="3" t="s">
        <v>31</v>
      </c>
    </row>
    <row r="88" customFormat="false" ht="15" hidden="false" customHeight="false" outlineLevel="0" collapsed="false">
      <c r="A88" s="3" t="s">
        <v>59</v>
      </c>
      <c r="B88" s="3" t="s">
        <v>214</v>
      </c>
      <c r="C88" s="3" t="s">
        <v>34</v>
      </c>
      <c r="D88" s="3" t="s">
        <v>138</v>
      </c>
      <c r="E88" s="4" t="n">
        <v>44866.46</v>
      </c>
      <c r="F88" s="5" t="n">
        <f aca="false">IFERROR(E88/规则参数!$B$8,0)</f>
        <v>0.00137309636953397</v>
      </c>
      <c r="G88" s="4" t="n">
        <v>1525.09</v>
      </c>
      <c r="H88" s="5" t="n">
        <f aca="false">IFERROR(G88/规则参数!$B$9,0)</f>
        <v>0.000338975807986342</v>
      </c>
      <c r="I88" s="4" t="n">
        <v>11067.62</v>
      </c>
      <c r="J88" s="5" t="n">
        <f aca="false">IFERROR(I88/规则参数!$B$10,0)</f>
        <v>0.00228587758953483</v>
      </c>
      <c r="K88" s="6" t="n">
        <f aca="false">IFERROR(I88/E88,0)</f>
        <v>0.246679145178826</v>
      </c>
      <c r="L88" s="6" t="n">
        <f aca="false">IFERROR(G88/E88,0)</f>
        <v>0.0339917613290641</v>
      </c>
      <c r="M88" s="6" t="n">
        <f aca="false">K88+L88</f>
        <v>0.28067090650789</v>
      </c>
      <c r="N88" s="4" t="n">
        <v>10863.35</v>
      </c>
      <c r="O88" s="4" t="n">
        <v>188.31</v>
      </c>
      <c r="P88" s="4" t="n">
        <v>15.96</v>
      </c>
      <c r="Q88" s="4" t="n">
        <v>0</v>
      </c>
      <c r="R88" s="4" t="n">
        <v>6464.14</v>
      </c>
      <c r="S88" s="4" t="n">
        <v>6364.74</v>
      </c>
      <c r="T88" s="6" t="n">
        <f aca="false">IFERROR(R88/S88-1,"")</f>
        <v>0.0156172915154429</v>
      </c>
      <c r="U88" s="7" t="n">
        <v>91</v>
      </c>
      <c r="V88" s="8" t="n">
        <v>0.18</v>
      </c>
      <c r="W88" s="4" t="n">
        <f aca="false">R88*K88</f>
        <v>1594.56852951626</v>
      </c>
      <c r="X88" s="4" t="n">
        <f aca="false">R88*V88</f>
        <v>1163.5452</v>
      </c>
      <c r="Y88" s="4" t="n">
        <f aca="false">X88-W88</f>
        <v>-431.023329516258</v>
      </c>
      <c r="Z88" s="3" t="s">
        <v>139</v>
      </c>
      <c r="AA88" s="3" t="s">
        <v>215</v>
      </c>
    </row>
    <row r="89" customFormat="false" ht="15" hidden="false" customHeight="false" outlineLevel="0" collapsed="false">
      <c r="A89" s="3" t="s">
        <v>53</v>
      </c>
      <c r="B89" s="3" t="s">
        <v>216</v>
      </c>
      <c r="C89" s="3" t="s">
        <v>29</v>
      </c>
      <c r="D89" s="3" t="s">
        <v>30</v>
      </c>
      <c r="E89" s="4" t="n">
        <v>72851.03</v>
      </c>
      <c r="F89" s="5" t="n">
        <f aca="false">IFERROR(E89/规则参数!$B$8,0)</f>
        <v>0.00222953816302446</v>
      </c>
      <c r="G89" s="4" t="n">
        <v>8594.9</v>
      </c>
      <c r="H89" s="5" t="n">
        <f aca="false">IFERROR(G89/规则参数!$B$9,0)</f>
        <v>0.00191035491155395</v>
      </c>
      <c r="I89" s="4" t="n">
        <v>10921.06</v>
      </c>
      <c r="J89" s="5" t="n">
        <f aca="false">IFERROR(I89/规则参数!$B$10,0)</f>
        <v>0.0022556074664621</v>
      </c>
      <c r="K89" s="6" t="n">
        <f aca="false">IFERROR(I89/E89,0)</f>
        <v>0.149909479660068</v>
      </c>
      <c r="L89" s="6" t="n">
        <f aca="false">IFERROR(G89/E89,0)</f>
        <v>0.117979114365301</v>
      </c>
      <c r="M89" s="6" t="n">
        <f aca="false">K89+L89</f>
        <v>0.267888594025369</v>
      </c>
      <c r="N89" s="4" t="n">
        <v>11072.38</v>
      </c>
      <c r="O89" s="4" t="n">
        <v>-138.68</v>
      </c>
      <c r="P89" s="4" t="n">
        <v>-12.64</v>
      </c>
      <c r="Q89" s="4" t="n">
        <v>0</v>
      </c>
      <c r="R89" s="4" t="n">
        <v>5748.48</v>
      </c>
      <c r="S89" s="4" t="n">
        <v>4149.45</v>
      </c>
      <c r="T89" s="6" t="n">
        <f aca="false">IFERROR(R89/S89-1,"")</f>
        <v>0.385359505476629</v>
      </c>
      <c r="U89" s="7" t="n">
        <v>39</v>
      </c>
      <c r="V89" s="8" t="n">
        <v>0.1499</v>
      </c>
      <c r="W89" s="4" t="n">
        <f aca="false">R89*K89</f>
        <v>861.751645636307</v>
      </c>
      <c r="X89" s="4" t="n">
        <f aca="false">R89*V89</f>
        <v>861.697152</v>
      </c>
      <c r="Y89" s="4" t="n">
        <f aca="false">X89-W89</f>
        <v>-0.0544936363073703</v>
      </c>
      <c r="Z89" s="3"/>
      <c r="AA89" s="3" t="s">
        <v>31</v>
      </c>
    </row>
    <row r="90" customFormat="false" ht="15" hidden="false" customHeight="false" outlineLevel="0" collapsed="false">
      <c r="A90" s="3" t="s">
        <v>217</v>
      </c>
      <c r="B90" s="3" t="s">
        <v>218</v>
      </c>
      <c r="C90" s="3" t="s">
        <v>34</v>
      </c>
      <c r="D90" s="3" t="s">
        <v>30</v>
      </c>
      <c r="E90" s="4" t="n">
        <v>81251.41</v>
      </c>
      <c r="F90" s="5" t="n">
        <f aca="false">IFERROR(E90/规则参数!$B$8,0)</f>
        <v>0.00248662399686796</v>
      </c>
      <c r="G90" s="4" t="n">
        <v>12315.83</v>
      </c>
      <c r="H90" s="5" t="n">
        <f aca="false">IFERROR(G90/规则参数!$B$9,0)</f>
        <v>0.00273739151477777</v>
      </c>
      <c r="I90" s="4" t="n">
        <v>10823.53</v>
      </c>
      <c r="J90" s="5" t="n">
        <f aca="false">IFERROR(I90/规则参数!$B$10,0)</f>
        <v>0.0022354638726897</v>
      </c>
      <c r="K90" s="6" t="n">
        <f aca="false">IFERROR(I90/E90,0)</f>
        <v>0.133210365210893</v>
      </c>
      <c r="L90" s="6" t="n">
        <f aca="false">IFERROR(G90/E90,0)</f>
        <v>0.151576815713106</v>
      </c>
      <c r="M90" s="6" t="n">
        <f aca="false">K90+L90</f>
        <v>0.284787180923999</v>
      </c>
      <c r="N90" s="4" t="n">
        <v>10698.85</v>
      </c>
      <c r="O90" s="4" t="n">
        <v>0</v>
      </c>
      <c r="P90" s="4" t="n">
        <v>0</v>
      </c>
      <c r="Q90" s="4" t="n">
        <v>124.68</v>
      </c>
      <c r="R90" s="4" t="n">
        <v>5148.72</v>
      </c>
      <c r="S90" s="4" t="n">
        <v>6942.35</v>
      </c>
      <c r="T90" s="6" t="n">
        <f aca="false">IFERROR(R90/S90-1,"")</f>
        <v>-0.258360641569497</v>
      </c>
      <c r="U90" s="7" t="n">
        <v>1698</v>
      </c>
      <c r="V90" s="8" t="n">
        <v>0.1332</v>
      </c>
      <c r="W90" s="4" t="n">
        <f aca="false">R90*K90</f>
        <v>685.862871568629</v>
      </c>
      <c r="X90" s="4" t="n">
        <f aca="false">R90*V90</f>
        <v>685.809504</v>
      </c>
      <c r="Y90" s="4" t="n">
        <f aca="false">X90-W90</f>
        <v>-0.0533675686288007</v>
      </c>
      <c r="Z90" s="3"/>
      <c r="AA90" s="3" t="s">
        <v>31</v>
      </c>
    </row>
    <row r="91" customFormat="false" ht="15" hidden="false" customHeight="false" outlineLevel="0" collapsed="false">
      <c r="A91" s="3" t="s">
        <v>53</v>
      </c>
      <c r="B91" s="3" t="s">
        <v>219</v>
      </c>
      <c r="C91" s="3" t="s">
        <v>29</v>
      </c>
      <c r="D91" s="3" t="s">
        <v>30</v>
      </c>
      <c r="E91" s="4" t="n">
        <v>85681.22</v>
      </c>
      <c r="F91" s="5" t="n">
        <f aca="false">IFERROR(E91/规则参数!$B$8,0)</f>
        <v>0.00262219422078857</v>
      </c>
      <c r="G91" s="4" t="n">
        <v>12929.54</v>
      </c>
      <c r="H91" s="5" t="n">
        <f aca="false">IFERROR(G91/规则参数!$B$9,0)</f>
        <v>0.00287379844362741</v>
      </c>
      <c r="I91" s="4" t="n">
        <v>10620.7</v>
      </c>
      <c r="J91" s="5" t="n">
        <f aca="false">IFERROR(I91/规则参数!$B$10,0)</f>
        <v>0.00219357188945524</v>
      </c>
      <c r="K91" s="6" t="n">
        <f aca="false">IFERROR(I91/E91,0)</f>
        <v>0.123955984753719</v>
      </c>
      <c r="L91" s="6" t="n">
        <f aca="false">IFERROR(G91/E91,0)</f>
        <v>0.150902846621465</v>
      </c>
      <c r="M91" s="6" t="n">
        <f aca="false">K91+L91</f>
        <v>0.274858831375184</v>
      </c>
      <c r="N91" s="4" t="n">
        <v>8040.41</v>
      </c>
      <c r="O91" s="4" t="n">
        <v>25.33</v>
      </c>
      <c r="P91" s="4" t="n">
        <v>2554.9</v>
      </c>
      <c r="Q91" s="4" t="n">
        <v>0.06</v>
      </c>
      <c r="R91" s="4" t="n">
        <v>0</v>
      </c>
      <c r="S91" s="4" t="n">
        <v>0</v>
      </c>
      <c r="T91" s="6" t="str">
        <f aca="false">IFERROR(R91/S91-1,"")</f>
        <v/>
      </c>
      <c r="U91" s="7" t="n">
        <v>0</v>
      </c>
      <c r="V91" s="8" t="n">
        <v>0.124</v>
      </c>
      <c r="W91" s="4" t="n">
        <f aca="false">R91*K91</f>
        <v>0</v>
      </c>
      <c r="X91" s="4" t="n">
        <f aca="false">R91*V91</f>
        <v>0</v>
      </c>
      <c r="Y91" s="4" t="n">
        <f aca="false">X91-W91</f>
        <v>0</v>
      </c>
      <c r="Z91" s="3"/>
      <c r="AA91" s="3" t="s">
        <v>31</v>
      </c>
    </row>
    <row r="92" customFormat="false" ht="15" hidden="false" customHeight="false" outlineLevel="0" collapsed="false">
      <c r="A92" s="3" t="s">
        <v>220</v>
      </c>
      <c r="B92" s="3" t="s">
        <v>221</v>
      </c>
      <c r="C92" s="3" t="s">
        <v>34</v>
      </c>
      <c r="D92" s="3" t="s">
        <v>56</v>
      </c>
      <c r="E92" s="4" t="n">
        <v>100544.31</v>
      </c>
      <c r="F92" s="5" t="n">
        <f aca="false">IFERROR(E92/规则参数!$B$8,0)</f>
        <v>0.00307706529639954</v>
      </c>
      <c r="G92" s="4" t="n">
        <v>25482.43</v>
      </c>
      <c r="H92" s="5" t="n">
        <f aca="false">IFERROR(G92/规则参数!$B$9,0)</f>
        <v>0.00566388036031015</v>
      </c>
      <c r="I92" s="4" t="n">
        <v>10477.19</v>
      </c>
      <c r="J92" s="5" t="n">
        <f aca="false">IFERROR(I92/规则参数!$B$10,0)</f>
        <v>0.00216393170548848</v>
      </c>
      <c r="K92" s="6" t="n">
        <f aca="false">IFERROR(I92/E92,0)</f>
        <v>0.104204703379038</v>
      </c>
      <c r="L92" s="6" t="n">
        <f aca="false">IFERROR(G92/E92,0)</f>
        <v>0.253444774746577</v>
      </c>
      <c r="M92" s="6" t="n">
        <f aca="false">K92+L92</f>
        <v>0.357649478125615</v>
      </c>
      <c r="N92" s="4" t="n">
        <v>8882.49</v>
      </c>
      <c r="O92" s="4" t="n">
        <v>687.74</v>
      </c>
      <c r="P92" s="4" t="n">
        <v>585.35</v>
      </c>
      <c r="Q92" s="4" t="n">
        <v>321.61</v>
      </c>
      <c r="R92" s="4" t="n">
        <v>6530.63</v>
      </c>
      <c r="S92" s="4" t="n">
        <v>6396</v>
      </c>
      <c r="T92" s="6" t="n">
        <f aca="false">IFERROR(R92/S92-1,"")</f>
        <v>0.0210490931832394</v>
      </c>
      <c r="U92" s="7" t="n">
        <v>454</v>
      </c>
      <c r="V92" s="8" t="n">
        <v>0.1355</v>
      </c>
      <c r="W92" s="4" t="n">
        <f aca="false">R92*K92</f>
        <v>680.522362028244</v>
      </c>
      <c r="X92" s="4" t="n">
        <f aca="false">R92*V92</f>
        <v>884.900365</v>
      </c>
      <c r="Y92" s="4" t="n">
        <f aca="false">X92-W92</f>
        <v>204.378002971756</v>
      </c>
      <c r="Z92" s="3" t="s">
        <v>57</v>
      </c>
      <c r="AA92" s="3" t="s">
        <v>222</v>
      </c>
    </row>
    <row r="93" customFormat="false" ht="15" hidden="false" customHeight="false" outlineLevel="0" collapsed="false">
      <c r="A93" s="3" t="s">
        <v>223</v>
      </c>
      <c r="B93" s="3" t="s">
        <v>224</v>
      </c>
      <c r="C93" s="3" t="s">
        <v>29</v>
      </c>
      <c r="D93" s="3" t="s">
        <v>30</v>
      </c>
      <c r="E93" s="4" t="n">
        <v>71081.94</v>
      </c>
      <c r="F93" s="5" t="n">
        <f aca="false">IFERROR(E93/规则参数!$B$8,0)</f>
        <v>0.00217539680539609</v>
      </c>
      <c r="G93" s="4" t="n">
        <v>7402.44</v>
      </c>
      <c r="H93" s="5" t="n">
        <f aca="false">IFERROR(G93/规则参数!$B$9,0)</f>
        <v>0.00164531147674591</v>
      </c>
      <c r="I93" s="4" t="n">
        <v>10417.03</v>
      </c>
      <c r="J93" s="5" t="n">
        <f aca="false">IFERROR(I93/规则参数!$B$10,0)</f>
        <v>0.00215150641479487</v>
      </c>
      <c r="K93" s="6" t="n">
        <f aca="false">IFERROR(I93/E93,0)</f>
        <v>0.146549601769451</v>
      </c>
      <c r="L93" s="6" t="n">
        <f aca="false">IFERROR(G93/E93,0)</f>
        <v>0.104139532488843</v>
      </c>
      <c r="M93" s="6" t="n">
        <f aca="false">K93+L93</f>
        <v>0.250689134258294</v>
      </c>
      <c r="N93" s="4" t="n">
        <v>9667.62</v>
      </c>
      <c r="O93" s="4" t="n">
        <v>477.29</v>
      </c>
      <c r="P93" s="4" t="n">
        <v>269.85</v>
      </c>
      <c r="Q93" s="4" t="n">
        <v>2.27</v>
      </c>
      <c r="R93" s="4" t="n">
        <v>8859.4</v>
      </c>
      <c r="S93" s="4" t="n">
        <v>11197.91</v>
      </c>
      <c r="T93" s="6" t="n">
        <f aca="false">IFERROR(R93/S93-1,"")</f>
        <v>-0.208834505724729</v>
      </c>
      <c r="U93" s="7" t="n">
        <v>180</v>
      </c>
      <c r="V93" s="8" t="n">
        <v>0.1465</v>
      </c>
      <c r="W93" s="4" t="n">
        <f aca="false">R93*K93</f>
        <v>1298.34154191627</v>
      </c>
      <c r="X93" s="4" t="n">
        <f aca="false">R93*V93</f>
        <v>1297.9021</v>
      </c>
      <c r="Y93" s="4" t="n">
        <f aca="false">X93-W93</f>
        <v>-0.439441916273154</v>
      </c>
      <c r="Z93" s="3"/>
      <c r="AA93" s="3" t="s">
        <v>31</v>
      </c>
    </row>
    <row r="94" customFormat="false" ht="15" hidden="false" customHeight="false" outlineLevel="0" collapsed="false">
      <c r="A94" s="3" t="s">
        <v>225</v>
      </c>
      <c r="B94" s="3" t="s">
        <v>226</v>
      </c>
      <c r="C94" s="3" t="s">
        <v>96</v>
      </c>
      <c r="D94" s="3" t="s">
        <v>30</v>
      </c>
      <c r="E94" s="4" t="n">
        <v>68043.78</v>
      </c>
      <c r="F94" s="5" t="n">
        <f aca="false">IFERROR(E94/规则参数!$B$8,0)</f>
        <v>0.00208241673819081</v>
      </c>
      <c r="G94" s="4" t="n">
        <v>5163.48</v>
      </c>
      <c r="H94" s="5" t="n">
        <f aca="false">IFERROR(G94/规则参数!$B$9,0)</f>
        <v>0.00114766656723296</v>
      </c>
      <c r="I94" s="4" t="n">
        <v>10392.45</v>
      </c>
      <c r="J94" s="5" t="n">
        <f aca="false">IFERROR(I94/规则参数!$B$10,0)</f>
        <v>0.00214642972521294</v>
      </c>
      <c r="K94" s="6" t="n">
        <f aca="false">IFERROR(I94/E94,0)</f>
        <v>0.152731814722815</v>
      </c>
      <c r="L94" s="6" t="n">
        <f aca="false">IFERROR(G94/E94,0)</f>
        <v>0.0758846730737181</v>
      </c>
      <c r="M94" s="6" t="n">
        <f aca="false">K94+L94</f>
        <v>0.228616487796533</v>
      </c>
      <c r="N94" s="4" t="n">
        <v>8489.41</v>
      </c>
      <c r="O94" s="4" t="n">
        <v>831.69</v>
      </c>
      <c r="P94" s="4" t="n">
        <v>539.41</v>
      </c>
      <c r="Q94" s="4" t="n">
        <v>531.94</v>
      </c>
      <c r="R94" s="4" t="n">
        <v>16448.13</v>
      </c>
      <c r="S94" s="4" t="n">
        <v>11680.23</v>
      </c>
      <c r="T94" s="6" t="n">
        <f aca="false">IFERROR(R94/S94-1,"")</f>
        <v>0.408202578202656</v>
      </c>
      <c r="U94" s="7" t="n">
        <v>518</v>
      </c>
      <c r="V94" s="8" t="n">
        <v>0.1527</v>
      </c>
      <c r="W94" s="4" t="n">
        <f aca="false">R94*K94</f>
        <v>2512.15274369678</v>
      </c>
      <c r="X94" s="4" t="n">
        <f aca="false">R94*V94</f>
        <v>2511.629451</v>
      </c>
      <c r="Y94" s="4" t="n">
        <f aca="false">X94-W94</f>
        <v>-0.523292696779208</v>
      </c>
      <c r="Z94" s="3"/>
      <c r="AA94" s="3" t="s">
        <v>31</v>
      </c>
    </row>
    <row r="95" customFormat="false" ht="15" hidden="false" customHeight="false" outlineLevel="0" collapsed="false">
      <c r="A95" s="3" t="s">
        <v>227</v>
      </c>
      <c r="B95" s="3" t="s">
        <v>228</v>
      </c>
      <c r="C95" s="3" t="s">
        <v>29</v>
      </c>
      <c r="D95" s="3" t="s">
        <v>85</v>
      </c>
      <c r="E95" s="4" t="n">
        <v>51321.16</v>
      </c>
      <c r="F95" s="5" t="n">
        <f aca="false">IFERROR(E95/规则参数!$B$8,0)</f>
        <v>0.00157063647268521</v>
      </c>
      <c r="G95" s="4" t="n">
        <v>-985.94</v>
      </c>
      <c r="H95" s="5" t="n">
        <f aca="false">IFERROR(G95/规则参数!$B$9,0)</f>
        <v>-0.000219141039627861</v>
      </c>
      <c r="I95" s="4" t="n">
        <v>10121.34</v>
      </c>
      <c r="J95" s="5" t="n">
        <f aca="false">IFERROR(I95/规则参数!$B$10,0)</f>
        <v>0.00209043536750109</v>
      </c>
      <c r="K95" s="6" t="n">
        <f aca="false">IFERROR(I95/E95,0)</f>
        <v>0.19721572934049</v>
      </c>
      <c r="L95" s="6" t="n">
        <f aca="false">IFERROR(G95/E95,0)</f>
        <v>-0.019211179170541</v>
      </c>
      <c r="M95" s="6" t="n">
        <f aca="false">K95+L95</f>
        <v>0.178004550169949</v>
      </c>
      <c r="N95" s="4" t="n">
        <v>8277.89</v>
      </c>
      <c r="O95" s="4" t="n">
        <v>296.77</v>
      </c>
      <c r="P95" s="4" t="n">
        <v>1522.76</v>
      </c>
      <c r="Q95" s="4" t="n">
        <v>23.92</v>
      </c>
      <c r="R95" s="4" t="n">
        <v>9763.52</v>
      </c>
      <c r="S95" s="4" t="n">
        <v>5646.37</v>
      </c>
      <c r="T95" s="6" t="n">
        <f aca="false">IFERROR(R95/S95-1,"")</f>
        <v>0.729167589088211</v>
      </c>
      <c r="U95" s="7" t="n">
        <v>655</v>
      </c>
      <c r="V95" s="8" t="n">
        <v>0.128</v>
      </c>
      <c r="W95" s="4" t="n">
        <f aca="false">R95*K95</f>
        <v>1925.51971773046</v>
      </c>
      <c r="X95" s="4" t="n">
        <f aca="false">R95*V95</f>
        <v>1249.73056</v>
      </c>
      <c r="Y95" s="4" t="n">
        <f aca="false">X95-W95</f>
        <v>-675.789157730464</v>
      </c>
      <c r="Z95" s="3" t="s">
        <v>86</v>
      </c>
      <c r="AA95" s="3" t="s">
        <v>229</v>
      </c>
    </row>
    <row r="96" customFormat="false" ht="15" hidden="false" customHeight="false" outlineLevel="0" collapsed="false">
      <c r="A96" s="3" t="s">
        <v>169</v>
      </c>
      <c r="B96" s="3" t="s">
        <v>230</v>
      </c>
      <c r="C96" s="3" t="s">
        <v>29</v>
      </c>
      <c r="D96" s="3" t="s">
        <v>46</v>
      </c>
      <c r="E96" s="4" t="n">
        <v>44167.06</v>
      </c>
      <c r="F96" s="5" t="n">
        <f aca="false">IFERROR(E96/规则参数!$B$8,0)</f>
        <v>0.00135169188161912</v>
      </c>
      <c r="G96" s="4" t="n">
        <v>3801.41</v>
      </c>
      <c r="H96" s="5" t="n">
        <f aca="false">IFERROR(G96/规则参数!$B$9,0)</f>
        <v>0.00084492457903295</v>
      </c>
      <c r="I96" s="4" t="n">
        <v>9899.06</v>
      </c>
      <c r="J96" s="5" t="n">
        <f aca="false">IFERROR(I96/规则参数!$B$10,0)</f>
        <v>0.00204452623160722</v>
      </c>
      <c r="K96" s="6" t="n">
        <f aca="false">IFERROR(I96/E96,0)</f>
        <v>0.224127664372498</v>
      </c>
      <c r="L96" s="6" t="n">
        <f aca="false">IFERROR(G96/E96,0)</f>
        <v>0.0860688938770206</v>
      </c>
      <c r="M96" s="6" t="n">
        <f aca="false">K96+L96</f>
        <v>0.310196558249519</v>
      </c>
      <c r="N96" s="4" t="n">
        <v>8182.21</v>
      </c>
      <c r="O96" s="4" t="n">
        <v>217.32</v>
      </c>
      <c r="P96" s="4" t="n">
        <v>1435.22</v>
      </c>
      <c r="Q96" s="4" t="n">
        <v>64.31</v>
      </c>
      <c r="R96" s="4" t="n">
        <v>3275.88</v>
      </c>
      <c r="S96" s="4" t="n">
        <v>3355.89</v>
      </c>
      <c r="T96" s="6" t="n">
        <f aca="false">IFERROR(R96/S96-1,"")</f>
        <v>-0.0238416634633435</v>
      </c>
      <c r="U96" s="7" t="n">
        <v>337</v>
      </c>
      <c r="V96" s="8" t="n">
        <v>0.15</v>
      </c>
      <c r="W96" s="4" t="n">
        <f aca="false">R96*K96</f>
        <v>734.21533316458</v>
      </c>
      <c r="X96" s="4" t="n">
        <f aca="false">R96*V96</f>
        <v>491.382</v>
      </c>
      <c r="Y96" s="4" t="n">
        <f aca="false">X96-W96</f>
        <v>-242.83333316458</v>
      </c>
      <c r="Z96" s="3" t="s">
        <v>69</v>
      </c>
      <c r="AA96" s="3" t="s">
        <v>231</v>
      </c>
    </row>
    <row r="97" customFormat="false" ht="15" hidden="false" customHeight="false" outlineLevel="0" collapsed="false">
      <c r="A97" s="3" t="s">
        <v>67</v>
      </c>
      <c r="B97" s="3" t="s">
        <v>232</v>
      </c>
      <c r="C97" s="3" t="s">
        <v>29</v>
      </c>
      <c r="D97" s="3" t="s">
        <v>85</v>
      </c>
      <c r="E97" s="4" t="n">
        <v>57451.83</v>
      </c>
      <c r="F97" s="5" t="n">
        <f aca="false">IFERROR(E97/规则参数!$B$8,0)</f>
        <v>0.00175825993840572</v>
      </c>
      <c r="G97" s="4" t="n">
        <v>-2019.66</v>
      </c>
      <c r="H97" s="5" t="n">
        <f aca="false">IFERROR(G97/规则参数!$B$9,0)</f>
        <v>-0.000448901953561886</v>
      </c>
      <c r="I97" s="4" t="n">
        <v>9855.99</v>
      </c>
      <c r="J97" s="5" t="n">
        <f aca="false">IFERROR(I97/规则参数!$B$10,0)</f>
        <v>0.00203563066528119</v>
      </c>
      <c r="K97" s="6" t="n">
        <f aca="false">IFERROR(I97/E97,0)</f>
        <v>0.171552237761617</v>
      </c>
      <c r="L97" s="6" t="n">
        <f aca="false">IFERROR(G97/E97,0)</f>
        <v>-0.0351539715967272</v>
      </c>
      <c r="M97" s="6" t="n">
        <f aca="false">K97+L97</f>
        <v>0.13639826616489</v>
      </c>
      <c r="N97" s="4" t="n">
        <v>8161.2</v>
      </c>
      <c r="O97" s="4" t="n">
        <v>543.09</v>
      </c>
      <c r="P97" s="4" t="n">
        <v>762.26</v>
      </c>
      <c r="Q97" s="4" t="n">
        <v>389.44</v>
      </c>
      <c r="R97" s="4" t="n">
        <v>0</v>
      </c>
      <c r="S97" s="4" t="n">
        <v>51.99</v>
      </c>
      <c r="T97" s="6" t="n">
        <f aca="false">IFERROR(R97/S97-1,"")</f>
        <v>-1</v>
      </c>
      <c r="U97" s="7" t="n">
        <v>0</v>
      </c>
      <c r="V97" s="8" t="n">
        <v>0.0864</v>
      </c>
      <c r="W97" s="4" t="n">
        <f aca="false">R97*K97</f>
        <v>0</v>
      </c>
      <c r="X97" s="4" t="n">
        <f aca="false">R97*V97</f>
        <v>0</v>
      </c>
      <c r="Y97" s="4" t="n">
        <f aca="false">X97-W97</f>
        <v>0</v>
      </c>
      <c r="Z97" s="3" t="s">
        <v>86</v>
      </c>
      <c r="AA97" s="3" t="s">
        <v>233</v>
      </c>
    </row>
    <row r="98" customFormat="false" ht="15" hidden="false" customHeight="false" outlineLevel="0" collapsed="false">
      <c r="A98" s="3" t="s">
        <v>234</v>
      </c>
      <c r="B98" s="3" t="s">
        <v>235</v>
      </c>
      <c r="C98" s="3" t="s">
        <v>29</v>
      </c>
      <c r="D98" s="3" t="s">
        <v>46</v>
      </c>
      <c r="E98" s="4" t="n">
        <v>48241.85</v>
      </c>
      <c r="F98" s="5" t="n">
        <f aca="false">IFERROR(E98/规则参数!$B$8,0)</f>
        <v>0.00147639704791959</v>
      </c>
      <c r="G98" s="4" t="n">
        <v>5574.51</v>
      </c>
      <c r="H98" s="5" t="n">
        <f aca="false">IFERROR(G98/规则参数!$B$9,0)</f>
        <v>0.0012390246027303</v>
      </c>
      <c r="I98" s="4" t="n">
        <v>9816.64</v>
      </c>
      <c r="J98" s="5" t="n">
        <f aca="false">IFERROR(I98/规则参数!$B$10,0)</f>
        <v>0.00202750341812704</v>
      </c>
      <c r="K98" s="6" t="n">
        <f aca="false">IFERROR(I98/E98,0)</f>
        <v>0.203488050313162</v>
      </c>
      <c r="L98" s="6" t="n">
        <f aca="false">IFERROR(G98/E98,0)</f>
        <v>0.11555340435742</v>
      </c>
      <c r="M98" s="6" t="n">
        <f aca="false">K98+L98</f>
        <v>0.319041454670582</v>
      </c>
      <c r="N98" s="4" t="n">
        <v>9067.59</v>
      </c>
      <c r="O98" s="4" t="n">
        <v>0</v>
      </c>
      <c r="P98" s="4" t="n">
        <v>505.83</v>
      </c>
      <c r="Q98" s="4" t="n">
        <v>243.22</v>
      </c>
      <c r="R98" s="4" t="n">
        <v>5517.75</v>
      </c>
      <c r="S98" s="4" t="n">
        <v>3897.08</v>
      </c>
      <c r="T98" s="6" t="n">
        <f aca="false">IFERROR(R98/S98-1,"")</f>
        <v>0.415867777926037</v>
      </c>
      <c r="U98" s="7" t="n">
        <v>297</v>
      </c>
      <c r="V98" s="8" t="n">
        <v>0.15</v>
      </c>
      <c r="W98" s="4" t="n">
        <f aca="false">R98*K98</f>
        <v>1122.79618961545</v>
      </c>
      <c r="X98" s="4" t="n">
        <f aca="false">R98*V98</f>
        <v>827.6625</v>
      </c>
      <c r="Y98" s="4" t="n">
        <f aca="false">X98-W98</f>
        <v>-295.133689615448</v>
      </c>
      <c r="Z98" s="3" t="s">
        <v>69</v>
      </c>
      <c r="AA98" s="3" t="s">
        <v>236</v>
      </c>
    </row>
    <row r="99" customFormat="false" ht="15" hidden="false" customHeight="false" outlineLevel="0" collapsed="false">
      <c r="A99" s="3" t="s">
        <v>42</v>
      </c>
      <c r="B99" s="3" t="s">
        <v>237</v>
      </c>
      <c r="C99" s="3" t="s">
        <v>29</v>
      </c>
      <c r="D99" s="3" t="s">
        <v>30</v>
      </c>
      <c r="E99" s="4" t="n">
        <v>95496.38</v>
      </c>
      <c r="F99" s="5" t="n">
        <f aca="false">IFERROR(E99/规则参数!$B$8,0)</f>
        <v>0.00292257808353136</v>
      </c>
      <c r="G99" s="4" t="n">
        <v>8182.23</v>
      </c>
      <c r="H99" s="5" t="n">
        <f aca="false">IFERROR(G99/规则参数!$B$9,0)</f>
        <v>0.00181863235965097</v>
      </c>
      <c r="I99" s="4" t="n">
        <v>9802.51</v>
      </c>
      <c r="J99" s="5" t="n">
        <f aca="false">IFERROR(I99/规则参数!$B$10,0)</f>
        <v>0.00202458504449837</v>
      </c>
      <c r="K99" s="6" t="n">
        <f aca="false">IFERROR(I99/E99,0)</f>
        <v>0.102647974719042</v>
      </c>
      <c r="L99" s="6" t="n">
        <f aca="false">IFERROR(G99/E99,0)</f>
        <v>0.085681048852323</v>
      </c>
      <c r="M99" s="6" t="n">
        <f aca="false">K99+L99</f>
        <v>0.188329023571365</v>
      </c>
      <c r="N99" s="4" t="n">
        <v>8717.79</v>
      </c>
      <c r="O99" s="4" t="n">
        <v>78.99</v>
      </c>
      <c r="P99" s="4" t="n">
        <v>966.21</v>
      </c>
      <c r="Q99" s="4" t="n">
        <v>39.52</v>
      </c>
      <c r="R99" s="4" t="n">
        <v>2737.81</v>
      </c>
      <c r="S99" s="4" t="n">
        <v>3562.88</v>
      </c>
      <c r="T99" s="6" t="n">
        <f aca="false">IFERROR(R99/S99-1,"")</f>
        <v>-0.231573895275732</v>
      </c>
      <c r="U99" s="7" t="n">
        <v>859</v>
      </c>
      <c r="V99" s="8" t="n">
        <v>0.1026</v>
      </c>
      <c r="W99" s="4" t="n">
        <f aca="false">R99*K99</f>
        <v>281.03065166554</v>
      </c>
      <c r="X99" s="4" t="n">
        <f aca="false">R99*V99</f>
        <v>280.899306</v>
      </c>
      <c r="Y99" s="4" t="n">
        <f aca="false">X99-W99</f>
        <v>-0.131345665539584</v>
      </c>
      <c r="Z99" s="3"/>
      <c r="AA99" s="3" t="s">
        <v>31</v>
      </c>
    </row>
    <row r="100" customFormat="false" ht="15" hidden="false" customHeight="false" outlineLevel="0" collapsed="false">
      <c r="A100" s="3" t="s">
        <v>238</v>
      </c>
      <c r="B100" s="3" t="s">
        <v>239</v>
      </c>
      <c r="C100" s="3" t="s">
        <v>96</v>
      </c>
      <c r="D100" s="3" t="s">
        <v>46</v>
      </c>
      <c r="E100" s="4" t="n">
        <v>95927.05</v>
      </c>
      <c r="F100" s="5" t="n">
        <f aca="false">IFERROR(E100/规则参数!$B$8,0)</f>
        <v>0.00293575833919377</v>
      </c>
      <c r="G100" s="4" t="n">
        <v>6930.01</v>
      </c>
      <c r="H100" s="5" t="n">
        <f aca="false">IFERROR(G100/规则参数!$B$9,0)</f>
        <v>0.00154030630264669</v>
      </c>
      <c r="I100" s="4" t="n">
        <v>9751.96</v>
      </c>
      <c r="J100" s="5" t="n">
        <f aca="false">IFERROR(I100/规则参数!$B$10,0)</f>
        <v>0.00201414457833212</v>
      </c>
      <c r="K100" s="6" t="n">
        <f aca="false">IFERROR(I100/E100,0)</f>
        <v>0.101660167804597</v>
      </c>
      <c r="L100" s="6" t="n">
        <f aca="false">IFERROR(G100/E100,0)</f>
        <v>0.0722425009421222</v>
      </c>
      <c r="M100" s="6" t="n">
        <f aca="false">K100+L100</f>
        <v>0.17390266874672</v>
      </c>
      <c r="N100" s="4" t="n">
        <v>8553</v>
      </c>
      <c r="O100" s="4" t="n">
        <v>23.14</v>
      </c>
      <c r="P100" s="4" t="n">
        <v>1175.82</v>
      </c>
      <c r="Q100" s="4" t="n">
        <v>0</v>
      </c>
      <c r="R100" s="4" t="n">
        <v>8401</v>
      </c>
      <c r="S100" s="4" t="n">
        <v>22312.2</v>
      </c>
      <c r="T100" s="6" t="n">
        <f aca="false">IFERROR(R100/S100-1,"")</f>
        <v>-0.623479531377453</v>
      </c>
      <c r="U100" s="7" t="n">
        <v>181</v>
      </c>
      <c r="V100" s="8" t="n">
        <v>0.1017</v>
      </c>
      <c r="W100" s="4" t="n">
        <f aca="false">R100*K100</f>
        <v>854.047069726422</v>
      </c>
      <c r="X100" s="4" t="n">
        <f aca="false">R100*V100</f>
        <v>854.3817</v>
      </c>
      <c r="Y100" s="4" t="n">
        <f aca="false">X100-W100</f>
        <v>0.334630273577886</v>
      </c>
      <c r="Z100" s="3" t="s">
        <v>47</v>
      </c>
      <c r="AA100" s="3" t="s">
        <v>240</v>
      </c>
    </row>
    <row r="101" customFormat="false" ht="15" hidden="false" customHeight="false" outlineLevel="0" collapsed="false">
      <c r="A101" s="3" t="s">
        <v>223</v>
      </c>
      <c r="B101" s="3" t="s">
        <v>241</v>
      </c>
      <c r="C101" s="3" t="s">
        <v>29</v>
      </c>
      <c r="D101" s="3" t="s">
        <v>138</v>
      </c>
      <c r="E101" s="4" t="n">
        <v>33924.36</v>
      </c>
      <c r="F101" s="5" t="n">
        <f aca="false">IFERROR(E101/规则参数!$B$8,0)</f>
        <v>0.00103822355395909</v>
      </c>
      <c r="G101" s="4" t="n">
        <v>1683.78</v>
      </c>
      <c r="H101" s="5" t="n">
        <f aca="false">IFERROR(G101/规则参数!$B$9,0)</f>
        <v>0.000374247215555307</v>
      </c>
      <c r="I101" s="4" t="n">
        <v>9714.95</v>
      </c>
      <c r="J101" s="5" t="n">
        <f aca="false">IFERROR(I101/规则参数!$B$10,0)</f>
        <v>0.00200650062872157</v>
      </c>
      <c r="K101" s="6" t="n">
        <f aca="false">IFERROR(I101/E101,0)</f>
        <v>0.28637091458763</v>
      </c>
      <c r="L101" s="6" t="n">
        <f aca="false">IFERROR(G101/E101,0)</f>
        <v>0.0496333608062171</v>
      </c>
      <c r="M101" s="6" t="n">
        <f aca="false">K101+L101</f>
        <v>0.336004275393847</v>
      </c>
      <c r="N101" s="4" t="n">
        <v>8442.07</v>
      </c>
      <c r="O101" s="4" t="n">
        <v>275.72</v>
      </c>
      <c r="P101" s="4" t="n">
        <v>0</v>
      </c>
      <c r="Q101" s="4" t="n">
        <v>997.16</v>
      </c>
      <c r="R101" s="4" t="n">
        <v>2093.12</v>
      </c>
      <c r="S101" s="4" t="n">
        <v>1570.72</v>
      </c>
      <c r="T101" s="6" t="n">
        <f aca="false">IFERROR(R101/S101-1,"")</f>
        <v>0.332586329835999</v>
      </c>
      <c r="U101" s="7" t="n">
        <v>312</v>
      </c>
      <c r="V101" s="8" t="n">
        <v>0.15</v>
      </c>
      <c r="W101" s="4" t="n">
        <f aca="false">R101*K101</f>
        <v>599.40868874166</v>
      </c>
      <c r="X101" s="4" t="n">
        <f aca="false">R101*V101</f>
        <v>313.968</v>
      </c>
      <c r="Y101" s="4" t="n">
        <f aca="false">X101-W101</f>
        <v>-285.44068874166</v>
      </c>
      <c r="Z101" s="3" t="s">
        <v>139</v>
      </c>
      <c r="AA101" s="3" t="s">
        <v>207</v>
      </c>
    </row>
    <row r="102" customFormat="false" ht="15" hidden="false" customHeight="false" outlineLevel="0" collapsed="false">
      <c r="A102" s="3" t="s">
        <v>39</v>
      </c>
      <c r="B102" s="3" t="s">
        <v>242</v>
      </c>
      <c r="C102" s="3" t="s">
        <v>34</v>
      </c>
      <c r="D102" s="3" t="s">
        <v>30</v>
      </c>
      <c r="E102" s="4" t="n">
        <v>77040.42</v>
      </c>
      <c r="F102" s="5" t="n">
        <f aca="false">IFERROR(E102/规则参数!$B$8,0)</f>
        <v>0.00235775055596926</v>
      </c>
      <c r="G102" s="4" t="n">
        <v>19619.74</v>
      </c>
      <c r="H102" s="5" t="n">
        <f aca="false">IFERROR(G102/规则参数!$B$9,0)</f>
        <v>0.00436080311259136</v>
      </c>
      <c r="I102" s="4" t="n">
        <v>9651.28</v>
      </c>
      <c r="J102" s="5" t="n">
        <f aca="false">IFERROR(I102/规则参数!$B$10,0)</f>
        <v>0.00199335039171256</v>
      </c>
      <c r="K102" s="6" t="n">
        <f aca="false">IFERROR(I102/E102,0)</f>
        <v>0.125275537179055</v>
      </c>
      <c r="L102" s="6" t="n">
        <f aca="false">IFERROR(G102/E102,0)</f>
        <v>0.254668133948387</v>
      </c>
      <c r="M102" s="6" t="n">
        <f aca="false">K102+L102</f>
        <v>0.379943671127442</v>
      </c>
      <c r="N102" s="4" t="n">
        <v>9552.51</v>
      </c>
      <c r="O102" s="4" t="n">
        <v>61.74</v>
      </c>
      <c r="P102" s="4" t="n">
        <v>37.03</v>
      </c>
      <c r="Q102" s="4" t="n">
        <v>0</v>
      </c>
      <c r="R102" s="4" t="n">
        <v>10310.02</v>
      </c>
      <c r="S102" s="4" t="n">
        <v>8754.39</v>
      </c>
      <c r="T102" s="6" t="n">
        <f aca="false">IFERROR(R102/S102-1,"")</f>
        <v>0.177697132524368</v>
      </c>
      <c r="U102" s="7" t="n">
        <v>80</v>
      </c>
      <c r="V102" s="8" t="n">
        <v>0.1253</v>
      </c>
      <c r="W102" s="4" t="n">
        <f aca="false">R102*K102</f>
        <v>1291.5932938268</v>
      </c>
      <c r="X102" s="4" t="n">
        <f aca="false">R102*V102</f>
        <v>1291.845506</v>
      </c>
      <c r="Y102" s="4" t="n">
        <f aca="false">X102-W102</f>
        <v>0.25221217320086</v>
      </c>
      <c r="Z102" s="3"/>
      <c r="AA102" s="3" t="s">
        <v>31</v>
      </c>
    </row>
    <row r="103" customFormat="false" ht="15" hidden="false" customHeight="false" outlineLevel="0" collapsed="false">
      <c r="A103" s="3" t="s">
        <v>205</v>
      </c>
      <c r="B103" s="3" t="s">
        <v>243</v>
      </c>
      <c r="C103" s="3" t="s">
        <v>96</v>
      </c>
      <c r="D103" s="3" t="s">
        <v>30</v>
      </c>
      <c r="E103" s="4" t="n">
        <v>52513.5</v>
      </c>
      <c r="F103" s="5" t="n">
        <f aca="false">IFERROR(E103/规则参数!$B$8,0)</f>
        <v>0.00160712693182217</v>
      </c>
      <c r="G103" s="4" t="n">
        <v>5264.48</v>
      </c>
      <c r="H103" s="5" t="n">
        <f aca="false">IFERROR(G103/规则参数!$B$9,0)</f>
        <v>0.00117011544343477</v>
      </c>
      <c r="I103" s="4" t="n">
        <v>9219.97</v>
      </c>
      <c r="J103" s="5" t="n">
        <f aca="false">IFERROR(I103/规则参数!$B$10,0)</f>
        <v>0.00190426874063109</v>
      </c>
      <c r="K103" s="6" t="n">
        <f aca="false">IFERROR(I103/E103,0)</f>
        <v>0.17557332876308</v>
      </c>
      <c r="L103" s="6" t="n">
        <f aca="false">IFERROR(G103/E103,0)</f>
        <v>0.100250030944424</v>
      </c>
      <c r="M103" s="6" t="n">
        <f aca="false">K103+L103</f>
        <v>0.275823359707504</v>
      </c>
      <c r="N103" s="4" t="n">
        <v>8589.49</v>
      </c>
      <c r="O103" s="4" t="n">
        <v>0</v>
      </c>
      <c r="P103" s="4" t="n">
        <v>584.53</v>
      </c>
      <c r="Q103" s="4" t="n">
        <v>45.95</v>
      </c>
      <c r="R103" s="4" t="n">
        <v>10186.3</v>
      </c>
      <c r="S103" s="4" t="n">
        <v>11012.07</v>
      </c>
      <c r="T103" s="6" t="n">
        <f aca="false">IFERROR(R103/S103-1,"")</f>
        <v>-0.0749877180221339</v>
      </c>
      <c r="U103" s="7" t="n">
        <v>240</v>
      </c>
      <c r="V103" s="8" t="n">
        <v>0.1756</v>
      </c>
      <c r="W103" s="4" t="n">
        <f aca="false">R103*K103</f>
        <v>1788.44259877936</v>
      </c>
      <c r="X103" s="4" t="n">
        <f aca="false">R103*V103</f>
        <v>1788.71428</v>
      </c>
      <c r="Y103" s="4" t="n">
        <f aca="false">X103-W103</f>
        <v>0.271681220638584</v>
      </c>
      <c r="Z103" s="3"/>
      <c r="AA103" s="3" t="s">
        <v>31</v>
      </c>
    </row>
    <row r="104" customFormat="false" ht="15" hidden="false" customHeight="false" outlineLevel="0" collapsed="false">
      <c r="A104" s="3" t="s">
        <v>244</v>
      </c>
      <c r="B104" s="3" t="s">
        <v>245</v>
      </c>
      <c r="C104" s="3" t="s">
        <v>34</v>
      </c>
      <c r="D104" s="3" t="s">
        <v>30</v>
      </c>
      <c r="E104" s="4" t="n">
        <v>71773.69</v>
      </c>
      <c r="F104" s="5" t="n">
        <f aca="false">IFERROR(E104/规则参数!$B$8,0)</f>
        <v>0.0021965671721606</v>
      </c>
      <c r="G104" s="4" t="n">
        <v>8374.27</v>
      </c>
      <c r="H104" s="5" t="n">
        <f aca="false">IFERROR(G104/规则参数!$B$9,0)</f>
        <v>0.00186131634168855</v>
      </c>
      <c r="I104" s="4" t="n">
        <v>9217.42</v>
      </c>
      <c r="J104" s="5" t="n">
        <f aca="false">IFERROR(I104/规则参数!$B$10,0)</f>
        <v>0.00190374207023101</v>
      </c>
      <c r="K104" s="6" t="n">
        <f aca="false">IFERROR(I104/E104,0)</f>
        <v>0.128423381882693</v>
      </c>
      <c r="L104" s="6" t="n">
        <f aca="false">IFERROR(G104/E104,0)</f>
        <v>0.116676041039551</v>
      </c>
      <c r="M104" s="6" t="n">
        <f aca="false">K104+L104</f>
        <v>0.245099422922244</v>
      </c>
      <c r="N104" s="4" t="n">
        <v>8773.44</v>
      </c>
      <c r="O104" s="4" t="n">
        <v>-3.86</v>
      </c>
      <c r="P104" s="4" t="n">
        <v>363.42</v>
      </c>
      <c r="Q104" s="4" t="n">
        <v>84.42</v>
      </c>
      <c r="R104" s="4" t="n">
        <v>4926.33</v>
      </c>
      <c r="S104" s="4" t="n">
        <v>5644.38</v>
      </c>
      <c r="T104" s="6" t="n">
        <f aca="false">IFERROR(R104/S104-1,"")</f>
        <v>-0.127215035132291</v>
      </c>
      <c r="U104" s="7" t="n">
        <v>78</v>
      </c>
      <c r="V104" s="8" t="n">
        <v>0.1284</v>
      </c>
      <c r="W104" s="4" t="n">
        <f aca="false">R104*K104</f>
        <v>632.655958870165</v>
      </c>
      <c r="X104" s="4" t="n">
        <f aca="false">R104*V104</f>
        <v>632.540772</v>
      </c>
      <c r="Y104" s="4" t="n">
        <f aca="false">X104-W104</f>
        <v>-0.115186870165417</v>
      </c>
      <c r="Z104" s="3"/>
      <c r="AA104" s="3" t="s">
        <v>31</v>
      </c>
    </row>
    <row r="105" customFormat="false" ht="15" hidden="false" customHeight="false" outlineLevel="0" collapsed="false">
      <c r="A105" s="3" t="s">
        <v>246</v>
      </c>
      <c r="B105" s="3" t="s">
        <v>247</v>
      </c>
      <c r="C105" s="3" t="s">
        <v>29</v>
      </c>
      <c r="D105" s="3" t="s">
        <v>85</v>
      </c>
      <c r="E105" s="4" t="n">
        <v>40329.35</v>
      </c>
      <c r="F105" s="5" t="n">
        <f aca="false">IFERROR(E105/规则参数!$B$8,0)</f>
        <v>0.00123424232869419</v>
      </c>
      <c r="G105" s="4" t="n">
        <v>-947.81</v>
      </c>
      <c r="H105" s="5" t="n">
        <f aca="false">IFERROR(G105/规则参数!$B$9,0)</f>
        <v>-0.000210666033196425</v>
      </c>
      <c r="I105" s="4" t="n">
        <v>8795.92</v>
      </c>
      <c r="J105" s="5" t="n">
        <f aca="false">IFERROR(I105/规则参数!$B$10,0)</f>
        <v>0.00181668655115926</v>
      </c>
      <c r="K105" s="6" t="n">
        <f aca="false">IFERROR(I105/E105,0)</f>
        <v>0.218102201002496</v>
      </c>
      <c r="L105" s="6" t="n">
        <f aca="false">IFERROR(G105/E105,0)</f>
        <v>-0.0235017425274645</v>
      </c>
      <c r="M105" s="6" t="n">
        <f aca="false">K105+L105</f>
        <v>0.194600458475031</v>
      </c>
      <c r="N105" s="4" t="n">
        <v>8808.95</v>
      </c>
      <c r="O105" s="4" t="n">
        <v>-15.49</v>
      </c>
      <c r="P105" s="4" t="n">
        <v>2.46</v>
      </c>
      <c r="Q105" s="4" t="n">
        <v>0</v>
      </c>
      <c r="R105" s="4" t="n">
        <v>1159.53</v>
      </c>
      <c r="S105" s="4" t="n">
        <v>1408.77</v>
      </c>
      <c r="T105" s="6" t="n">
        <f aca="false">IFERROR(R105/S105-1,"")</f>
        <v>-0.176920292169765</v>
      </c>
      <c r="U105" s="7" t="n">
        <v>58</v>
      </c>
      <c r="V105" s="8" t="n">
        <v>0.1446</v>
      </c>
      <c r="W105" s="4" t="n">
        <f aca="false">R105*K105</f>
        <v>252.896045128424</v>
      </c>
      <c r="X105" s="4" t="n">
        <f aca="false">R105*V105</f>
        <v>167.668038</v>
      </c>
      <c r="Y105" s="4" t="n">
        <f aca="false">X105-W105</f>
        <v>-85.2280071284239</v>
      </c>
      <c r="Z105" s="3" t="s">
        <v>86</v>
      </c>
      <c r="AA105" s="3" t="s">
        <v>248</v>
      </c>
    </row>
    <row r="106" customFormat="false" ht="15" hidden="false" customHeight="false" outlineLevel="0" collapsed="false">
      <c r="A106" s="3" t="s">
        <v>80</v>
      </c>
      <c r="B106" s="3" t="s">
        <v>249</v>
      </c>
      <c r="C106" s="3" t="s">
        <v>34</v>
      </c>
      <c r="D106" s="3" t="s">
        <v>46</v>
      </c>
      <c r="E106" s="4" t="n">
        <v>49209.73</v>
      </c>
      <c r="F106" s="5" t="n">
        <f aca="false">IFERROR(E106/规则参数!$B$8,0)</f>
        <v>0.0015060181170689</v>
      </c>
      <c r="G106" s="4" t="n">
        <v>8918.4</v>
      </c>
      <c r="H106" s="5" t="n">
        <f aca="false">IFERROR(G106/规则参数!$B$9,0)</f>
        <v>0.00198225799523005</v>
      </c>
      <c r="I106" s="4" t="n">
        <v>8762.39</v>
      </c>
      <c r="J106" s="5" t="n">
        <f aca="false">IFERROR(I106/规则参数!$B$10,0)</f>
        <v>0.00180976135174176</v>
      </c>
      <c r="K106" s="6" t="n">
        <f aca="false">IFERROR(I106/E106,0)</f>
        <v>0.178062143401315</v>
      </c>
      <c r="L106" s="6" t="n">
        <f aca="false">IFERROR(G106/E106,0)</f>
        <v>0.181232451387155</v>
      </c>
      <c r="M106" s="6" t="n">
        <f aca="false">K106+L106</f>
        <v>0.35929459478847</v>
      </c>
      <c r="N106" s="4" t="n">
        <v>8615.38</v>
      </c>
      <c r="O106" s="4" t="n">
        <v>-31.07</v>
      </c>
      <c r="P106" s="4" t="n">
        <v>17.95</v>
      </c>
      <c r="Q106" s="4" t="n">
        <v>160.13</v>
      </c>
      <c r="R106" s="4" t="n">
        <v>2452.83</v>
      </c>
      <c r="S106" s="4" t="n">
        <v>7923.07</v>
      </c>
      <c r="T106" s="6" t="n">
        <f aca="false">IFERROR(R106/S106-1,"")</f>
        <v>-0.69041924405565</v>
      </c>
      <c r="U106" s="7" t="n">
        <v>172</v>
      </c>
      <c r="V106" s="8" t="n">
        <v>0.1781</v>
      </c>
      <c r="W106" s="4" t="n">
        <f aca="false">R106*K106</f>
        <v>436.756167199048</v>
      </c>
      <c r="X106" s="4" t="n">
        <f aca="false">R106*V106</f>
        <v>436.849023</v>
      </c>
      <c r="Y106" s="4" t="n">
        <f aca="false">X106-W106</f>
        <v>0.0928558009522362</v>
      </c>
      <c r="Z106" s="3" t="s">
        <v>47</v>
      </c>
      <c r="AA106" s="3" t="s">
        <v>250</v>
      </c>
    </row>
    <row r="107" customFormat="false" ht="15" hidden="false" customHeight="false" outlineLevel="0" collapsed="false">
      <c r="A107" s="3" t="s">
        <v>251</v>
      </c>
      <c r="B107" s="3" t="s">
        <v>252</v>
      </c>
      <c r="C107" s="3" t="s">
        <v>96</v>
      </c>
      <c r="D107" s="3" t="s">
        <v>30</v>
      </c>
      <c r="E107" s="4" t="n">
        <v>47634.36</v>
      </c>
      <c r="F107" s="5" t="n">
        <f aca="false">IFERROR(E107/规则参数!$B$8,0)</f>
        <v>0.00145780538025675</v>
      </c>
      <c r="G107" s="4" t="n">
        <v>5442.39</v>
      </c>
      <c r="H107" s="5" t="n">
        <f aca="false">IFERROR(G107/规则参数!$B$9,0)</f>
        <v>0.00120965880546511</v>
      </c>
      <c r="I107" s="4" t="n">
        <v>8718.02</v>
      </c>
      <c r="J107" s="5" t="n">
        <f aca="false">IFERROR(I107/规则参数!$B$10,0)</f>
        <v>0.0018005972867804</v>
      </c>
      <c r="K107" s="6" t="n">
        <f aca="false">IFERROR(I107/E107,0)</f>
        <v>0.183019568227641</v>
      </c>
      <c r="L107" s="6" t="n">
        <f aca="false">IFERROR(G107/E107,0)</f>
        <v>0.114253450660406</v>
      </c>
      <c r="M107" s="6" t="n">
        <f aca="false">K107+L107</f>
        <v>0.297273018888046</v>
      </c>
      <c r="N107" s="4" t="n">
        <v>7029.75</v>
      </c>
      <c r="O107" s="4" t="n">
        <v>364.85</v>
      </c>
      <c r="P107" s="4" t="n">
        <v>612.58</v>
      </c>
      <c r="Q107" s="4" t="n">
        <v>710.84</v>
      </c>
      <c r="R107" s="4" t="n">
        <v>18110.81</v>
      </c>
      <c r="S107" s="4" t="n">
        <v>5744.7</v>
      </c>
      <c r="T107" s="6" t="n">
        <f aca="false">IFERROR(R107/S107-1,"")</f>
        <v>2.15261197277491</v>
      </c>
      <c r="U107" s="7" t="n">
        <v>1193</v>
      </c>
      <c r="V107" s="8" t="n">
        <v>0.183</v>
      </c>
      <c r="W107" s="4" t="n">
        <f aca="false">R107*K107</f>
        <v>3314.63262645284</v>
      </c>
      <c r="X107" s="4" t="n">
        <f aca="false">R107*V107</f>
        <v>3314.27823</v>
      </c>
      <c r="Y107" s="4" t="n">
        <f aca="false">X107-W107</f>
        <v>-0.354396452838046</v>
      </c>
      <c r="Z107" s="3"/>
      <c r="AA107" s="3" t="s">
        <v>31</v>
      </c>
    </row>
    <row r="108" customFormat="false" ht="15" hidden="false" customHeight="false" outlineLevel="0" collapsed="false">
      <c r="A108" s="3" t="s">
        <v>64</v>
      </c>
      <c r="B108" s="3" t="s">
        <v>253</v>
      </c>
      <c r="C108" s="3" t="s">
        <v>34</v>
      </c>
      <c r="D108" s="3" t="s">
        <v>46</v>
      </c>
      <c r="E108" s="4" t="n">
        <v>104802.99</v>
      </c>
      <c r="F108" s="5" t="n">
        <f aca="false">IFERROR(E108/规则参数!$B$8,0)</f>
        <v>0.00320739824548906</v>
      </c>
      <c r="G108" s="4" t="n">
        <v>26082.12</v>
      </c>
      <c r="H108" s="5" t="n">
        <f aca="false">IFERROR(G108/规则参数!$B$9,0)</f>
        <v>0.00579717111842366</v>
      </c>
      <c r="I108" s="4" t="n">
        <v>8650.87</v>
      </c>
      <c r="J108" s="5" t="n">
        <f aca="false">IFERROR(I108/规则参数!$B$10,0)</f>
        <v>0.00178672829957834</v>
      </c>
      <c r="K108" s="6" t="n">
        <f aca="false">IFERROR(I108/E108,0)</f>
        <v>0.0825441144379564</v>
      </c>
      <c r="L108" s="6" t="n">
        <f aca="false">IFERROR(G108/E108,0)</f>
        <v>0.24886809050009</v>
      </c>
      <c r="M108" s="6" t="n">
        <f aca="false">K108+L108</f>
        <v>0.331412204938046</v>
      </c>
      <c r="N108" s="4" t="n">
        <v>8539.74</v>
      </c>
      <c r="O108" s="4" t="n">
        <v>7.05</v>
      </c>
      <c r="P108" s="4" t="n">
        <v>98.5</v>
      </c>
      <c r="Q108" s="4" t="n">
        <v>5.58</v>
      </c>
      <c r="R108" s="4" t="n">
        <v>150.43</v>
      </c>
      <c r="S108" s="4" t="n">
        <v>260.35</v>
      </c>
      <c r="T108" s="6" t="n">
        <f aca="false">IFERROR(R108/S108-1,"")</f>
        <v>-0.422200883426157</v>
      </c>
      <c r="U108" s="7" t="n">
        <v>0</v>
      </c>
      <c r="V108" s="8" t="n">
        <v>0.0825</v>
      </c>
      <c r="W108" s="4" t="n">
        <f aca="false">R108*K108</f>
        <v>12.4171111349018</v>
      </c>
      <c r="X108" s="4" t="n">
        <f aca="false">R108*V108</f>
        <v>12.410475</v>
      </c>
      <c r="Y108" s="4" t="n">
        <f aca="false">X108-W108</f>
        <v>-0.00663613490177895</v>
      </c>
      <c r="Z108" s="3" t="s">
        <v>47</v>
      </c>
      <c r="AA108" s="3" t="s">
        <v>254</v>
      </c>
    </row>
    <row r="109" customFormat="false" ht="15" hidden="false" customHeight="false" outlineLevel="0" collapsed="false">
      <c r="A109" s="3" t="s">
        <v>27</v>
      </c>
      <c r="B109" s="3" t="s">
        <v>255</v>
      </c>
      <c r="C109" s="3" t="s">
        <v>34</v>
      </c>
      <c r="D109" s="3" t="s">
        <v>85</v>
      </c>
      <c r="E109" s="4" t="n">
        <v>35512.98</v>
      </c>
      <c r="F109" s="5" t="n">
        <f aca="false">IFERROR(E109/规则参数!$B$8,0)</f>
        <v>0.00108684179472445</v>
      </c>
      <c r="G109" s="4" t="n">
        <v>-1165.61</v>
      </c>
      <c r="H109" s="5" t="n">
        <f aca="false">IFERROR(G109/规则参数!$B$9,0)</f>
        <v>-0.000259075589995974</v>
      </c>
      <c r="I109" s="4" t="n">
        <v>8468.91</v>
      </c>
      <c r="J109" s="5" t="n">
        <f aca="false">IFERROR(I109/规则参数!$B$10,0)</f>
        <v>0.00174914675212805</v>
      </c>
      <c r="K109" s="6" t="n">
        <f aca="false">IFERROR(I109/E109,0)</f>
        <v>0.23847365104252</v>
      </c>
      <c r="L109" s="6" t="n">
        <f aca="false">IFERROR(G109/E109,0)</f>
        <v>-0.0328220836437832</v>
      </c>
      <c r="M109" s="6" t="n">
        <f aca="false">K109+L109</f>
        <v>0.205651567398737</v>
      </c>
      <c r="N109" s="4" t="n">
        <v>8041.46</v>
      </c>
      <c r="O109" s="4" t="n">
        <v>30.63</v>
      </c>
      <c r="P109" s="4" t="n">
        <v>66.73</v>
      </c>
      <c r="Q109" s="4" t="n">
        <v>330.09</v>
      </c>
      <c r="R109" s="4" t="n">
        <v>1630.21</v>
      </c>
      <c r="S109" s="4" t="n">
        <v>1500.53</v>
      </c>
      <c r="T109" s="6" t="n">
        <f aca="false">IFERROR(R109/S109-1,"")</f>
        <v>0.0864227972782949</v>
      </c>
      <c r="U109" s="7" t="n">
        <v>364</v>
      </c>
      <c r="V109" s="8" t="n">
        <v>0.1057</v>
      </c>
      <c r="W109" s="4" t="n">
        <f aca="false">R109*K109</f>
        <v>388.762130666027</v>
      </c>
      <c r="X109" s="4" t="n">
        <f aca="false">R109*V109</f>
        <v>172.313197</v>
      </c>
      <c r="Y109" s="4" t="n">
        <f aca="false">X109-W109</f>
        <v>-216.448933666027</v>
      </c>
      <c r="Z109" s="3" t="s">
        <v>86</v>
      </c>
      <c r="AA109" s="3" t="s">
        <v>256</v>
      </c>
    </row>
    <row r="110" customFormat="false" ht="15" hidden="false" customHeight="false" outlineLevel="0" collapsed="false">
      <c r="A110" s="3" t="s">
        <v>73</v>
      </c>
      <c r="B110" s="3" t="s">
        <v>257</v>
      </c>
      <c r="C110" s="3" t="s">
        <v>34</v>
      </c>
      <c r="D110" s="3" t="s">
        <v>30</v>
      </c>
      <c r="E110" s="4" t="n">
        <v>57496.88</v>
      </c>
      <c r="F110" s="5" t="n">
        <f aca="false">IFERROR(E110/规则参数!$B$8,0)</f>
        <v>0.00175963865184662</v>
      </c>
      <c r="G110" s="4" t="n">
        <v>8487.38</v>
      </c>
      <c r="H110" s="5" t="n">
        <f aca="false">IFERROR(G110/规则参数!$B$9,0)</f>
        <v>0.00188645686037357</v>
      </c>
      <c r="I110" s="4" t="n">
        <v>8332.87</v>
      </c>
      <c r="J110" s="5" t="n">
        <f aca="false">IFERROR(I110/规则参数!$B$10,0)</f>
        <v>0.0017210494026274</v>
      </c>
      <c r="K110" s="6" t="n">
        <f aca="false">IFERROR(I110/E110,0)</f>
        <v>0.144927342144478</v>
      </c>
      <c r="L110" s="6" t="n">
        <f aca="false">IFERROR(G110/E110,0)</f>
        <v>0.147614618393207</v>
      </c>
      <c r="M110" s="6" t="n">
        <f aca="false">K110+L110</f>
        <v>0.292541960537685</v>
      </c>
      <c r="N110" s="4" t="n">
        <v>6764.32</v>
      </c>
      <c r="O110" s="4" t="n">
        <v>897.53</v>
      </c>
      <c r="P110" s="4" t="n">
        <v>495.65</v>
      </c>
      <c r="Q110" s="4" t="n">
        <v>175.37</v>
      </c>
      <c r="R110" s="4" t="n">
        <v>13607.51</v>
      </c>
      <c r="S110" s="4" t="n">
        <v>5913.01</v>
      </c>
      <c r="T110" s="6" t="n">
        <f aca="false">IFERROR(R110/S110-1,"")</f>
        <v>1.30128310285286</v>
      </c>
      <c r="U110" s="7" t="n">
        <v>1931</v>
      </c>
      <c r="V110" s="8" t="n">
        <v>0.1449</v>
      </c>
      <c r="W110" s="4" t="n">
        <f aca="false">R110*K110</f>
        <v>1972.10025750441</v>
      </c>
      <c r="X110" s="4" t="n">
        <f aca="false">R110*V110</f>
        <v>1971.728199</v>
      </c>
      <c r="Y110" s="4" t="n">
        <f aca="false">X110-W110</f>
        <v>-0.372058504407278</v>
      </c>
      <c r="Z110" s="3"/>
      <c r="AA110" s="3" t="s">
        <v>31</v>
      </c>
    </row>
    <row r="111" customFormat="false" ht="15" hidden="false" customHeight="false" outlineLevel="0" collapsed="false">
      <c r="A111" s="3" t="s">
        <v>238</v>
      </c>
      <c r="B111" s="3" t="s">
        <v>258</v>
      </c>
      <c r="C111" s="3" t="s">
        <v>34</v>
      </c>
      <c r="D111" s="3" t="s">
        <v>46</v>
      </c>
      <c r="E111" s="4" t="n">
        <v>85126.72</v>
      </c>
      <c r="F111" s="5" t="n">
        <f aca="false">IFERROR(E111/规则参数!$B$8,0)</f>
        <v>0.00260522426289783</v>
      </c>
      <c r="G111" s="4" t="n">
        <v>15140.6</v>
      </c>
      <c r="H111" s="5" t="n">
        <f aca="false">IFERROR(G111/规则参数!$B$9,0)</f>
        <v>0.00336524212892224</v>
      </c>
      <c r="I111" s="4" t="n">
        <v>8251.2</v>
      </c>
      <c r="J111" s="5" t="n">
        <f aca="false">IFERROR(I111/规则参数!$B$10,0)</f>
        <v>0.00170418149220607</v>
      </c>
      <c r="K111" s="6" t="n">
        <f aca="false">IFERROR(I111/E111,0)</f>
        <v>0.0969284379804602</v>
      </c>
      <c r="L111" s="6" t="n">
        <f aca="false">IFERROR(G111/E111,0)</f>
        <v>0.177859548682247</v>
      </c>
      <c r="M111" s="6" t="n">
        <f aca="false">K111+L111</f>
        <v>0.274787986662707</v>
      </c>
      <c r="N111" s="4" t="n">
        <v>8152.48</v>
      </c>
      <c r="O111" s="4" t="n">
        <v>47.14</v>
      </c>
      <c r="P111" s="4" t="n">
        <v>13.6</v>
      </c>
      <c r="Q111" s="4" t="n">
        <v>37.98</v>
      </c>
      <c r="R111" s="4" t="n">
        <v>0</v>
      </c>
      <c r="S111" s="4" t="n">
        <v>101.98</v>
      </c>
      <c r="T111" s="6" t="n">
        <f aca="false">IFERROR(R111/S111-1,"")</f>
        <v>-1</v>
      </c>
      <c r="U111" s="7" t="n">
        <v>0</v>
      </c>
      <c r="V111" s="8" t="n">
        <v>0.0969</v>
      </c>
      <c r="W111" s="4" t="n">
        <f aca="false">R111*K111</f>
        <v>0</v>
      </c>
      <c r="X111" s="4" t="n">
        <f aca="false">R111*V111</f>
        <v>0</v>
      </c>
      <c r="Y111" s="4" t="n">
        <f aca="false">X111-W111</f>
        <v>0</v>
      </c>
      <c r="Z111" s="3" t="s">
        <v>47</v>
      </c>
      <c r="AA111" s="3" t="s">
        <v>259</v>
      </c>
    </row>
    <row r="112" customFormat="false" ht="15" hidden="false" customHeight="false" outlineLevel="0" collapsed="false">
      <c r="A112" s="3" t="s">
        <v>73</v>
      </c>
      <c r="B112" s="3" t="s">
        <v>260</v>
      </c>
      <c r="C112" s="3" t="s">
        <v>34</v>
      </c>
      <c r="D112" s="3" t="s">
        <v>56</v>
      </c>
      <c r="E112" s="4" t="n">
        <v>128130.61</v>
      </c>
      <c r="F112" s="5" t="n">
        <f aca="false">IFERROR(E112/规则参数!$B$8,0)</f>
        <v>0.00392131840615848</v>
      </c>
      <c r="G112" s="4" t="n">
        <v>34922.49</v>
      </c>
      <c r="H112" s="5" t="n">
        <f aca="false">IFERROR(G112/规则参数!$B$9,0)</f>
        <v>0.00776208568979205</v>
      </c>
      <c r="I112" s="4" t="n">
        <v>7913.06</v>
      </c>
      <c r="J112" s="5" t="n">
        <f aca="false">IFERROR(I112/规则参数!$B$10,0)</f>
        <v>0.00163434293178158</v>
      </c>
      <c r="K112" s="6" t="n">
        <f aca="false">IFERROR(I112/E112,0)</f>
        <v>0.0617577642063829</v>
      </c>
      <c r="L112" s="6" t="n">
        <f aca="false">IFERROR(G112/E112,0)</f>
        <v>0.272553841740081</v>
      </c>
      <c r="M112" s="6" t="n">
        <f aca="false">K112+L112</f>
        <v>0.334311605946464</v>
      </c>
      <c r="N112" s="4" t="n">
        <v>6129.25</v>
      </c>
      <c r="O112" s="4" t="n">
        <v>689.88</v>
      </c>
      <c r="P112" s="4" t="n">
        <v>933.53</v>
      </c>
      <c r="Q112" s="4" t="n">
        <v>160.4</v>
      </c>
      <c r="R112" s="4" t="n">
        <v>10866.06</v>
      </c>
      <c r="S112" s="4" t="n">
        <v>6600.41</v>
      </c>
      <c r="T112" s="6" t="n">
        <f aca="false">IFERROR(R112/S112-1,"")</f>
        <v>0.646270458956338</v>
      </c>
      <c r="U112" s="7" t="n">
        <v>862</v>
      </c>
      <c r="V112" s="8" t="n">
        <v>0.0803</v>
      </c>
      <c r="W112" s="4" t="n">
        <f aca="false">R112*K112</f>
        <v>671.063571332408</v>
      </c>
      <c r="X112" s="4" t="n">
        <f aca="false">R112*V112</f>
        <v>872.544618</v>
      </c>
      <c r="Y112" s="4" t="n">
        <f aca="false">X112-W112</f>
        <v>201.481046667592</v>
      </c>
      <c r="Z112" s="3" t="s">
        <v>57</v>
      </c>
      <c r="AA112" s="3" t="s">
        <v>261</v>
      </c>
    </row>
    <row r="113" customFormat="false" ht="15" hidden="false" customHeight="false" outlineLevel="0" collapsed="false">
      <c r="A113" s="3" t="s">
        <v>169</v>
      </c>
      <c r="B113" s="3" t="s">
        <v>262</v>
      </c>
      <c r="C113" s="3" t="s">
        <v>29</v>
      </c>
      <c r="D113" s="3" t="s">
        <v>46</v>
      </c>
      <c r="E113" s="4" t="n">
        <v>30716.23</v>
      </c>
      <c r="F113" s="5" t="n">
        <f aca="false">IFERROR(E113/规则参数!$B$8,0)</f>
        <v>0.000940041712646161</v>
      </c>
      <c r="G113" s="4" t="n">
        <v>1806.13</v>
      </c>
      <c r="H113" s="5" t="n">
        <f aca="false">IFERROR(G113/规则参数!$B$9,0)</f>
        <v>0.00040144147301364</v>
      </c>
      <c r="I113" s="4" t="n">
        <v>7809.1</v>
      </c>
      <c r="J113" s="5" t="n">
        <f aca="false">IFERROR(I113/规则参数!$B$10,0)</f>
        <v>0.00161287130245134</v>
      </c>
      <c r="K113" s="6" t="n">
        <f aca="false">IFERROR(I113/E113,0)</f>
        <v>0.254233673859064</v>
      </c>
      <c r="L113" s="6" t="n">
        <f aca="false">IFERROR(G113/E113,0)</f>
        <v>0.0588005103490891</v>
      </c>
      <c r="M113" s="6" t="n">
        <f aca="false">K113+L113</f>
        <v>0.313034184208153</v>
      </c>
      <c r="N113" s="4" t="n">
        <v>6654.4</v>
      </c>
      <c r="O113" s="4" t="n">
        <v>4.1</v>
      </c>
      <c r="P113" s="4" t="n">
        <v>1135.5</v>
      </c>
      <c r="Q113" s="4" t="n">
        <v>15.1</v>
      </c>
      <c r="R113" s="4" t="n">
        <v>0</v>
      </c>
      <c r="S113" s="4" t="n">
        <v>93.99</v>
      </c>
      <c r="T113" s="6" t="n">
        <f aca="false">IFERROR(R113/S113-1,"")</f>
        <v>-1</v>
      </c>
      <c r="U113" s="7" t="n">
        <v>0</v>
      </c>
      <c r="V113" s="8" t="n">
        <v>0.15</v>
      </c>
      <c r="W113" s="4" t="n">
        <f aca="false">R113*K113</f>
        <v>0</v>
      </c>
      <c r="X113" s="4" t="n">
        <f aca="false">R113*V113</f>
        <v>0</v>
      </c>
      <c r="Y113" s="4" t="n">
        <f aca="false">X113-W113</f>
        <v>0</v>
      </c>
      <c r="Z113" s="3" t="s">
        <v>69</v>
      </c>
      <c r="AA113" s="3" t="s">
        <v>263</v>
      </c>
    </row>
    <row r="114" customFormat="false" ht="15" hidden="false" customHeight="false" outlineLevel="0" collapsed="false">
      <c r="A114" s="3" t="s">
        <v>39</v>
      </c>
      <c r="B114" s="3" t="s">
        <v>264</v>
      </c>
      <c r="C114" s="3" t="s">
        <v>34</v>
      </c>
      <c r="D114" s="3" t="s">
        <v>85</v>
      </c>
      <c r="E114" s="4" t="n">
        <v>24375.07</v>
      </c>
      <c r="F114" s="5" t="n">
        <f aca="false">IFERROR(E114/规则参数!$B$8,0)</f>
        <v>0.000745976395822992</v>
      </c>
      <c r="G114" s="4" t="n">
        <v>-1013.49</v>
      </c>
      <c r="H114" s="5" t="n">
        <f aca="false">IFERROR(G114/规则参数!$B$9,0)</f>
        <v>-0.000225264470710632</v>
      </c>
      <c r="I114" s="4" t="n">
        <v>7793.54</v>
      </c>
      <c r="J114" s="5" t="n">
        <f aca="false">IFERROR(I114/规则参数!$B$10,0)</f>
        <v>0.0016096575803238</v>
      </c>
      <c r="K114" s="6" t="n">
        <f aca="false">IFERROR(I114/E114,0)</f>
        <v>0.319734056148352</v>
      </c>
      <c r="L114" s="6" t="n">
        <f aca="false">IFERROR(G114/E114,0)</f>
        <v>-0.04157895751684</v>
      </c>
      <c r="M114" s="6" t="n">
        <f aca="false">K114+L114</f>
        <v>0.278155098631512</v>
      </c>
      <c r="N114" s="4" t="n">
        <v>7740.68</v>
      </c>
      <c r="O114" s="4" t="n">
        <v>28.68</v>
      </c>
      <c r="P114" s="4" t="n">
        <v>24.18</v>
      </c>
      <c r="Q114" s="4" t="n">
        <v>0</v>
      </c>
      <c r="R114" s="4" t="n">
        <v>2749.8</v>
      </c>
      <c r="S114" s="4" t="n">
        <v>2828.67</v>
      </c>
      <c r="T114" s="6" t="n">
        <f aca="false">IFERROR(R114/S114-1,"")</f>
        <v>-0.0278823616752749</v>
      </c>
      <c r="U114" s="7" t="n">
        <v>33</v>
      </c>
      <c r="V114" s="8" t="n">
        <v>0.1782</v>
      </c>
      <c r="W114" s="4" t="n">
        <f aca="false">R114*K114</f>
        <v>879.204707596737</v>
      </c>
      <c r="X114" s="4" t="n">
        <f aca="false">R114*V114</f>
        <v>490.01436</v>
      </c>
      <c r="Y114" s="4" t="n">
        <f aca="false">X114-W114</f>
        <v>-389.190347596737</v>
      </c>
      <c r="Z114" s="3" t="s">
        <v>86</v>
      </c>
      <c r="AA114" s="3" t="s">
        <v>265</v>
      </c>
    </row>
    <row r="115" customFormat="false" ht="15" hidden="false" customHeight="false" outlineLevel="0" collapsed="false">
      <c r="A115" s="3" t="s">
        <v>27</v>
      </c>
      <c r="B115" s="3" t="s">
        <v>266</v>
      </c>
      <c r="C115" s="3" t="s">
        <v>34</v>
      </c>
      <c r="D115" s="3" t="s">
        <v>56</v>
      </c>
      <c r="E115" s="4" t="n">
        <v>67204.19</v>
      </c>
      <c r="F115" s="5" t="n">
        <f aca="false">IFERROR(E115/规则参数!$B$8,0)</f>
        <v>0.00205672186543069</v>
      </c>
      <c r="G115" s="4" t="n">
        <v>10798.24</v>
      </c>
      <c r="H115" s="5" t="n">
        <f aca="false">IFERROR(G115/规则参数!$B$9,0)</f>
        <v>0.00240008270254899</v>
      </c>
      <c r="I115" s="4" t="n">
        <v>7786.24</v>
      </c>
      <c r="J115" s="5" t="n">
        <f aca="false">IFERROR(I115/规则参数!$B$10,0)</f>
        <v>0.00160814985721769</v>
      </c>
      <c r="K115" s="6" t="n">
        <f aca="false">IFERROR(I115/E115,0)</f>
        <v>0.115859442692487</v>
      </c>
      <c r="L115" s="6" t="n">
        <f aca="false">IFERROR(G115/E115,0)</f>
        <v>0.160678076768725</v>
      </c>
      <c r="M115" s="6" t="n">
        <f aca="false">K115+L115</f>
        <v>0.276537519461212</v>
      </c>
      <c r="N115" s="4" t="n">
        <v>7377.06</v>
      </c>
      <c r="O115" s="4" t="n">
        <v>66.55</v>
      </c>
      <c r="P115" s="4" t="n">
        <v>29.18</v>
      </c>
      <c r="Q115" s="4" t="n">
        <v>313.45</v>
      </c>
      <c r="R115" s="4" t="n">
        <v>3844.02</v>
      </c>
      <c r="S115" s="4" t="n">
        <v>3671</v>
      </c>
      <c r="T115" s="6" t="n">
        <f aca="false">IFERROR(R115/S115-1,"")</f>
        <v>0.0471315717788068</v>
      </c>
      <c r="U115" s="7" t="n">
        <v>853</v>
      </c>
      <c r="V115" s="8" t="n">
        <v>0.1506</v>
      </c>
      <c r="W115" s="4" t="n">
        <f aca="false">R115*K115</f>
        <v>445.366014898773</v>
      </c>
      <c r="X115" s="4" t="n">
        <f aca="false">R115*V115</f>
        <v>578.909412</v>
      </c>
      <c r="Y115" s="4" t="n">
        <f aca="false">X115-W115</f>
        <v>133.543397101227</v>
      </c>
      <c r="Z115" s="3" t="s">
        <v>57</v>
      </c>
      <c r="AA115" s="3" t="s">
        <v>267</v>
      </c>
    </row>
    <row r="116" customFormat="false" ht="15" hidden="false" customHeight="false" outlineLevel="0" collapsed="false">
      <c r="A116" s="3" t="s">
        <v>98</v>
      </c>
      <c r="B116" s="3" t="s">
        <v>268</v>
      </c>
      <c r="C116" s="3" t="s">
        <v>34</v>
      </c>
      <c r="D116" s="3" t="s">
        <v>30</v>
      </c>
      <c r="E116" s="4" t="n">
        <v>48777.55</v>
      </c>
      <c r="F116" s="5" t="n">
        <f aca="false">IFERROR(E116/规则参数!$B$8,0)</f>
        <v>0.00149279164925786</v>
      </c>
      <c r="G116" s="4" t="n">
        <v>10963.94</v>
      </c>
      <c r="H116" s="5" t="n">
        <f aca="false">IFERROR(G116/规则参数!$B$9,0)</f>
        <v>0.00243691219548602</v>
      </c>
      <c r="I116" s="4" t="n">
        <v>7782.31</v>
      </c>
      <c r="J116" s="5" t="n">
        <f aca="false">IFERROR(I116/规则参数!$B$10,0)</f>
        <v>0.00160733816518934</v>
      </c>
      <c r="K116" s="6" t="n">
        <f aca="false">IFERROR(I116/E116,0)</f>
        <v>0.15954696371589</v>
      </c>
      <c r="L116" s="6" t="n">
        <f aca="false">IFERROR(G116/E116,0)</f>
        <v>0.224774307032641</v>
      </c>
      <c r="M116" s="6" t="n">
        <f aca="false">K116+L116</f>
        <v>0.384321270748531</v>
      </c>
      <c r="N116" s="4" t="n">
        <v>7665.04</v>
      </c>
      <c r="O116" s="4" t="n">
        <v>-15.57</v>
      </c>
      <c r="P116" s="4" t="n">
        <v>-0.55</v>
      </c>
      <c r="Q116" s="4" t="n">
        <v>133.39</v>
      </c>
      <c r="R116" s="4" t="n">
        <v>5178.64</v>
      </c>
      <c r="S116" s="4" t="n">
        <v>5252.06</v>
      </c>
      <c r="T116" s="6" t="n">
        <f aca="false">IFERROR(R116/S116-1,"")</f>
        <v>-0.0139792767028557</v>
      </c>
      <c r="U116" s="7" t="n">
        <v>1306</v>
      </c>
      <c r="V116" s="8" t="n">
        <v>0.1595</v>
      </c>
      <c r="W116" s="4" t="n">
        <f aca="false">R116*K116</f>
        <v>826.236288177656</v>
      </c>
      <c r="X116" s="4" t="n">
        <f aca="false">R116*V116</f>
        <v>825.99308</v>
      </c>
      <c r="Y116" s="4" t="n">
        <f aca="false">X116-W116</f>
        <v>-0.243208177655447</v>
      </c>
      <c r="Z116" s="3"/>
      <c r="AA116" s="3" t="s">
        <v>31</v>
      </c>
    </row>
    <row r="117" customFormat="false" ht="15" hidden="false" customHeight="false" outlineLevel="0" collapsed="false">
      <c r="A117" s="3" t="s">
        <v>169</v>
      </c>
      <c r="B117" s="3" t="s">
        <v>269</v>
      </c>
      <c r="C117" s="3" t="s">
        <v>34</v>
      </c>
      <c r="D117" s="3" t="s">
        <v>56</v>
      </c>
      <c r="E117" s="4" t="n">
        <v>86624.45</v>
      </c>
      <c r="F117" s="5" t="n">
        <f aca="false">IFERROR(E117/规则参数!$B$8,0)</f>
        <v>0.00265106089956455</v>
      </c>
      <c r="G117" s="4" t="n">
        <v>22918.93</v>
      </c>
      <c r="H117" s="5" t="n">
        <f aca="false">IFERROR(G117/规则参数!$B$9,0)</f>
        <v>0.00509410121037606</v>
      </c>
      <c r="I117" s="4" t="n">
        <v>7346.45</v>
      </c>
      <c r="J117" s="5" t="n">
        <f aca="false">IFERROR(I117/规则参数!$B$10,0)</f>
        <v>0.0015173167688842</v>
      </c>
      <c r="K117" s="6" t="n">
        <f aca="false">IFERROR(I117/E117,0)</f>
        <v>0.0848080420712628</v>
      </c>
      <c r="L117" s="6" t="n">
        <f aca="false">IFERROR(G117/E117,0)</f>
        <v>0.264578072357169</v>
      </c>
      <c r="M117" s="6" t="n">
        <f aca="false">K117+L117</f>
        <v>0.349386114428432</v>
      </c>
      <c r="N117" s="4" t="n">
        <v>7346.45</v>
      </c>
      <c r="O117" s="4" t="n">
        <v>0</v>
      </c>
      <c r="P117" s="4" t="n">
        <v>0</v>
      </c>
      <c r="Q117" s="4" t="n">
        <v>0</v>
      </c>
      <c r="R117" s="4" t="n">
        <v>12402.09</v>
      </c>
      <c r="S117" s="4" t="n">
        <v>10057.85</v>
      </c>
      <c r="T117" s="6" t="n">
        <f aca="false">IFERROR(R117/S117-1,"")</f>
        <v>0.23307565732239</v>
      </c>
      <c r="U117" s="7" t="n">
        <v>1930</v>
      </c>
      <c r="V117" s="8" t="n">
        <v>0.1103</v>
      </c>
      <c r="W117" s="4" t="n">
        <f aca="false">R117*K117</f>
        <v>1051.79697049159</v>
      </c>
      <c r="X117" s="4" t="n">
        <f aca="false">R117*V117</f>
        <v>1367.950527</v>
      </c>
      <c r="Y117" s="4" t="n">
        <f aca="false">X117-W117</f>
        <v>316.153556508413</v>
      </c>
      <c r="Z117" s="3" t="s">
        <v>57</v>
      </c>
      <c r="AA117" s="3" t="s">
        <v>270</v>
      </c>
    </row>
    <row r="118" customFormat="false" ht="15" hidden="false" customHeight="false" outlineLevel="0" collapsed="false">
      <c r="A118" s="3" t="s">
        <v>271</v>
      </c>
      <c r="B118" s="3" t="s">
        <v>272</v>
      </c>
      <c r="C118" s="3" t="s">
        <v>96</v>
      </c>
      <c r="D118" s="3" t="s">
        <v>30</v>
      </c>
      <c r="E118" s="4" t="n">
        <v>40206.1</v>
      </c>
      <c r="F118" s="5" t="n">
        <f aca="false">IFERROR(E118/规则参数!$B$8,0)</f>
        <v>0.00123047037682759</v>
      </c>
      <c r="G118" s="4" t="n">
        <v>2941.75</v>
      </c>
      <c r="H118" s="5" t="n">
        <f aca="false">IFERROR(G118/规则参数!$B$9,0)</f>
        <v>0.000653851302640384</v>
      </c>
      <c r="I118" s="4" t="n">
        <v>7172.28</v>
      </c>
      <c r="J118" s="5" t="n">
        <f aca="false">IFERROR(I118/规则参数!$B$10,0)</f>
        <v>0.0014813441478718</v>
      </c>
      <c r="K118" s="6" t="n">
        <f aca="false">IFERROR(I118/E118,0)</f>
        <v>0.178387856569028</v>
      </c>
      <c r="L118" s="6" t="n">
        <f aca="false">IFERROR(G118/E118,0)</f>
        <v>0.0731667582779728</v>
      </c>
      <c r="M118" s="6" t="n">
        <f aca="false">K118+L118</f>
        <v>0.251554614847001</v>
      </c>
      <c r="N118" s="4" t="n">
        <v>7162.37</v>
      </c>
      <c r="O118" s="4" t="n">
        <v>9.91</v>
      </c>
      <c r="P118" s="4" t="n">
        <v>0</v>
      </c>
      <c r="Q118" s="4" t="n">
        <v>0</v>
      </c>
      <c r="R118" s="4" t="n">
        <v>6088.78</v>
      </c>
      <c r="S118" s="4" t="n">
        <v>5687.37</v>
      </c>
      <c r="T118" s="6" t="n">
        <f aca="false">IFERROR(R118/S118-1,"")</f>
        <v>0.0705791956563402</v>
      </c>
      <c r="U118" s="7" t="n">
        <v>1570</v>
      </c>
      <c r="V118" s="8" t="n">
        <v>0.1784</v>
      </c>
      <c r="W118" s="4" t="n">
        <f aca="false">R118*K118</f>
        <v>1086.16441332037</v>
      </c>
      <c r="X118" s="4" t="n">
        <f aca="false">R118*V118</f>
        <v>1086.238352</v>
      </c>
      <c r="Y118" s="4" t="n">
        <f aca="false">X118-W118</f>
        <v>0.0739386796333292</v>
      </c>
      <c r="Z118" s="3"/>
      <c r="AA118" s="3" t="s">
        <v>31</v>
      </c>
    </row>
    <row r="119" customFormat="false" ht="15" hidden="false" customHeight="false" outlineLevel="0" collapsed="false">
      <c r="A119" s="3" t="s">
        <v>273</v>
      </c>
      <c r="B119" s="3" t="s">
        <v>274</v>
      </c>
      <c r="C119" s="3" t="s">
        <v>34</v>
      </c>
      <c r="D119" s="3" t="s">
        <v>138</v>
      </c>
      <c r="E119" s="4" t="n">
        <v>35872.19</v>
      </c>
      <c r="F119" s="5" t="n">
        <f aca="false">IFERROR(E119/规则参数!$B$8,0)</f>
        <v>0.00109783508340602</v>
      </c>
      <c r="G119" s="4" t="n">
        <v>267.67</v>
      </c>
      <c r="H119" s="5" t="n">
        <f aca="false">IFERROR(G119/规则参数!$B$9,0)</f>
        <v>5.94939672568204E-005</v>
      </c>
      <c r="I119" s="4" t="n">
        <v>6959.58</v>
      </c>
      <c r="J119" s="5" t="n">
        <f aca="false">IFERROR(I119/规则参数!$B$10,0)</f>
        <v>0.00143741364038292</v>
      </c>
      <c r="K119" s="6" t="n">
        <f aca="false">IFERROR(I119/E119,0)</f>
        <v>0.194010457683236</v>
      </c>
      <c r="L119" s="6" t="n">
        <f aca="false">IFERROR(G119/E119,0)</f>
        <v>0.00746176913090614</v>
      </c>
      <c r="M119" s="6" t="n">
        <f aca="false">K119+L119</f>
        <v>0.201472226814142</v>
      </c>
      <c r="N119" s="4" t="n">
        <v>5953.56</v>
      </c>
      <c r="O119" s="4" t="n">
        <v>90.18</v>
      </c>
      <c r="P119" s="4" t="n">
        <v>691.29</v>
      </c>
      <c r="Q119" s="4" t="n">
        <v>224.55</v>
      </c>
      <c r="R119" s="4" t="n">
        <v>2871.06</v>
      </c>
      <c r="S119" s="4" t="n">
        <v>6800.38</v>
      </c>
      <c r="T119" s="6" t="n">
        <f aca="false">IFERROR(R119/S119-1,"")</f>
        <v>-0.577808887150424</v>
      </c>
      <c r="U119" s="7" t="n">
        <v>474</v>
      </c>
      <c r="V119" s="8" t="n">
        <v>0.1015</v>
      </c>
      <c r="W119" s="4" t="n">
        <f aca="false">R119*K119</f>
        <v>557.015664636031</v>
      </c>
      <c r="X119" s="4" t="n">
        <f aca="false">R119*V119</f>
        <v>291.41259</v>
      </c>
      <c r="Y119" s="4" t="n">
        <f aca="false">X119-W119</f>
        <v>-265.603074636031</v>
      </c>
      <c r="Z119" s="3" t="s">
        <v>139</v>
      </c>
      <c r="AA119" s="3" t="s">
        <v>275</v>
      </c>
    </row>
    <row r="120" customFormat="false" ht="15" hidden="false" customHeight="false" outlineLevel="0" collapsed="false">
      <c r="A120" s="3" t="s">
        <v>39</v>
      </c>
      <c r="B120" s="3" t="s">
        <v>276</v>
      </c>
      <c r="C120" s="3" t="s">
        <v>96</v>
      </c>
      <c r="D120" s="3" t="s">
        <v>46</v>
      </c>
      <c r="E120" s="4" t="n">
        <v>26049.79</v>
      </c>
      <c r="F120" s="5" t="n">
        <f aca="false">IFERROR(E120/规则参数!$B$8,0)</f>
        <v>0.00079722964718238</v>
      </c>
      <c r="G120" s="4" t="n">
        <v>819.11</v>
      </c>
      <c r="H120" s="5" t="n">
        <f aca="false">IFERROR(G120/规则参数!$B$9,0)</f>
        <v>0.000182060385996691</v>
      </c>
      <c r="I120" s="4" t="n">
        <v>6955.13</v>
      </c>
      <c r="J120" s="5" t="n">
        <f aca="false">IFERROR(I120/规则参数!$B$10,0)</f>
        <v>0.00143649454890043</v>
      </c>
      <c r="K120" s="6" t="n">
        <f aca="false">IFERROR(I120/E120,0)</f>
        <v>0.266993707050997</v>
      </c>
      <c r="L120" s="6" t="n">
        <f aca="false">IFERROR(G120/E120,0)</f>
        <v>0.0314440154795874</v>
      </c>
      <c r="M120" s="6" t="n">
        <f aca="false">K120+L120</f>
        <v>0.298437722530585</v>
      </c>
      <c r="N120" s="4" t="n">
        <v>5556.29</v>
      </c>
      <c r="O120" s="4" t="n">
        <v>27.33</v>
      </c>
      <c r="P120" s="4" t="n">
        <v>1371.51</v>
      </c>
      <c r="Q120" s="4" t="n">
        <v>0</v>
      </c>
      <c r="R120" s="4" t="n">
        <v>6986.66</v>
      </c>
      <c r="S120" s="4" t="n">
        <v>3900.84</v>
      </c>
      <c r="T120" s="6" t="n">
        <f aca="false">IFERROR(R120/S120-1,"")</f>
        <v>0.7910655140944</v>
      </c>
      <c r="U120" s="7" t="n">
        <v>769</v>
      </c>
      <c r="V120" s="8" t="n">
        <v>0.25</v>
      </c>
      <c r="W120" s="4" t="n">
        <f aca="false">R120*K120</f>
        <v>1865.39425330492</v>
      </c>
      <c r="X120" s="4" t="n">
        <f aca="false">R120*V120</f>
        <v>1746.665</v>
      </c>
      <c r="Y120" s="4" t="n">
        <f aca="false">X120-W120</f>
        <v>-118.729253304921</v>
      </c>
      <c r="Z120" s="3" t="s">
        <v>103</v>
      </c>
      <c r="AA120" s="3" t="s">
        <v>277</v>
      </c>
    </row>
    <row r="121" customFormat="false" ht="15" hidden="false" customHeight="false" outlineLevel="0" collapsed="false">
      <c r="A121" s="3" t="s">
        <v>64</v>
      </c>
      <c r="B121" s="3" t="s">
        <v>278</v>
      </c>
      <c r="C121" s="3" t="s">
        <v>96</v>
      </c>
      <c r="D121" s="3" t="s">
        <v>46</v>
      </c>
      <c r="E121" s="4" t="n">
        <v>38218.31</v>
      </c>
      <c r="F121" s="5" t="n">
        <f aca="false">IFERROR(E121/规则参数!$B$8,0)</f>
        <v>0.00116963590866594</v>
      </c>
      <c r="G121" s="4" t="n">
        <v>-1920.72</v>
      </c>
      <c r="H121" s="5" t="n">
        <f aca="false">IFERROR(G121/规则参数!$B$9,0)</f>
        <v>-0.000426910945528151</v>
      </c>
      <c r="I121" s="4" t="n">
        <v>6951.35</v>
      </c>
      <c r="J121" s="5" t="n">
        <f aca="false">IFERROR(I121/规则参数!$B$10,0)</f>
        <v>0.00143571383748384</v>
      </c>
      <c r="K121" s="6" t="n">
        <f aca="false">IFERROR(I121/E121,0)</f>
        <v>0.18188533192598</v>
      </c>
      <c r="L121" s="6" t="n">
        <f aca="false">IFERROR(G121/E121,0)</f>
        <v>-0.0502565393393899</v>
      </c>
      <c r="M121" s="6" t="n">
        <f aca="false">K121+L121</f>
        <v>0.13162879258659</v>
      </c>
      <c r="N121" s="4" t="n">
        <v>6725.2</v>
      </c>
      <c r="O121" s="4" t="n">
        <v>226.15</v>
      </c>
      <c r="P121" s="4" t="n">
        <v>0</v>
      </c>
      <c r="Q121" s="4" t="n">
        <v>0</v>
      </c>
      <c r="R121" s="4" t="n">
        <v>10668.54</v>
      </c>
      <c r="S121" s="4" t="n">
        <v>13011.18</v>
      </c>
      <c r="T121" s="6" t="n">
        <f aca="false">IFERROR(R121/S121-1,"")</f>
        <v>-0.180048235440598</v>
      </c>
      <c r="U121" s="7" t="n">
        <v>137</v>
      </c>
      <c r="V121" s="8" t="n">
        <v>0.1316</v>
      </c>
      <c r="W121" s="4" t="n">
        <f aca="false">R121*K121</f>
        <v>1940.45093906559</v>
      </c>
      <c r="X121" s="4" t="n">
        <f aca="false">R121*V121</f>
        <v>1403.979864</v>
      </c>
      <c r="Y121" s="4" t="n">
        <f aca="false">X121-W121</f>
        <v>-536.471075065595</v>
      </c>
      <c r="Z121" s="3" t="s">
        <v>103</v>
      </c>
      <c r="AA121" s="3" t="s">
        <v>279</v>
      </c>
    </row>
    <row r="122" customFormat="false" ht="15" hidden="false" customHeight="false" outlineLevel="0" collapsed="false">
      <c r="A122" s="3" t="s">
        <v>44</v>
      </c>
      <c r="B122" s="3" t="s">
        <v>280</v>
      </c>
      <c r="C122" s="3" t="s">
        <v>96</v>
      </c>
      <c r="D122" s="3" t="s">
        <v>30</v>
      </c>
      <c r="E122" s="4" t="n">
        <v>62396.3</v>
      </c>
      <c r="F122" s="5" t="n">
        <f aca="false">IFERROR(E122/规则参数!$B$8,0)</f>
        <v>0.00190958085399099</v>
      </c>
      <c r="G122" s="4" t="n">
        <v>6393.92</v>
      </c>
      <c r="H122" s="5" t="n">
        <f aca="false">IFERROR(G122/规则参数!$B$9,0)</f>
        <v>0.00142115166855729</v>
      </c>
      <c r="I122" s="4" t="n">
        <v>6723.94</v>
      </c>
      <c r="J122" s="5" t="n">
        <f aca="false">IFERROR(I122/规则参数!$B$10,0)</f>
        <v>0.00138874516466746</v>
      </c>
      <c r="K122" s="6" t="n">
        <f aca="false">IFERROR(I122/E122,0)</f>
        <v>0.107761838442344</v>
      </c>
      <c r="L122" s="6" t="n">
        <f aca="false">IFERROR(G122/E122,0)</f>
        <v>0.102472742774812</v>
      </c>
      <c r="M122" s="6" t="n">
        <f aca="false">K122+L122</f>
        <v>0.210234581217156</v>
      </c>
      <c r="N122" s="4" t="n">
        <v>5807.44</v>
      </c>
      <c r="O122" s="4" t="n">
        <v>666.99</v>
      </c>
      <c r="P122" s="4" t="n">
        <v>56.18</v>
      </c>
      <c r="Q122" s="4" t="n">
        <v>193.33</v>
      </c>
      <c r="R122" s="4" t="n">
        <v>30384.07</v>
      </c>
      <c r="S122" s="4" t="n">
        <v>15240.07</v>
      </c>
      <c r="T122" s="6" t="n">
        <f aca="false">IFERROR(R122/S122-1,"")</f>
        <v>0.993696223180077</v>
      </c>
      <c r="U122" s="7" t="n">
        <v>3451</v>
      </c>
      <c r="V122" s="8" t="n">
        <v>0.1078</v>
      </c>
      <c r="W122" s="4" t="n">
        <f aca="false">R122*K122</f>
        <v>3274.24324256086</v>
      </c>
      <c r="X122" s="4" t="n">
        <f aca="false">R122*V122</f>
        <v>3275.402746</v>
      </c>
      <c r="Y122" s="4" t="n">
        <f aca="false">X122-W122</f>
        <v>1.15950343914392</v>
      </c>
      <c r="Z122" s="3"/>
      <c r="AA122" s="3" t="s">
        <v>31</v>
      </c>
    </row>
    <row r="123" customFormat="false" ht="15" hidden="false" customHeight="false" outlineLevel="0" collapsed="false">
      <c r="A123" s="3" t="s">
        <v>196</v>
      </c>
      <c r="B123" s="3" t="s">
        <v>281</v>
      </c>
      <c r="C123" s="3" t="s">
        <v>29</v>
      </c>
      <c r="D123" s="3" t="s">
        <v>30</v>
      </c>
      <c r="E123" s="4" t="n">
        <v>51765.56</v>
      </c>
      <c r="F123" s="5" t="n">
        <f aca="false">IFERROR(E123/规则参数!$B$8,0)</f>
        <v>0.00158423692225535</v>
      </c>
      <c r="G123" s="4" t="n">
        <v>3350.49</v>
      </c>
      <c r="H123" s="5" t="n">
        <f aca="false">IFERROR(G123/规则参数!$B$9,0)</f>
        <v>0.000744700348766407</v>
      </c>
      <c r="I123" s="4" t="n">
        <v>6645.17</v>
      </c>
      <c r="J123" s="5" t="n">
        <f aca="false">IFERROR(I123/规则参数!$B$10,0)</f>
        <v>0.00137247621274033</v>
      </c>
      <c r="K123" s="6" t="n">
        <f aca="false">IFERROR(I123/E123,0)</f>
        <v>0.128370484159739</v>
      </c>
      <c r="L123" s="6" t="n">
        <f aca="false">IFERROR(G123/E123,0)</f>
        <v>0.0647243070489337</v>
      </c>
      <c r="M123" s="6" t="n">
        <f aca="false">K123+L123</f>
        <v>0.193094791208672</v>
      </c>
      <c r="N123" s="4" t="n">
        <v>5526.85</v>
      </c>
      <c r="O123" s="4" t="n">
        <v>401.93</v>
      </c>
      <c r="P123" s="4" t="n">
        <v>716.39</v>
      </c>
      <c r="Q123" s="4" t="n">
        <v>0</v>
      </c>
      <c r="R123" s="4" t="n">
        <v>12561.26</v>
      </c>
      <c r="S123" s="4" t="n">
        <v>3172.59</v>
      </c>
      <c r="T123" s="6" t="n">
        <f aca="false">IFERROR(R123/S123-1,"")</f>
        <v>2.95930769497477</v>
      </c>
      <c r="U123" s="7" t="n">
        <v>57</v>
      </c>
      <c r="V123" s="8" t="n">
        <v>0.1284</v>
      </c>
      <c r="W123" s="4" t="n">
        <f aca="false">R123*K123</f>
        <v>1612.49502785636</v>
      </c>
      <c r="X123" s="4" t="n">
        <f aca="false">R123*V123</f>
        <v>1612.865784</v>
      </c>
      <c r="Y123" s="4" t="n">
        <f aca="false">X123-W123</f>
        <v>0.370756143641074</v>
      </c>
      <c r="Z123" s="3"/>
      <c r="AA123" s="3" t="s">
        <v>31</v>
      </c>
    </row>
    <row r="124" customFormat="false" ht="15" hidden="false" customHeight="false" outlineLevel="0" collapsed="false">
      <c r="A124" s="3" t="s">
        <v>53</v>
      </c>
      <c r="B124" s="3" t="s">
        <v>282</v>
      </c>
      <c r="C124" s="3" t="s">
        <v>29</v>
      </c>
      <c r="D124" s="3" t="s">
        <v>46</v>
      </c>
      <c r="E124" s="4" t="n">
        <v>36158.25</v>
      </c>
      <c r="F124" s="5" t="n">
        <f aca="false">IFERROR(E124/规则参数!$B$8,0)</f>
        <v>0.00110658968422518</v>
      </c>
      <c r="G124" s="4" t="n">
        <v>2413.53</v>
      </c>
      <c r="H124" s="5" t="n">
        <f aca="false">IFERROR(G124/规则参数!$B$9,0)</f>
        <v>0.00053644590276592</v>
      </c>
      <c r="I124" s="4" t="n">
        <v>6613.12</v>
      </c>
      <c r="J124" s="5" t="n">
        <f aca="false">IFERROR(I124/规则参数!$B$10,0)</f>
        <v>0.00136585668869229</v>
      </c>
      <c r="K124" s="6" t="n">
        <f aca="false">IFERROR(I124/E124,0)</f>
        <v>0.182893807084137</v>
      </c>
      <c r="L124" s="6" t="n">
        <f aca="false">IFERROR(G124/E124,0)</f>
        <v>0.0667490821596731</v>
      </c>
      <c r="M124" s="6" t="n">
        <f aca="false">K124+L124</f>
        <v>0.24964288924381</v>
      </c>
      <c r="N124" s="4" t="n">
        <v>6520.68</v>
      </c>
      <c r="O124" s="4" t="n">
        <v>70.32</v>
      </c>
      <c r="P124" s="4" t="n">
        <v>22.12</v>
      </c>
      <c r="Q124" s="4" t="n">
        <v>0</v>
      </c>
      <c r="R124" s="4" t="n">
        <v>2486.02</v>
      </c>
      <c r="S124" s="4" t="n">
        <v>4661.32</v>
      </c>
      <c r="T124" s="6" t="n">
        <f aca="false">IFERROR(R124/S124-1,"")</f>
        <v>-0.466670385212772</v>
      </c>
      <c r="U124" s="7" t="n">
        <v>31</v>
      </c>
      <c r="V124" s="8" t="n">
        <v>0.15</v>
      </c>
      <c r="W124" s="4" t="n">
        <f aca="false">R124*K124</f>
        <v>454.677662287307</v>
      </c>
      <c r="X124" s="4" t="n">
        <f aca="false">R124*V124</f>
        <v>372.903</v>
      </c>
      <c r="Y124" s="4" t="n">
        <f aca="false">X124-W124</f>
        <v>-81.7746622873065</v>
      </c>
      <c r="Z124" s="3" t="s">
        <v>47</v>
      </c>
      <c r="AA124" s="3" t="s">
        <v>283</v>
      </c>
    </row>
    <row r="125" customFormat="false" ht="15" hidden="false" customHeight="false" outlineLevel="0" collapsed="false">
      <c r="A125" s="3" t="s">
        <v>80</v>
      </c>
      <c r="B125" s="3" t="s">
        <v>284</v>
      </c>
      <c r="C125" s="3" t="s">
        <v>34</v>
      </c>
      <c r="D125" s="3" t="s">
        <v>46</v>
      </c>
      <c r="E125" s="4" t="n">
        <v>27685.73</v>
      </c>
      <c r="F125" s="5" t="n">
        <f aca="false">IFERROR(E125/规则参数!$B$8,0)</f>
        <v>0.000847296072631934</v>
      </c>
      <c r="G125" s="4" t="n">
        <v>6088.24</v>
      </c>
      <c r="H125" s="5" t="n">
        <f aca="false">IFERROR(G125/规则参数!$B$9,0)</f>
        <v>0.00135320936680115</v>
      </c>
      <c r="I125" s="4" t="n">
        <v>6498.58</v>
      </c>
      <c r="J125" s="5" t="n">
        <f aca="false">IFERROR(I125/规则参数!$B$10,0)</f>
        <v>0.00134219989354525</v>
      </c>
      <c r="K125" s="6" t="n">
        <f aca="false">IFERROR(I125/E125,0)</f>
        <v>0.234726698555537</v>
      </c>
      <c r="L125" s="6" t="n">
        <f aca="false">IFERROR(G125/E125,0)</f>
        <v>0.219905344738968</v>
      </c>
      <c r="M125" s="6" t="n">
        <f aca="false">K125+L125</f>
        <v>0.454632043294506</v>
      </c>
      <c r="N125" s="4" t="n">
        <v>6407.03</v>
      </c>
      <c r="O125" s="4" t="n">
        <v>0</v>
      </c>
      <c r="P125" s="4" t="n">
        <v>0</v>
      </c>
      <c r="Q125" s="4" t="n">
        <v>91.55</v>
      </c>
      <c r="R125" s="4" t="n">
        <v>2080.28</v>
      </c>
      <c r="S125" s="4" t="n">
        <v>1861.65</v>
      </c>
      <c r="T125" s="6" t="n">
        <f aca="false">IFERROR(R125/S125-1,"")</f>
        <v>0.117438831144415</v>
      </c>
      <c r="U125" s="7" t="n">
        <v>18</v>
      </c>
      <c r="V125" s="8" t="n">
        <v>0.18</v>
      </c>
      <c r="W125" s="4" t="n">
        <f aca="false">R125*K125</f>
        <v>488.297256471114</v>
      </c>
      <c r="X125" s="4" t="n">
        <f aca="false">R125*V125</f>
        <v>374.4504</v>
      </c>
      <c r="Y125" s="4" t="n">
        <f aca="false">X125-W125</f>
        <v>-113.846856471114</v>
      </c>
      <c r="Z125" s="3" t="s">
        <v>69</v>
      </c>
      <c r="AA125" s="3" t="s">
        <v>285</v>
      </c>
    </row>
    <row r="126" customFormat="false" ht="15" hidden="false" customHeight="false" outlineLevel="0" collapsed="false">
      <c r="A126" s="3" t="s">
        <v>227</v>
      </c>
      <c r="B126" s="3" t="s">
        <v>286</v>
      </c>
      <c r="C126" s="3" t="s">
        <v>96</v>
      </c>
      <c r="D126" s="3" t="s">
        <v>46</v>
      </c>
      <c r="E126" s="4" t="n">
        <v>24241.5</v>
      </c>
      <c r="F126" s="5" t="n">
        <f aca="false">IFERROR(E126/规则参数!$B$8,0)</f>
        <v>0.000741888609933963</v>
      </c>
      <c r="G126" s="4" t="n">
        <v>-5218.72</v>
      </c>
      <c r="H126" s="5" t="n">
        <f aca="false">IFERROR(G126/规则参数!$B$9,0)</f>
        <v>-0.00115994454665265</v>
      </c>
      <c r="I126" s="4" t="n">
        <v>6478.26</v>
      </c>
      <c r="J126" s="5" t="n">
        <f aca="false">IFERROR(I126/规则参数!$B$10,0)</f>
        <v>0.00133800305333757</v>
      </c>
      <c r="K126" s="6" t="n">
        <f aca="false">IFERROR(I126/E126,0)</f>
        <v>0.267238413464513</v>
      </c>
      <c r="L126" s="6" t="n">
        <f aca="false">IFERROR(G126/E126,0)</f>
        <v>-0.215280407565538</v>
      </c>
      <c r="M126" s="6" t="n">
        <f aca="false">K126+L126</f>
        <v>0.0519580058989749</v>
      </c>
      <c r="N126" s="4" t="n">
        <v>5743.7</v>
      </c>
      <c r="O126" s="4" t="n">
        <v>266.15</v>
      </c>
      <c r="P126" s="4" t="n">
        <v>287.91</v>
      </c>
      <c r="Q126" s="4" t="n">
        <v>180.5</v>
      </c>
      <c r="R126" s="4" t="n">
        <v>3173.88</v>
      </c>
      <c r="S126" s="4" t="n">
        <v>9372.76</v>
      </c>
      <c r="T126" s="6" t="n">
        <f aca="false">IFERROR(R126/S126-1,"")</f>
        <v>-0.661371890457027</v>
      </c>
      <c r="U126" s="7" t="n">
        <v>265</v>
      </c>
      <c r="V126" s="8" t="n">
        <v>0.052</v>
      </c>
      <c r="W126" s="4" t="n">
        <f aca="false">R126*K126</f>
        <v>848.18265572675</v>
      </c>
      <c r="X126" s="4" t="n">
        <f aca="false">R126*V126</f>
        <v>165.04176</v>
      </c>
      <c r="Y126" s="4" t="n">
        <f aca="false">X126-W126</f>
        <v>-683.14089572675</v>
      </c>
      <c r="Z126" s="3" t="s">
        <v>103</v>
      </c>
      <c r="AA126" s="3" t="s">
        <v>287</v>
      </c>
    </row>
    <row r="127" customFormat="false" ht="15" hidden="false" customHeight="false" outlineLevel="0" collapsed="false">
      <c r="A127" s="3" t="s">
        <v>39</v>
      </c>
      <c r="B127" s="3" t="s">
        <v>288</v>
      </c>
      <c r="C127" s="3" t="s">
        <v>34</v>
      </c>
      <c r="D127" s="3" t="s">
        <v>30</v>
      </c>
      <c r="E127" s="4" t="n">
        <v>53185.32</v>
      </c>
      <c r="F127" s="5" t="n">
        <f aca="false">IFERROR(E127/规则参数!$B$8,0)</f>
        <v>0.00162768735943292</v>
      </c>
      <c r="G127" s="4" t="n">
        <v>11545.64</v>
      </c>
      <c r="H127" s="5" t="n">
        <f aca="false">IFERROR(G127/规则参数!$B$9,0)</f>
        <v>0.0025662043864424</v>
      </c>
      <c r="I127" s="4" t="n">
        <v>6433.63</v>
      </c>
      <c r="J127" s="5" t="n">
        <f aca="false">IFERROR(I127/规则参数!$B$10,0)</f>
        <v>0.00132878528864914</v>
      </c>
      <c r="K127" s="6" t="n">
        <f aca="false">IFERROR(I127/E127,0)</f>
        <v>0.120966274152341</v>
      </c>
      <c r="L127" s="6" t="n">
        <f aca="false">IFERROR(G127/E127,0)</f>
        <v>0.217083210179049</v>
      </c>
      <c r="M127" s="6" t="n">
        <f aca="false">K127+L127</f>
        <v>0.338049484331391</v>
      </c>
      <c r="N127" s="4" t="n">
        <v>5649.59</v>
      </c>
      <c r="O127" s="4" t="n">
        <v>15.11</v>
      </c>
      <c r="P127" s="4" t="n">
        <v>768.93</v>
      </c>
      <c r="Q127" s="4" t="n">
        <v>0</v>
      </c>
      <c r="R127" s="4" t="n">
        <v>5382.25</v>
      </c>
      <c r="S127" s="4" t="n">
        <v>5395.3</v>
      </c>
      <c r="T127" s="6" t="n">
        <f aca="false">IFERROR(R127/S127-1,"")</f>
        <v>-0.00241877189405593</v>
      </c>
      <c r="U127" s="7" t="n">
        <v>39</v>
      </c>
      <c r="V127" s="8" t="n">
        <v>0.121</v>
      </c>
      <c r="W127" s="4" t="n">
        <f aca="false">R127*K127</f>
        <v>651.070729056439</v>
      </c>
      <c r="X127" s="4" t="n">
        <f aca="false">R127*V127</f>
        <v>651.25225</v>
      </c>
      <c r="Y127" s="4" t="n">
        <f aca="false">X127-W127</f>
        <v>0.181520943561054</v>
      </c>
      <c r="Z127" s="3"/>
      <c r="AA127" s="3" t="s">
        <v>31</v>
      </c>
    </row>
    <row r="128" customFormat="false" ht="15" hidden="false" customHeight="false" outlineLevel="0" collapsed="false">
      <c r="A128" s="3" t="s">
        <v>75</v>
      </c>
      <c r="B128" s="3" t="s">
        <v>289</v>
      </c>
      <c r="C128" s="3" t="s">
        <v>29</v>
      </c>
      <c r="D128" s="3" t="s">
        <v>30</v>
      </c>
      <c r="E128" s="4" t="n">
        <v>116598.91</v>
      </c>
      <c r="F128" s="5" t="n">
        <f aca="false">IFERROR(E128/规则参数!$B$8,0)</f>
        <v>0.00356840142976777</v>
      </c>
      <c r="G128" s="4" t="n">
        <v>17121.46</v>
      </c>
      <c r="H128" s="5" t="n">
        <f aca="false">IFERROR(G128/规则参数!$B$9,0)</f>
        <v>0.00380552015776501</v>
      </c>
      <c r="I128" s="4" t="n">
        <v>6406.73</v>
      </c>
      <c r="J128" s="5" t="n">
        <f aca="false">IFERROR(I128/规则参数!$B$10,0)</f>
        <v>0.00132322943227184</v>
      </c>
      <c r="K128" s="6" t="n">
        <f aca="false">IFERROR(I128/E128,0)</f>
        <v>0.0549467400681533</v>
      </c>
      <c r="L128" s="6" t="n">
        <f aca="false">IFERROR(G128/E128,0)</f>
        <v>0.146840652283971</v>
      </c>
      <c r="M128" s="6" t="n">
        <f aca="false">K128+L128</f>
        <v>0.201787392352124</v>
      </c>
      <c r="N128" s="4" t="n">
        <v>5602.87</v>
      </c>
      <c r="O128" s="4" t="n">
        <v>-5.93</v>
      </c>
      <c r="P128" s="4" t="n">
        <v>681.71</v>
      </c>
      <c r="Q128" s="4" t="n">
        <v>128.08</v>
      </c>
      <c r="R128" s="4" t="n">
        <v>5222.98</v>
      </c>
      <c r="S128" s="4" t="n">
        <v>3957.23</v>
      </c>
      <c r="T128" s="6" t="n">
        <f aca="false">IFERROR(R128/S128-1,"")</f>
        <v>0.319857577143608</v>
      </c>
      <c r="U128" s="7" t="n">
        <v>1398</v>
      </c>
      <c r="V128" s="8" t="n">
        <v>0.0549</v>
      </c>
      <c r="W128" s="4" t="n">
        <f aca="false">R128*K128</f>
        <v>286.985724441163</v>
      </c>
      <c r="X128" s="4" t="n">
        <f aca="false">R128*V128</f>
        <v>286.741602</v>
      </c>
      <c r="Y128" s="4" t="n">
        <f aca="false">X128-W128</f>
        <v>-0.244122441163313</v>
      </c>
      <c r="Z128" s="3"/>
      <c r="AA128" s="3" t="s">
        <v>31</v>
      </c>
    </row>
    <row r="129" customFormat="false" ht="15" hidden="false" customHeight="false" outlineLevel="0" collapsed="false">
      <c r="A129" s="3" t="s">
        <v>290</v>
      </c>
      <c r="B129" s="3" t="s">
        <v>291</v>
      </c>
      <c r="C129" s="3" t="s">
        <v>29</v>
      </c>
      <c r="D129" s="3" t="s">
        <v>138</v>
      </c>
      <c r="E129" s="4" t="n">
        <v>25236.46</v>
      </c>
      <c r="F129" s="5" t="n">
        <f aca="false">IFERROR(E129/规则参数!$B$8,0)</f>
        <v>0.000772338437351404</v>
      </c>
      <c r="G129" s="4" t="n">
        <v>1219.31</v>
      </c>
      <c r="H129" s="5" t="n">
        <f aca="false">IFERROR(G129/规则参数!$B$9,0)</f>
        <v>0.000271011279620106</v>
      </c>
      <c r="I129" s="4" t="n">
        <v>6325.26</v>
      </c>
      <c r="J129" s="5" t="n">
        <f aca="false">IFERROR(I129/规则参数!$B$10,0)</f>
        <v>0.00130640282933287</v>
      </c>
      <c r="K129" s="6" t="n">
        <f aca="false">IFERROR(I129/E129,0)</f>
        <v>0.250639748998077</v>
      </c>
      <c r="L129" s="6" t="n">
        <f aca="false">IFERROR(G129/E129,0)</f>
        <v>0.0483154134930176</v>
      </c>
      <c r="M129" s="6" t="n">
        <f aca="false">K129+L129</f>
        <v>0.298955162491094</v>
      </c>
      <c r="N129" s="4" t="n">
        <v>3984.04</v>
      </c>
      <c r="O129" s="4" t="n">
        <v>483.98</v>
      </c>
      <c r="P129" s="4" t="n">
        <v>1857.24</v>
      </c>
      <c r="Q129" s="4" t="n">
        <v>0</v>
      </c>
      <c r="R129" s="4" t="n">
        <v>957.58</v>
      </c>
      <c r="S129" s="4" t="n">
        <v>1055.82</v>
      </c>
      <c r="T129" s="6" t="n">
        <f aca="false">IFERROR(R129/S129-1,"")</f>
        <v>-0.0930461631717526</v>
      </c>
      <c r="U129" s="7" t="n">
        <v>95</v>
      </c>
      <c r="V129" s="8" t="n">
        <v>0.15</v>
      </c>
      <c r="W129" s="4" t="n">
        <f aca="false">R129*K129</f>
        <v>240.007610845578</v>
      </c>
      <c r="X129" s="4" t="n">
        <f aca="false">R129*V129</f>
        <v>143.637</v>
      </c>
      <c r="Y129" s="4" t="n">
        <f aca="false">X129-W129</f>
        <v>-96.3706108455782</v>
      </c>
      <c r="Z129" s="3" t="s">
        <v>139</v>
      </c>
      <c r="AA129" s="3" t="s">
        <v>292</v>
      </c>
    </row>
    <row r="130" customFormat="false" ht="15" hidden="false" customHeight="false" outlineLevel="0" collapsed="false">
      <c r="A130" s="3" t="s">
        <v>293</v>
      </c>
      <c r="B130" s="3" t="s">
        <v>294</v>
      </c>
      <c r="C130" s="3" t="s">
        <v>34</v>
      </c>
      <c r="D130" s="3" t="s">
        <v>85</v>
      </c>
      <c r="E130" s="4" t="n">
        <v>13876.52</v>
      </c>
      <c r="F130" s="5" t="n">
        <f aca="false">IFERROR(E130/规则参数!$B$8,0)</f>
        <v>0.000424678016357108</v>
      </c>
      <c r="G130" s="4" t="n">
        <v>-405.1</v>
      </c>
      <c r="H130" s="5" t="n">
        <f aca="false">IFERROR(G130/规则参数!$B$9,0)</f>
        <v>-9.00399975183545E-005</v>
      </c>
      <c r="I130" s="4" t="n">
        <v>6194.22</v>
      </c>
      <c r="J130" s="5" t="n">
        <f aca="false">IFERROR(I130/规则参数!$B$10,0)</f>
        <v>0.00127933816689121</v>
      </c>
      <c r="K130" s="6" t="n">
        <f aca="false">IFERROR(I130/E130,0)</f>
        <v>0.446381369392326</v>
      </c>
      <c r="L130" s="6" t="n">
        <f aca="false">IFERROR(G130/E130,0)</f>
        <v>-0.0291931982946733</v>
      </c>
      <c r="M130" s="6" t="n">
        <f aca="false">K130+L130</f>
        <v>0.417188171097653</v>
      </c>
      <c r="N130" s="4" t="n">
        <v>5079.33</v>
      </c>
      <c r="O130" s="4" t="n">
        <v>-0.12</v>
      </c>
      <c r="P130" s="4" t="n">
        <v>13.67</v>
      </c>
      <c r="Q130" s="4" t="n">
        <v>1101.34</v>
      </c>
      <c r="R130" s="4" t="n">
        <v>1505.05</v>
      </c>
      <c r="S130" s="4" t="n">
        <v>509.71</v>
      </c>
      <c r="T130" s="6" t="n">
        <f aca="false">IFERROR(R130/S130-1,"")</f>
        <v>1.95275745031489</v>
      </c>
      <c r="U130" s="7" t="n">
        <v>347</v>
      </c>
      <c r="V130" s="8" t="n">
        <v>0.18</v>
      </c>
      <c r="W130" s="4" t="n">
        <f aca="false">R130*K130</f>
        <v>671.82628000392</v>
      </c>
      <c r="X130" s="4" t="n">
        <f aca="false">R130*V130</f>
        <v>270.909</v>
      </c>
      <c r="Y130" s="4" t="n">
        <f aca="false">X130-W130</f>
        <v>-400.91728000392</v>
      </c>
      <c r="Z130" s="3" t="s">
        <v>86</v>
      </c>
      <c r="AA130" s="3" t="s">
        <v>295</v>
      </c>
    </row>
    <row r="131" customFormat="false" ht="15" hidden="false" customHeight="false" outlineLevel="0" collapsed="false">
      <c r="A131" s="3" t="s">
        <v>296</v>
      </c>
      <c r="B131" s="3" t="s">
        <v>297</v>
      </c>
      <c r="C131" s="3" t="s">
        <v>34</v>
      </c>
      <c r="D131" s="3" t="s">
        <v>30</v>
      </c>
      <c r="E131" s="4" t="n">
        <v>35620.39</v>
      </c>
      <c r="F131" s="5" t="n">
        <f aca="false">IFERROR(E131/规则参数!$B$8,0)</f>
        <v>0.00109012897809152</v>
      </c>
      <c r="G131" s="4" t="n">
        <v>5611.58</v>
      </c>
      <c r="H131" s="5" t="n">
        <f aca="false">IFERROR(G131/规则参数!$B$9,0)</f>
        <v>0.00124726400709466</v>
      </c>
      <c r="I131" s="4" t="n">
        <v>6018.54</v>
      </c>
      <c r="J131" s="5" t="n">
        <f aca="false">IFERROR(I131/规则参数!$B$10,0)</f>
        <v>0.00124305367438699</v>
      </c>
      <c r="K131" s="6" t="n">
        <f aca="false">IFERROR(I131/E131,0)</f>
        <v>0.168963338133019</v>
      </c>
      <c r="L131" s="6" t="n">
        <f aca="false">IFERROR(G131/E131,0)</f>
        <v>0.157538421112178</v>
      </c>
      <c r="M131" s="6" t="n">
        <f aca="false">K131+L131</f>
        <v>0.326501759245196</v>
      </c>
      <c r="N131" s="4" t="n">
        <v>5968.93</v>
      </c>
      <c r="O131" s="4" t="n">
        <v>49.65</v>
      </c>
      <c r="P131" s="4" t="n">
        <v>-0.04</v>
      </c>
      <c r="Q131" s="4" t="n">
        <v>0</v>
      </c>
      <c r="R131" s="4" t="n">
        <v>4142.48</v>
      </c>
      <c r="S131" s="4" t="n">
        <v>4120</v>
      </c>
      <c r="T131" s="6" t="n">
        <f aca="false">IFERROR(R131/S131-1,"")</f>
        <v>0.0054563106796115</v>
      </c>
      <c r="U131" s="7" t="n">
        <v>93</v>
      </c>
      <c r="V131" s="8" t="n">
        <v>0.169</v>
      </c>
      <c r="W131" s="4" t="n">
        <f aca="false">R131*K131</f>
        <v>699.927248949267</v>
      </c>
      <c r="X131" s="4" t="n">
        <f aca="false">R131*V131</f>
        <v>700.07912</v>
      </c>
      <c r="Y131" s="4" t="n">
        <f aca="false">X131-W131</f>
        <v>0.151871050732552</v>
      </c>
      <c r="Z131" s="3"/>
      <c r="AA131" s="3" t="s">
        <v>31</v>
      </c>
    </row>
    <row r="132" customFormat="false" ht="15" hidden="false" customHeight="false" outlineLevel="0" collapsed="false">
      <c r="A132" s="3" t="s">
        <v>298</v>
      </c>
      <c r="B132" s="3" t="s">
        <v>299</v>
      </c>
      <c r="C132" s="3" t="s">
        <v>34</v>
      </c>
      <c r="D132" s="3" t="s">
        <v>138</v>
      </c>
      <c r="E132" s="4" t="n">
        <v>26190.3</v>
      </c>
      <c r="F132" s="5" t="n">
        <f aca="false">IFERROR(E132/规则参数!$B$8,0)</f>
        <v>0.000801529825330672</v>
      </c>
      <c r="G132" s="4" t="n">
        <v>119.35</v>
      </c>
      <c r="H132" s="5" t="n">
        <f aca="false">IFERROR(G132/规则参数!$B$9,0)</f>
        <v>2.65274591553088E-005</v>
      </c>
      <c r="I132" s="4" t="n">
        <v>5782.58</v>
      </c>
      <c r="J132" s="5" t="n">
        <f aca="false">IFERROR(I132/规则参数!$B$10,0)</f>
        <v>0.00119431910669975</v>
      </c>
      <c r="K132" s="6" t="n">
        <f aca="false">IFERROR(I132/E132,0)</f>
        <v>0.220790903502442</v>
      </c>
      <c r="L132" s="6" t="n">
        <f aca="false">IFERROR(G132/E132,0)</f>
        <v>0.00455703065638805</v>
      </c>
      <c r="M132" s="6" t="n">
        <f aca="false">K132+L132</f>
        <v>0.22534793415883</v>
      </c>
      <c r="N132" s="4" t="n">
        <v>5568.05</v>
      </c>
      <c r="O132" s="4" t="n">
        <v>-1.61</v>
      </c>
      <c r="P132" s="4" t="n">
        <v>216.14</v>
      </c>
      <c r="Q132" s="4" t="n">
        <v>0</v>
      </c>
      <c r="R132" s="4" t="n">
        <v>2159.71</v>
      </c>
      <c r="S132" s="4" t="n">
        <v>1747.78</v>
      </c>
      <c r="T132" s="6" t="n">
        <f aca="false">IFERROR(R132/S132-1,"")</f>
        <v>0.235687557930632</v>
      </c>
      <c r="U132" s="7" t="n">
        <v>103</v>
      </c>
      <c r="V132" s="8" t="n">
        <v>0.1253</v>
      </c>
      <c r="W132" s="4" t="n">
        <f aca="false">R132*K132</f>
        <v>476.844322203258</v>
      </c>
      <c r="X132" s="4" t="n">
        <f aca="false">R132*V132</f>
        <v>270.611663</v>
      </c>
      <c r="Y132" s="4" t="n">
        <f aca="false">X132-W132</f>
        <v>-206.232659203258</v>
      </c>
      <c r="Z132" s="3" t="s">
        <v>139</v>
      </c>
      <c r="AA132" s="3" t="s">
        <v>300</v>
      </c>
    </row>
    <row r="133" customFormat="false" ht="15" hidden="false" customHeight="false" outlineLevel="0" collapsed="false">
      <c r="A133" s="3" t="s">
        <v>100</v>
      </c>
      <c r="B133" s="3" t="s">
        <v>301</v>
      </c>
      <c r="C133" s="3" t="s">
        <v>34</v>
      </c>
      <c r="D133" s="3" t="s">
        <v>85</v>
      </c>
      <c r="E133" s="4" t="n">
        <v>26829.96</v>
      </c>
      <c r="F133" s="5" t="n">
        <f aca="false">IFERROR(E133/规则参数!$B$8,0)</f>
        <v>0.000821106025987824</v>
      </c>
      <c r="G133" s="4" t="n">
        <v>-4.9</v>
      </c>
      <c r="H133" s="5" t="n">
        <f aca="false">IFERROR(G133/规则参数!$B$9,0)</f>
        <v>-1.08910389493937E-006</v>
      </c>
      <c r="I133" s="4" t="n">
        <v>5494.44</v>
      </c>
      <c r="J133" s="5" t="n">
        <f aca="false">IFERROR(I133/规则参数!$B$10,0)</f>
        <v>0.00113480741686503</v>
      </c>
      <c r="K133" s="6" t="n">
        <f aca="false">IFERROR(I133/E133,0)</f>
        <v>0.204787483842689</v>
      </c>
      <c r="L133" s="6" t="n">
        <f aca="false">IFERROR(G133/E133,0)</f>
        <v>-0.000182631655060239</v>
      </c>
      <c r="M133" s="6" t="n">
        <f aca="false">K133+L133</f>
        <v>0.204604852187629</v>
      </c>
      <c r="N133" s="4" t="n">
        <v>5494.44</v>
      </c>
      <c r="O133" s="4" t="n">
        <v>0</v>
      </c>
      <c r="P133" s="4" t="n">
        <v>0</v>
      </c>
      <c r="Q133" s="4" t="n">
        <v>0</v>
      </c>
      <c r="R133" s="4" t="n">
        <v>7125.6</v>
      </c>
      <c r="S133" s="4" t="n">
        <v>3484.19</v>
      </c>
      <c r="T133" s="6" t="n">
        <f aca="false">IFERROR(R133/S133-1,"")</f>
        <v>1.04512383078994</v>
      </c>
      <c r="U133" s="7" t="n">
        <v>649</v>
      </c>
      <c r="V133" s="8" t="n">
        <v>0.1046</v>
      </c>
      <c r="W133" s="4" t="n">
        <f aca="false">R133*K133</f>
        <v>1459.23369486947</v>
      </c>
      <c r="X133" s="4" t="n">
        <f aca="false">R133*V133</f>
        <v>745.33776</v>
      </c>
      <c r="Y133" s="4" t="n">
        <f aca="false">X133-W133</f>
        <v>-713.895934869467</v>
      </c>
      <c r="Z133" s="3" t="s">
        <v>86</v>
      </c>
      <c r="AA133" s="3" t="s">
        <v>302</v>
      </c>
    </row>
    <row r="134" customFormat="false" ht="15" hidden="false" customHeight="false" outlineLevel="0" collapsed="false">
      <c r="A134" s="3" t="s">
        <v>92</v>
      </c>
      <c r="B134" s="3" t="s">
        <v>303</v>
      </c>
      <c r="C134" s="3" t="s">
        <v>29</v>
      </c>
      <c r="D134" s="3" t="s">
        <v>85</v>
      </c>
      <c r="E134" s="4" t="n">
        <v>47322.23</v>
      </c>
      <c r="F134" s="5" t="n">
        <f aca="false">IFERROR(E134/规则参数!$B$8,0)</f>
        <v>0.00144825293128211</v>
      </c>
      <c r="G134" s="4" t="n">
        <v>-17506.63</v>
      </c>
      <c r="H134" s="5" t="n">
        <f aca="false">IFERROR(G134/规则参数!$B$9,0)</f>
        <v>-0.00389113039189028</v>
      </c>
      <c r="I134" s="4" t="n">
        <v>5463.62</v>
      </c>
      <c r="J134" s="5" t="n">
        <f aca="false">IFERROR(I134/规则参数!$B$10,0)</f>
        <v>0.0011284419338335</v>
      </c>
      <c r="K134" s="6" t="n">
        <f aca="false">IFERROR(I134/E134,0)</f>
        <v>0.115455674848797</v>
      </c>
      <c r="L134" s="6" t="n">
        <f aca="false">IFERROR(G134/E134,0)</f>
        <v>-0.369945161079687</v>
      </c>
      <c r="M134" s="6" t="n">
        <f aca="false">K134+L134</f>
        <v>-0.25448948623089</v>
      </c>
      <c r="N134" s="4" t="n">
        <v>5211.2</v>
      </c>
      <c r="O134" s="4" t="n">
        <v>-24.87</v>
      </c>
      <c r="P134" s="4" t="n">
        <v>141.97</v>
      </c>
      <c r="Q134" s="4" t="n">
        <v>135.32</v>
      </c>
      <c r="R134" s="4" t="n">
        <v>0</v>
      </c>
      <c r="S134" s="4" t="n">
        <v>0</v>
      </c>
      <c r="T134" s="6" t="str">
        <f aca="false">IFERROR(R134/S134-1,"")</f>
        <v/>
      </c>
      <c r="U134" s="7" t="n">
        <v>0</v>
      </c>
      <c r="V134" s="8" t="n">
        <v>0</v>
      </c>
      <c r="W134" s="4" t="n">
        <f aca="false">R134*K134</f>
        <v>0</v>
      </c>
      <c r="X134" s="4" t="n">
        <f aca="false">R134*V134</f>
        <v>0</v>
      </c>
      <c r="Y134" s="4" t="n">
        <f aca="false">X134-W134</f>
        <v>0</v>
      </c>
      <c r="Z134" s="3" t="s">
        <v>86</v>
      </c>
      <c r="AA134" s="3" t="s">
        <v>304</v>
      </c>
    </row>
    <row r="135" customFormat="false" ht="15" hidden="false" customHeight="false" outlineLevel="0" collapsed="false">
      <c r="A135" s="3" t="s">
        <v>78</v>
      </c>
      <c r="B135" s="3" t="s">
        <v>305</v>
      </c>
      <c r="C135" s="3" t="s">
        <v>34</v>
      </c>
      <c r="D135" s="3" t="s">
        <v>30</v>
      </c>
      <c r="E135" s="4" t="n">
        <v>30561.99</v>
      </c>
      <c r="F135" s="5" t="n">
        <f aca="false">IFERROR(E135/规则参数!$B$8,0)</f>
        <v>0.000935321340590132</v>
      </c>
      <c r="G135" s="4" t="n">
        <v>2842.92</v>
      </c>
      <c r="H135" s="5" t="n">
        <f aca="false">IFERROR(G135/规则参数!$B$9,0)</f>
        <v>0.00063188474387776</v>
      </c>
      <c r="I135" s="4" t="n">
        <v>5330.58</v>
      </c>
      <c r="J135" s="5" t="n">
        <f aca="false">IFERROR(I135/规则参数!$B$10,0)</f>
        <v>0.00110096419656824</v>
      </c>
      <c r="K135" s="6" t="n">
        <f aca="false">IFERROR(I135/E135,0)</f>
        <v>0.17441861606525</v>
      </c>
      <c r="L135" s="6" t="n">
        <f aca="false">IFERROR(G135/E135,0)</f>
        <v>0.0930214295600516</v>
      </c>
      <c r="M135" s="6" t="n">
        <f aca="false">K135+L135</f>
        <v>0.267440045625301</v>
      </c>
      <c r="N135" s="4" t="n">
        <v>3718.4</v>
      </c>
      <c r="O135" s="4" t="n">
        <v>93.5</v>
      </c>
      <c r="P135" s="4" t="n">
        <v>1518.68</v>
      </c>
      <c r="Q135" s="4" t="n">
        <v>0</v>
      </c>
      <c r="R135" s="4" t="n">
        <v>3619.84</v>
      </c>
      <c r="S135" s="4" t="n">
        <v>4124</v>
      </c>
      <c r="T135" s="6" t="n">
        <f aca="false">IFERROR(R135/S135-1,"")</f>
        <v>-0.122250242483026</v>
      </c>
      <c r="U135" s="7" t="n">
        <v>376</v>
      </c>
      <c r="V135" s="8" t="n">
        <v>0.1674</v>
      </c>
      <c r="W135" s="4" t="n">
        <f aca="false">R135*K135</f>
        <v>631.367483177633</v>
      </c>
      <c r="X135" s="4" t="n">
        <f aca="false">R135*V135</f>
        <v>605.961216</v>
      </c>
      <c r="Y135" s="4" t="n">
        <f aca="false">X135-W135</f>
        <v>-25.4062671776334</v>
      </c>
      <c r="Z135" s="3"/>
      <c r="AA135" s="3" t="s">
        <v>31</v>
      </c>
    </row>
    <row r="136" customFormat="false" ht="15" hidden="false" customHeight="false" outlineLevel="0" collapsed="false">
      <c r="A136" s="3" t="s">
        <v>39</v>
      </c>
      <c r="B136" s="3" t="s">
        <v>306</v>
      </c>
      <c r="C136" s="3" t="s">
        <v>34</v>
      </c>
      <c r="D136" s="3" t="s">
        <v>30</v>
      </c>
      <c r="E136" s="4" t="n">
        <v>49300.58</v>
      </c>
      <c r="F136" s="5" t="n">
        <f aca="false">IFERROR(E136/规则参数!$B$8,0)</f>
        <v>0.00150879849700465</v>
      </c>
      <c r="G136" s="4" t="n">
        <v>10897.57</v>
      </c>
      <c r="H136" s="5" t="n">
        <f aca="false">IFERROR(G136/规则参数!$B$9,0)</f>
        <v>0.00242216039436212</v>
      </c>
      <c r="I136" s="4" t="n">
        <v>5303.38</v>
      </c>
      <c r="J136" s="5" t="n">
        <f aca="false">IFERROR(I136/规则参数!$B$10,0)</f>
        <v>0.0010953463789674</v>
      </c>
      <c r="K136" s="6" t="n">
        <f aca="false">IFERROR(I136/E136,0)</f>
        <v>0.107572365274404</v>
      </c>
      <c r="L136" s="6" t="n">
        <f aca="false">IFERROR(G136/E136,0)</f>
        <v>0.221043444113639</v>
      </c>
      <c r="M136" s="6" t="n">
        <f aca="false">K136+L136</f>
        <v>0.328615809388044</v>
      </c>
      <c r="N136" s="4" t="n">
        <v>5028.75</v>
      </c>
      <c r="O136" s="4" t="n">
        <v>2.78</v>
      </c>
      <c r="P136" s="4" t="n">
        <v>271.85</v>
      </c>
      <c r="Q136" s="4" t="n">
        <v>0</v>
      </c>
      <c r="R136" s="4" t="n">
        <v>9399.28</v>
      </c>
      <c r="S136" s="4" t="n">
        <v>5746.56</v>
      </c>
      <c r="T136" s="6" t="n">
        <f aca="false">IFERROR(R136/S136-1,"")</f>
        <v>0.635635928277091</v>
      </c>
      <c r="U136" s="7" t="n">
        <v>34</v>
      </c>
      <c r="V136" s="8" t="n">
        <v>0.1076</v>
      </c>
      <c r="W136" s="4" t="n">
        <f aca="false">R136*K136</f>
        <v>1011.1027814764</v>
      </c>
      <c r="X136" s="4" t="n">
        <f aca="false">R136*V136</f>
        <v>1011.362528</v>
      </c>
      <c r="Y136" s="4" t="n">
        <f aca="false">X136-W136</f>
        <v>0.259746523595595</v>
      </c>
      <c r="Z136" s="3"/>
      <c r="AA136" s="3" t="s">
        <v>31</v>
      </c>
    </row>
    <row r="137" customFormat="false" ht="15" hidden="false" customHeight="false" outlineLevel="0" collapsed="false">
      <c r="A137" s="3" t="s">
        <v>115</v>
      </c>
      <c r="B137" s="3" t="s">
        <v>307</v>
      </c>
      <c r="C137" s="3" t="s">
        <v>96</v>
      </c>
      <c r="D137" s="3" t="s">
        <v>30</v>
      </c>
      <c r="E137" s="4" t="n">
        <v>39956.2</v>
      </c>
      <c r="F137" s="5" t="n">
        <f aca="false">IFERROR(E137/规则参数!$B$8,0)</f>
        <v>0.00122282241924978</v>
      </c>
      <c r="G137" s="4" t="n">
        <v>3533.59</v>
      </c>
      <c r="H137" s="5" t="n">
        <f aca="false">IFERROR(G137/规则参数!$B$9,0)</f>
        <v>0.000785397271860979</v>
      </c>
      <c r="I137" s="4" t="n">
        <v>5274.15</v>
      </c>
      <c r="J137" s="5" t="n">
        <f aca="false">IFERROR(I137/规则参数!$B$10,0)</f>
        <v>0.00108930929042063</v>
      </c>
      <c r="K137" s="6" t="n">
        <f aca="false">IFERROR(I137/E137,0)</f>
        <v>0.131998288125497</v>
      </c>
      <c r="L137" s="6" t="n">
        <f aca="false">IFERROR(G137/E137,0)</f>
        <v>0.08843658806393</v>
      </c>
      <c r="M137" s="6" t="n">
        <f aca="false">K137+L137</f>
        <v>0.220434876189427</v>
      </c>
      <c r="N137" s="4" t="n">
        <v>5269.48</v>
      </c>
      <c r="O137" s="4" t="n">
        <v>4.11</v>
      </c>
      <c r="P137" s="4" t="n">
        <v>0.56</v>
      </c>
      <c r="Q137" s="4" t="n">
        <v>0</v>
      </c>
      <c r="R137" s="4" t="n">
        <v>7783.76</v>
      </c>
      <c r="S137" s="4" t="n">
        <v>1274.22</v>
      </c>
      <c r="T137" s="6" t="n">
        <f aca="false">IFERROR(R137/S137-1,"")</f>
        <v>5.10864685847028</v>
      </c>
      <c r="U137" s="7" t="n">
        <v>2040</v>
      </c>
      <c r="V137" s="8" t="n">
        <v>0.132</v>
      </c>
      <c r="W137" s="4" t="n">
        <f aca="false">R137*K137</f>
        <v>1027.44299517972</v>
      </c>
      <c r="X137" s="4" t="n">
        <f aca="false">R137*V137</f>
        <v>1027.45632</v>
      </c>
      <c r="Y137" s="4" t="n">
        <f aca="false">X137-W137</f>
        <v>0.0133248202782852</v>
      </c>
      <c r="Z137" s="3"/>
      <c r="AA137" s="3" t="s">
        <v>31</v>
      </c>
    </row>
    <row r="138" customFormat="false" ht="15" hidden="false" customHeight="false" outlineLevel="0" collapsed="false">
      <c r="A138" s="3" t="s">
        <v>59</v>
      </c>
      <c r="B138" s="3" t="s">
        <v>308</v>
      </c>
      <c r="C138" s="3" t="s">
        <v>29</v>
      </c>
      <c r="D138" s="3" t="s">
        <v>30</v>
      </c>
      <c r="E138" s="4" t="n">
        <v>40920.52</v>
      </c>
      <c r="F138" s="5" t="n">
        <f aca="false">IFERROR(E138/规则参数!$B$8,0)</f>
        <v>0.00125233453790297</v>
      </c>
      <c r="G138" s="4" t="n">
        <v>5308.32</v>
      </c>
      <c r="H138" s="5" t="n">
        <f aca="false">IFERROR(G138/规则参数!$B$9,0)</f>
        <v>0.00117985958930297</v>
      </c>
      <c r="I138" s="4" t="n">
        <v>5176.34</v>
      </c>
      <c r="J138" s="5" t="n">
        <f aca="false">IFERROR(I138/规则参数!$B$10,0)</f>
        <v>0.00106910786617292</v>
      </c>
      <c r="K138" s="6" t="n">
        <f aca="false">IFERROR(I138/E138,0)</f>
        <v>0.126497414988861</v>
      </c>
      <c r="L138" s="6" t="n">
        <f aca="false">IFERROR(G138/E138,0)</f>
        <v>0.129722691696</v>
      </c>
      <c r="M138" s="6" t="n">
        <f aca="false">K138+L138</f>
        <v>0.256220106684861</v>
      </c>
      <c r="N138" s="4" t="n">
        <v>5147.77</v>
      </c>
      <c r="O138" s="4" t="n">
        <v>1.38</v>
      </c>
      <c r="P138" s="4" t="n">
        <v>27.19</v>
      </c>
      <c r="Q138" s="4" t="n">
        <v>0</v>
      </c>
      <c r="R138" s="4" t="n">
        <v>1932.74</v>
      </c>
      <c r="S138" s="4" t="n">
        <v>1527.31</v>
      </c>
      <c r="T138" s="6" t="n">
        <f aca="false">IFERROR(R138/S138-1,"")</f>
        <v>0.265453640714721</v>
      </c>
      <c r="U138" s="7" t="n">
        <v>436</v>
      </c>
      <c r="V138" s="8" t="n">
        <v>0.1265</v>
      </c>
      <c r="W138" s="4" t="n">
        <f aca="false">R138*K138</f>
        <v>244.486613845572</v>
      </c>
      <c r="X138" s="4" t="n">
        <f aca="false">R138*V138</f>
        <v>244.49161</v>
      </c>
      <c r="Y138" s="4" t="n">
        <f aca="false">X138-W138</f>
        <v>0.00499615442811319</v>
      </c>
      <c r="Z138" s="3"/>
      <c r="AA138" s="3" t="s">
        <v>31</v>
      </c>
    </row>
    <row r="139" customFormat="false" ht="15" hidden="false" customHeight="false" outlineLevel="0" collapsed="false">
      <c r="A139" s="3" t="s">
        <v>160</v>
      </c>
      <c r="B139" s="3" t="s">
        <v>309</v>
      </c>
      <c r="C139" s="3" t="s">
        <v>29</v>
      </c>
      <c r="D139" s="3" t="s">
        <v>46</v>
      </c>
      <c r="E139" s="4" t="n">
        <v>23554.75</v>
      </c>
      <c r="F139" s="5" t="n">
        <f aca="false">IFERROR(E139/规则参数!$B$8,0)</f>
        <v>0.000720871263529156</v>
      </c>
      <c r="G139" s="4" t="n">
        <v>1236.22</v>
      </c>
      <c r="H139" s="5" t="n">
        <f aca="false">IFERROR(G139/规则参数!$B$9,0)</f>
        <v>0.000274769799388152</v>
      </c>
      <c r="I139" s="4" t="n">
        <v>5121.57</v>
      </c>
      <c r="J139" s="5" t="n">
        <f aca="false">IFERROR(I139/规则参数!$B$10,0)</f>
        <v>0.00105779581212889</v>
      </c>
      <c r="K139" s="6" t="n">
        <f aca="false">IFERROR(I139/E139,0)</f>
        <v>0.217432577293327</v>
      </c>
      <c r="L139" s="6" t="n">
        <f aca="false">IFERROR(G139/E139,0)</f>
        <v>0.052482832549698</v>
      </c>
      <c r="M139" s="6" t="n">
        <f aca="false">K139+L139</f>
        <v>0.269915409843025</v>
      </c>
      <c r="N139" s="4" t="n">
        <v>4001.96</v>
      </c>
      <c r="O139" s="4" t="n">
        <v>19.22</v>
      </c>
      <c r="P139" s="4" t="n">
        <v>1100.39</v>
      </c>
      <c r="Q139" s="4" t="n">
        <v>0</v>
      </c>
      <c r="R139" s="4" t="n">
        <v>724.18</v>
      </c>
      <c r="S139" s="4" t="n">
        <v>1287.57</v>
      </c>
      <c r="T139" s="6" t="n">
        <f aca="false">IFERROR(R139/S139-1,"")</f>
        <v>-0.437560676312744</v>
      </c>
      <c r="U139" s="7" t="n">
        <v>115</v>
      </c>
      <c r="V139" s="8" t="n">
        <v>0.15</v>
      </c>
      <c r="W139" s="4" t="n">
        <f aca="false">R139*K139</f>
        <v>157.460323824282</v>
      </c>
      <c r="X139" s="4" t="n">
        <f aca="false">R139*V139</f>
        <v>108.627</v>
      </c>
      <c r="Y139" s="4" t="n">
        <f aca="false">X139-W139</f>
        <v>-48.8333238242817</v>
      </c>
      <c r="Z139" s="3" t="s">
        <v>69</v>
      </c>
      <c r="AA139" s="3" t="s">
        <v>310</v>
      </c>
    </row>
    <row r="140" customFormat="false" ht="15" hidden="false" customHeight="false" outlineLevel="0" collapsed="false">
      <c r="A140" s="3" t="s">
        <v>144</v>
      </c>
      <c r="B140" s="3" t="s">
        <v>311</v>
      </c>
      <c r="C140" s="3" t="s">
        <v>96</v>
      </c>
      <c r="D140" s="3" t="s">
        <v>46</v>
      </c>
      <c r="E140" s="4" t="n">
        <v>31631.45</v>
      </c>
      <c r="F140" s="5" t="n">
        <f aca="false">IFERROR(E140/规则参数!$B$8,0)</f>
        <v>0.000968051171367105</v>
      </c>
      <c r="G140" s="4" t="n">
        <v>-737.11</v>
      </c>
      <c r="H140" s="5" t="n">
        <f aca="false">IFERROR(G140/规则参数!$B$9,0)</f>
        <v>-0.000163834565714032</v>
      </c>
      <c r="I140" s="4" t="n">
        <v>5118.24</v>
      </c>
      <c r="J140" s="5" t="n">
        <f aca="false">IFERROR(I140/规则参数!$B$10,0)</f>
        <v>0.00105710804254761</v>
      </c>
      <c r="K140" s="6" t="n">
        <f aca="false">IFERROR(I140/E140,0)</f>
        <v>0.161808579752114</v>
      </c>
      <c r="L140" s="6" t="n">
        <f aca="false">IFERROR(G140/E140,0)</f>
        <v>-0.0233030733652741</v>
      </c>
      <c r="M140" s="6" t="n">
        <f aca="false">K140+L140</f>
        <v>0.13850550638684</v>
      </c>
      <c r="N140" s="4" t="n">
        <v>4870.49</v>
      </c>
      <c r="O140" s="4" t="n">
        <v>23.24</v>
      </c>
      <c r="P140" s="4" t="n">
        <v>224.51</v>
      </c>
      <c r="Q140" s="4" t="n">
        <v>0</v>
      </c>
      <c r="R140" s="4" t="n">
        <v>2850.4</v>
      </c>
      <c r="S140" s="4" t="n">
        <v>2956.58</v>
      </c>
      <c r="T140" s="6" t="n">
        <f aca="false">IFERROR(R140/S140-1,"")</f>
        <v>-0.0359131158297762</v>
      </c>
      <c r="U140" s="7" t="n">
        <v>158</v>
      </c>
      <c r="V140" s="8" t="n">
        <v>0.1385</v>
      </c>
      <c r="W140" s="4" t="n">
        <f aca="false">R140*K140</f>
        <v>461.219175725425</v>
      </c>
      <c r="X140" s="4" t="n">
        <f aca="false">R140*V140</f>
        <v>394.7804</v>
      </c>
      <c r="Y140" s="4" t="n">
        <f aca="false">X140-W140</f>
        <v>-66.4387757254252</v>
      </c>
      <c r="Z140" s="3" t="s">
        <v>103</v>
      </c>
      <c r="AA140" s="3" t="s">
        <v>312</v>
      </c>
    </row>
    <row r="141" customFormat="false" ht="15" hidden="false" customHeight="false" outlineLevel="0" collapsed="false">
      <c r="A141" s="3" t="s">
        <v>169</v>
      </c>
      <c r="B141" s="3" t="s">
        <v>313</v>
      </c>
      <c r="C141" s="3" t="s">
        <v>34</v>
      </c>
      <c r="D141" s="3" t="s">
        <v>30</v>
      </c>
      <c r="E141" s="4" t="n">
        <v>44276.05</v>
      </c>
      <c r="F141" s="5" t="n">
        <f aca="false">IFERROR(E141/规则参数!$B$8,0)</f>
        <v>0.00135502741941987</v>
      </c>
      <c r="G141" s="4" t="n">
        <v>6357.26</v>
      </c>
      <c r="H141" s="5" t="n">
        <f aca="false">IFERROR(G141/规则参数!$B$9,0)</f>
        <v>0.00141300339329433</v>
      </c>
      <c r="I141" s="4" t="n">
        <v>4978.42</v>
      </c>
      <c r="J141" s="5" t="n">
        <f aca="false">IFERROR(I141/规则参数!$B$10,0)</f>
        <v>0.00102822998163038</v>
      </c>
      <c r="K141" s="6" t="n">
        <f aca="false">IFERROR(I141/E141,0)</f>
        <v>0.112440472896747</v>
      </c>
      <c r="L141" s="6" t="n">
        <f aca="false">IFERROR(G141/E141,0)</f>
        <v>0.143582365635598</v>
      </c>
      <c r="M141" s="6" t="n">
        <f aca="false">K141+L141</f>
        <v>0.256022838532344</v>
      </c>
      <c r="N141" s="4" t="n">
        <v>5006.39</v>
      </c>
      <c r="O141" s="4" t="n">
        <v>-32.68</v>
      </c>
      <c r="P141" s="4" t="n">
        <v>0</v>
      </c>
      <c r="Q141" s="4" t="n">
        <v>4.71</v>
      </c>
      <c r="R141" s="4" t="n">
        <v>6898.21</v>
      </c>
      <c r="S141" s="4" t="n">
        <v>5358.37</v>
      </c>
      <c r="T141" s="6" t="n">
        <f aca="false">IFERROR(R141/S141-1,"")</f>
        <v>0.287370972889144</v>
      </c>
      <c r="U141" s="7" t="n">
        <v>1848</v>
      </c>
      <c r="V141" s="8" t="n">
        <v>0.1124</v>
      </c>
      <c r="W141" s="4" t="n">
        <f aca="false">R141*K141</f>
        <v>775.637994541067</v>
      </c>
      <c r="X141" s="4" t="n">
        <f aca="false">R141*V141</f>
        <v>775.358804</v>
      </c>
      <c r="Y141" s="4" t="n">
        <f aca="false">X141-W141</f>
        <v>-0.279190541066782</v>
      </c>
      <c r="Z141" s="3"/>
      <c r="AA141" s="3" t="s">
        <v>31</v>
      </c>
    </row>
    <row r="142" customFormat="false" ht="15" hidden="false" customHeight="false" outlineLevel="0" collapsed="false">
      <c r="A142" s="3" t="s">
        <v>196</v>
      </c>
      <c r="B142" s="3" t="s">
        <v>314</v>
      </c>
      <c r="C142" s="3" t="s">
        <v>29</v>
      </c>
      <c r="D142" s="3" t="s">
        <v>85</v>
      </c>
      <c r="E142" s="4" t="n">
        <v>44618.94</v>
      </c>
      <c r="F142" s="5" t="n">
        <f aca="false">IFERROR(E142/规则参数!$B$8,0)</f>
        <v>0.00136552124964738</v>
      </c>
      <c r="G142" s="4" t="n">
        <v>-1396.5</v>
      </c>
      <c r="H142" s="5" t="n">
        <f aca="false">IFERROR(G142/规则参数!$B$9,0)</f>
        <v>-0.000310394610057719</v>
      </c>
      <c r="I142" s="4" t="n">
        <v>4872.78</v>
      </c>
      <c r="J142" s="5" t="n">
        <f aca="false">IFERROR(I142/规则参数!$B$10,0)</f>
        <v>0.00100641136944831</v>
      </c>
      <c r="K142" s="6" t="n">
        <f aca="false">IFERROR(I142/E142,0)</f>
        <v>0.109208779948605</v>
      </c>
      <c r="L142" s="6" t="n">
        <f aca="false">IFERROR(G142/E142,0)</f>
        <v>-0.0312983679128191</v>
      </c>
      <c r="M142" s="6" t="n">
        <f aca="false">K142+L142</f>
        <v>0.0779104120357857</v>
      </c>
      <c r="N142" s="4" t="n">
        <v>4515.37</v>
      </c>
      <c r="O142" s="4" t="n">
        <v>221.97</v>
      </c>
      <c r="P142" s="4" t="n">
        <v>135.44</v>
      </c>
      <c r="Q142" s="4" t="n">
        <v>0</v>
      </c>
      <c r="R142" s="4" t="n">
        <v>3121.47</v>
      </c>
      <c r="S142" s="4" t="n">
        <v>6905.59</v>
      </c>
      <c r="T142" s="6" t="n">
        <f aca="false">IFERROR(R142/S142-1,"")</f>
        <v>-0.547979245799418</v>
      </c>
      <c r="U142" s="7" t="n">
        <v>0</v>
      </c>
      <c r="V142" s="8" t="n">
        <v>0.0279</v>
      </c>
      <c r="W142" s="4" t="n">
        <f aca="false">R142*K142</f>
        <v>340.891930346171</v>
      </c>
      <c r="X142" s="4" t="n">
        <f aca="false">R142*V142</f>
        <v>87.089013</v>
      </c>
      <c r="Y142" s="4" t="n">
        <f aca="false">X142-W142</f>
        <v>-253.802917346171</v>
      </c>
      <c r="Z142" s="3" t="s">
        <v>86</v>
      </c>
      <c r="AA142" s="3" t="s">
        <v>315</v>
      </c>
    </row>
    <row r="143" customFormat="false" ht="15" hidden="false" customHeight="false" outlineLevel="0" collapsed="false">
      <c r="A143" s="3" t="s">
        <v>134</v>
      </c>
      <c r="B143" s="3" t="s">
        <v>316</v>
      </c>
      <c r="C143" s="3" t="s">
        <v>34</v>
      </c>
      <c r="D143" s="3" t="s">
        <v>85</v>
      </c>
      <c r="E143" s="4" t="n">
        <v>36135.43</v>
      </c>
      <c r="F143" s="5" t="n">
        <f aca="false">IFERROR(E143/规则参数!$B$8,0)</f>
        <v>0.00110589129930351</v>
      </c>
      <c r="G143" s="4" t="n">
        <v>-3542.19</v>
      </c>
      <c r="H143" s="5" t="n">
        <f aca="false">IFERROR(G143/规则参数!$B$9,0)</f>
        <v>-0.000787308760329648</v>
      </c>
      <c r="I143" s="4" t="n">
        <v>4783.61</v>
      </c>
      <c r="J143" s="5" t="n">
        <f aca="false">IFERROR(I143/规则参数!$B$10,0)</f>
        <v>0.000987994428438518</v>
      </c>
      <c r="K143" s="6" t="n">
        <f aca="false">IFERROR(I143/E143,0)</f>
        <v>0.132380049165044</v>
      </c>
      <c r="L143" s="6" t="n">
        <f aca="false">IFERROR(G143/E143,0)</f>
        <v>-0.098025400555632</v>
      </c>
      <c r="M143" s="6" t="n">
        <f aca="false">K143+L143</f>
        <v>0.0343546486094119</v>
      </c>
      <c r="N143" s="4" t="n">
        <v>2653.47</v>
      </c>
      <c r="O143" s="4" t="n">
        <v>761.02</v>
      </c>
      <c r="P143" s="4" t="n">
        <v>958.32</v>
      </c>
      <c r="Q143" s="4" t="n">
        <v>410.8</v>
      </c>
      <c r="R143" s="4" t="n">
        <v>839.93</v>
      </c>
      <c r="S143" s="4" t="n">
        <v>0</v>
      </c>
      <c r="T143" s="6" t="str">
        <f aca="false">IFERROR(R143/S143-1,"")</f>
        <v/>
      </c>
      <c r="U143" s="7" t="n">
        <v>0</v>
      </c>
      <c r="V143" s="8" t="n">
        <v>0</v>
      </c>
      <c r="W143" s="4" t="n">
        <f aca="false">R143*K143</f>
        <v>111.189974695195</v>
      </c>
      <c r="X143" s="4" t="n">
        <f aca="false">R143*V143</f>
        <v>0</v>
      </c>
      <c r="Y143" s="4" t="n">
        <f aca="false">X143-W143</f>
        <v>-111.189974695195</v>
      </c>
      <c r="Z143" s="3" t="s">
        <v>86</v>
      </c>
      <c r="AA143" s="3" t="s">
        <v>317</v>
      </c>
    </row>
    <row r="144" customFormat="false" ht="15" hidden="false" customHeight="false" outlineLevel="0" collapsed="false">
      <c r="A144" s="3" t="s">
        <v>318</v>
      </c>
      <c r="B144" s="3" t="s">
        <v>319</v>
      </c>
      <c r="C144" s="3" t="s">
        <v>29</v>
      </c>
      <c r="D144" s="3" t="s">
        <v>85</v>
      </c>
      <c r="E144" s="4" t="n">
        <v>28496.89</v>
      </c>
      <c r="F144" s="5" t="n">
        <f aca="false">IFERROR(E144/规则参数!$B$8,0)</f>
        <v>0.0008721208716268</v>
      </c>
      <c r="G144" s="4" t="n">
        <v>-1638.1</v>
      </c>
      <c r="H144" s="5" t="n">
        <f aca="false">IFERROR(G144/规则参数!$B$9,0)</f>
        <v>-0.00036409410006126</v>
      </c>
      <c r="I144" s="4" t="n">
        <v>4734.18</v>
      </c>
      <c r="J144" s="5" t="n">
        <f aca="false">IFERROR(I144/规则参数!$B$10,0)</f>
        <v>0.000977785284173472</v>
      </c>
      <c r="K144" s="6" t="n">
        <f aca="false">IFERROR(I144/E144,0)</f>
        <v>0.166129707487378</v>
      </c>
      <c r="L144" s="6" t="n">
        <f aca="false">IFERROR(G144/E144,0)</f>
        <v>-0.0574834657395947</v>
      </c>
      <c r="M144" s="6" t="n">
        <f aca="false">K144+L144</f>
        <v>0.108646241747784</v>
      </c>
      <c r="N144" s="4" t="n">
        <v>4677.88</v>
      </c>
      <c r="O144" s="4" t="n">
        <v>2.66</v>
      </c>
      <c r="P144" s="4" t="n">
        <v>32.35</v>
      </c>
      <c r="Q144" s="4" t="n">
        <v>21.29</v>
      </c>
      <c r="R144" s="4" t="n">
        <v>0</v>
      </c>
      <c r="S144" s="4" t="n">
        <v>0</v>
      </c>
      <c r="T144" s="6" t="str">
        <f aca="false">IFERROR(R144/S144-1,"")</f>
        <v/>
      </c>
      <c r="U144" s="7" t="n">
        <v>0</v>
      </c>
      <c r="V144" s="8" t="n">
        <v>0.0586</v>
      </c>
      <c r="W144" s="4" t="n">
        <f aca="false">R144*K144</f>
        <v>0</v>
      </c>
      <c r="X144" s="4" t="n">
        <f aca="false">R144*V144</f>
        <v>0</v>
      </c>
      <c r="Y144" s="4" t="n">
        <f aca="false">X144-W144</f>
        <v>0</v>
      </c>
      <c r="Z144" s="3" t="s">
        <v>86</v>
      </c>
      <c r="AA144" s="3" t="s">
        <v>320</v>
      </c>
    </row>
    <row r="145" customFormat="false" ht="15" hidden="false" customHeight="false" outlineLevel="0" collapsed="false">
      <c r="A145" s="3" t="s">
        <v>321</v>
      </c>
      <c r="B145" s="3" t="s">
        <v>322</v>
      </c>
      <c r="C145" s="3" t="s">
        <v>34</v>
      </c>
      <c r="D145" s="3" t="s">
        <v>56</v>
      </c>
      <c r="E145" s="4" t="n">
        <v>51204.29</v>
      </c>
      <c r="F145" s="5" t="n">
        <f aca="false">IFERROR(E145/规则参数!$B$8,0)</f>
        <v>0.00156705977479758</v>
      </c>
      <c r="G145" s="4" t="n">
        <v>12580.37</v>
      </c>
      <c r="H145" s="5" t="n">
        <f aca="false">IFERROR(G145/规则参数!$B$9,0)</f>
        <v>0.00279618978913844</v>
      </c>
      <c r="I145" s="4" t="n">
        <v>4629.29</v>
      </c>
      <c r="J145" s="5" t="n">
        <f aca="false">IFERROR(I145/规则参数!$B$10,0)</f>
        <v>0.000956121575050254</v>
      </c>
      <c r="K145" s="6" t="n">
        <f aca="false">IFERROR(I145/E145,0)</f>
        <v>0.0904082450904016</v>
      </c>
      <c r="L145" s="6" t="n">
        <f aca="false">IFERROR(G145/E145,0)</f>
        <v>0.245689765447387</v>
      </c>
      <c r="M145" s="6" t="n">
        <f aca="false">K145+L145</f>
        <v>0.336098010537789</v>
      </c>
      <c r="N145" s="4" t="n">
        <v>3966.33</v>
      </c>
      <c r="O145" s="4" t="n">
        <v>0</v>
      </c>
      <c r="P145" s="4" t="n">
        <v>117.82</v>
      </c>
      <c r="Q145" s="4" t="n">
        <v>545.14</v>
      </c>
      <c r="R145" s="4" t="n">
        <v>5992.14</v>
      </c>
      <c r="S145" s="4" t="n">
        <v>2180.32</v>
      </c>
      <c r="T145" s="6" t="n">
        <f aca="false">IFERROR(R145/S145-1,"")</f>
        <v>1.74828465546342</v>
      </c>
      <c r="U145" s="7" t="n">
        <v>722</v>
      </c>
      <c r="V145" s="8" t="n">
        <v>0.1175</v>
      </c>
      <c r="W145" s="4" t="n">
        <f aca="false">R145*K145</f>
        <v>541.738861735999</v>
      </c>
      <c r="X145" s="4" t="n">
        <f aca="false">R145*V145</f>
        <v>704.07645</v>
      </c>
      <c r="Y145" s="4" t="n">
        <f aca="false">X145-W145</f>
        <v>162.337588264001</v>
      </c>
      <c r="Z145" s="3" t="s">
        <v>57</v>
      </c>
      <c r="AA145" s="3" t="s">
        <v>323</v>
      </c>
    </row>
    <row r="146" customFormat="false" ht="15" hidden="false" customHeight="false" outlineLevel="0" collapsed="false">
      <c r="A146" s="3" t="s">
        <v>324</v>
      </c>
      <c r="B146" s="3" t="s">
        <v>325</v>
      </c>
      <c r="C146" s="3" t="s">
        <v>96</v>
      </c>
      <c r="D146" s="3" t="s">
        <v>46</v>
      </c>
      <c r="E146" s="4" t="n">
        <v>36106.43</v>
      </c>
      <c r="F146" s="5" t="n">
        <f aca="false">IFERROR(E146/规则参数!$B$8,0)</f>
        <v>0.00110500378121725</v>
      </c>
      <c r="G146" s="4" t="n">
        <v>5930.78</v>
      </c>
      <c r="H146" s="5" t="n">
        <f aca="false">IFERROR(G146/规则参数!$B$9,0)</f>
        <v>0.00131821134653643</v>
      </c>
      <c r="I146" s="4" t="n">
        <v>4316.76</v>
      </c>
      <c r="J146" s="5" t="n">
        <f aca="false">IFERROR(I146/规则参数!$B$10,0)</f>
        <v>0.000891572437741843</v>
      </c>
      <c r="K146" s="6" t="n">
        <f aca="false">IFERROR(I146/E146,0)</f>
        <v>0.119556544360658</v>
      </c>
      <c r="L146" s="6" t="n">
        <f aca="false">IFERROR(G146/E146,0)</f>
        <v>0.164258277542255</v>
      </c>
      <c r="M146" s="6" t="n">
        <f aca="false">K146+L146</f>
        <v>0.283814821902913</v>
      </c>
      <c r="N146" s="4" t="n">
        <v>4217.68</v>
      </c>
      <c r="O146" s="4" t="n">
        <v>23.17</v>
      </c>
      <c r="P146" s="4" t="n">
        <v>75.91</v>
      </c>
      <c r="Q146" s="4" t="n">
        <v>0</v>
      </c>
      <c r="R146" s="4" t="n">
        <v>838.19</v>
      </c>
      <c r="S146" s="4" t="n">
        <v>10014.81</v>
      </c>
      <c r="T146" s="6" t="n">
        <f aca="false">IFERROR(R146/S146-1,"")</f>
        <v>-0.916304952365547</v>
      </c>
      <c r="U146" s="7" t="n">
        <v>0</v>
      </c>
      <c r="V146" s="8" t="n">
        <v>0.1196</v>
      </c>
      <c r="W146" s="4" t="n">
        <f aca="false">R146*K146</f>
        <v>100.21109991766</v>
      </c>
      <c r="X146" s="4" t="n">
        <f aca="false">R146*V146</f>
        <v>100.247524</v>
      </c>
      <c r="Y146" s="4" t="n">
        <f aca="false">X146-W146</f>
        <v>0.0364240823398916</v>
      </c>
      <c r="Z146" s="3" t="s">
        <v>47</v>
      </c>
      <c r="AA146" s="3" t="s">
        <v>326</v>
      </c>
    </row>
    <row r="147" customFormat="false" ht="15" hidden="false" customHeight="false" outlineLevel="0" collapsed="false">
      <c r="A147" s="3" t="s">
        <v>327</v>
      </c>
      <c r="B147" s="3" t="s">
        <v>328</v>
      </c>
      <c r="C147" s="3" t="s">
        <v>29</v>
      </c>
      <c r="D147" s="3" t="s">
        <v>85</v>
      </c>
      <c r="E147" s="4" t="n">
        <v>17079.06</v>
      </c>
      <c r="F147" s="5" t="n">
        <f aca="false">IFERROR(E147/规则参数!$B$8,0)</f>
        <v>0.000522688780907896</v>
      </c>
      <c r="G147" s="4" t="n">
        <v>-324.78</v>
      </c>
      <c r="H147" s="5" t="n">
        <f aca="false">IFERROR(G147/规则参数!$B$9,0)</f>
        <v>-7.21875842853892E-005</v>
      </c>
      <c r="I147" s="4" t="n">
        <v>4159.99</v>
      </c>
      <c r="J147" s="5" t="n">
        <f aca="false">IFERROR(I147/规则参数!$B$10,0)</f>
        <v>0.00085919356769468</v>
      </c>
      <c r="K147" s="6" t="n">
        <f aca="false">IFERROR(I147/E147,0)</f>
        <v>0.243572538535493</v>
      </c>
      <c r="L147" s="6" t="n">
        <f aca="false">IFERROR(G147/E147,0)</f>
        <v>-0.0190162690452519</v>
      </c>
      <c r="M147" s="6" t="n">
        <f aca="false">K147+L147</f>
        <v>0.224556269490241</v>
      </c>
      <c r="N147" s="4" t="n">
        <v>4024.01</v>
      </c>
      <c r="O147" s="4" t="n">
        <v>-0.25</v>
      </c>
      <c r="P147" s="4" t="n">
        <v>48.98</v>
      </c>
      <c r="Q147" s="4" t="n">
        <v>87.25</v>
      </c>
      <c r="R147" s="4" t="n">
        <v>2147.26</v>
      </c>
      <c r="S147" s="4" t="n">
        <v>1582.42</v>
      </c>
      <c r="T147" s="6" t="n">
        <f aca="false">IFERROR(R147/S147-1,"")</f>
        <v>0.356946954664375</v>
      </c>
      <c r="U147" s="7" t="n">
        <v>136</v>
      </c>
      <c r="V147" s="8" t="n">
        <v>0.15</v>
      </c>
      <c r="W147" s="4" t="n">
        <f aca="false">R147*K147</f>
        <v>523.013569095723</v>
      </c>
      <c r="X147" s="4" t="n">
        <f aca="false">R147*V147</f>
        <v>322.089</v>
      </c>
      <c r="Y147" s="4" t="n">
        <f aca="false">X147-W147</f>
        <v>-200.924569095723</v>
      </c>
      <c r="Z147" s="3" t="s">
        <v>86</v>
      </c>
      <c r="AA147" s="3" t="s">
        <v>329</v>
      </c>
    </row>
    <row r="148" customFormat="false" ht="15" hidden="false" customHeight="false" outlineLevel="0" collapsed="false">
      <c r="A148" s="3" t="s">
        <v>35</v>
      </c>
      <c r="B148" s="3" t="s">
        <v>330</v>
      </c>
      <c r="C148" s="3" t="s">
        <v>34</v>
      </c>
      <c r="D148" s="3" t="s">
        <v>138</v>
      </c>
      <c r="E148" s="4" t="n">
        <v>23600.74</v>
      </c>
      <c r="F148" s="5" t="n">
        <f aca="false">IFERROR(E148/规则参数!$B$8,0)</f>
        <v>0.000722278744797677</v>
      </c>
      <c r="G148" s="4" t="n">
        <v>942.14</v>
      </c>
      <c r="H148" s="5" t="n">
        <f aca="false">IFERROR(G148/规则参数!$B$9,0)</f>
        <v>0.000209405784403709</v>
      </c>
      <c r="I148" s="4" t="n">
        <v>3988.96</v>
      </c>
      <c r="J148" s="5" t="n">
        <f aca="false">IFERROR(I148/规则参数!$B$10,0)</f>
        <v>0.000823869474155316</v>
      </c>
      <c r="K148" s="6" t="n">
        <f aca="false">IFERROR(I148/E148,0)</f>
        <v>0.169018429083156</v>
      </c>
      <c r="L148" s="6" t="n">
        <f aca="false">IFERROR(G148/E148,0)</f>
        <v>0.0399199347139115</v>
      </c>
      <c r="M148" s="6" t="n">
        <f aca="false">K148+L148</f>
        <v>0.208938363797067</v>
      </c>
      <c r="N148" s="4" t="n">
        <v>3958.11</v>
      </c>
      <c r="O148" s="4" t="n">
        <v>6.34</v>
      </c>
      <c r="P148" s="4" t="n">
        <v>21.98</v>
      </c>
      <c r="Q148" s="4" t="n">
        <v>2.53</v>
      </c>
      <c r="R148" s="4" t="n">
        <v>4121.35</v>
      </c>
      <c r="S148" s="4" t="n">
        <v>5115.02</v>
      </c>
      <c r="T148" s="6" t="n">
        <f aca="false">IFERROR(R148/S148-1,"")</f>
        <v>-0.19426512506305</v>
      </c>
      <c r="U148" s="7" t="n">
        <v>1013</v>
      </c>
      <c r="V148" s="8" t="n">
        <v>0.1089</v>
      </c>
      <c r="W148" s="4" t="n">
        <f aca="false">R148*K148</f>
        <v>696.584102701865</v>
      </c>
      <c r="X148" s="4" t="n">
        <f aca="false">R148*V148</f>
        <v>448.815015</v>
      </c>
      <c r="Y148" s="4" t="n">
        <f aca="false">X148-W148</f>
        <v>-247.769087701864</v>
      </c>
      <c r="Z148" s="3" t="s">
        <v>139</v>
      </c>
      <c r="AA148" s="3" t="s">
        <v>331</v>
      </c>
    </row>
    <row r="149" customFormat="false" ht="15" hidden="false" customHeight="false" outlineLevel="0" collapsed="false">
      <c r="A149" s="3" t="s">
        <v>327</v>
      </c>
      <c r="B149" s="3" t="s">
        <v>327</v>
      </c>
      <c r="C149" s="3" t="s">
        <v>29</v>
      </c>
      <c r="D149" s="3" t="s">
        <v>85</v>
      </c>
      <c r="E149" s="4" t="n">
        <v>18090.62</v>
      </c>
      <c r="F149" s="5" t="n">
        <f aca="false">IFERROR(E149/规则参数!$B$8,0)</f>
        <v>0.000553646635919541</v>
      </c>
      <c r="G149" s="4" t="n">
        <v>-337.69</v>
      </c>
      <c r="H149" s="5" t="n">
        <f aca="false">IFERROR(G149/规则参数!$B$9,0)</f>
        <v>-7.5057039649403E-005</v>
      </c>
      <c r="I149" s="4" t="n">
        <v>3950.07</v>
      </c>
      <c r="J149" s="5" t="n">
        <f aca="false">IFERROR(I149/规则参数!$B$10,0)</f>
        <v>0.000815837234210593</v>
      </c>
      <c r="K149" s="6" t="n">
        <f aca="false">IFERROR(I149/E149,0)</f>
        <v>0.218349067085595</v>
      </c>
      <c r="L149" s="6" t="n">
        <f aca="false">IFERROR(G149/E149,0)</f>
        <v>-0.0186665796971027</v>
      </c>
      <c r="M149" s="6" t="n">
        <f aca="false">K149+L149</f>
        <v>0.199682487388492</v>
      </c>
      <c r="N149" s="4" t="n">
        <v>3948.93</v>
      </c>
      <c r="O149" s="4" t="n">
        <v>-0.06</v>
      </c>
      <c r="P149" s="4" t="n">
        <v>-0.25</v>
      </c>
      <c r="Q149" s="4" t="n">
        <v>1.45</v>
      </c>
      <c r="R149" s="4" t="n">
        <v>79.17</v>
      </c>
      <c r="S149" s="4" t="n">
        <v>503.81</v>
      </c>
      <c r="T149" s="6" t="n">
        <f aca="false">IFERROR(R149/S149-1,"")</f>
        <v>-0.84285742641075</v>
      </c>
      <c r="U149" s="7" t="n">
        <v>1</v>
      </c>
      <c r="V149" s="8" t="n">
        <v>0.1497</v>
      </c>
      <c r="W149" s="4" t="n">
        <f aca="false">R149*K149</f>
        <v>17.2866956411665</v>
      </c>
      <c r="X149" s="4" t="n">
        <f aca="false">R149*V149</f>
        <v>11.851749</v>
      </c>
      <c r="Y149" s="4" t="n">
        <f aca="false">X149-W149</f>
        <v>-5.43494664116653</v>
      </c>
      <c r="Z149" s="3" t="s">
        <v>86</v>
      </c>
      <c r="AA149" s="3" t="s">
        <v>332</v>
      </c>
    </row>
    <row r="150" customFormat="false" ht="15" hidden="false" customHeight="false" outlineLevel="0" collapsed="false">
      <c r="A150" s="3" t="s">
        <v>184</v>
      </c>
      <c r="B150" s="3" t="s">
        <v>333</v>
      </c>
      <c r="C150" s="3" t="s">
        <v>96</v>
      </c>
      <c r="D150" s="3" t="s">
        <v>46</v>
      </c>
      <c r="E150" s="4" t="n">
        <v>15776.87</v>
      </c>
      <c r="F150" s="5" t="n">
        <f aca="false">IFERROR(E150/规则参数!$B$8,0)</f>
        <v>0.000482836464468323</v>
      </c>
      <c r="G150" s="4" t="n">
        <v>-2142.94</v>
      </c>
      <c r="H150" s="5" t="n">
        <f aca="false">IFERROR(G150/规则参数!$B$9,0)</f>
        <v>-0.000476302918494156</v>
      </c>
      <c r="I150" s="4" t="n">
        <v>3908.26</v>
      </c>
      <c r="J150" s="5" t="n">
        <f aca="false">IFERROR(I150/规则参数!$B$10,0)</f>
        <v>0.000807201905023428</v>
      </c>
      <c r="K150" s="6" t="n">
        <f aca="false">IFERROR(I150/E150,0)</f>
        <v>0.247720872391038</v>
      </c>
      <c r="L150" s="6" t="n">
        <f aca="false">IFERROR(G150/E150,0)</f>
        <v>-0.1358279557352</v>
      </c>
      <c r="M150" s="6" t="n">
        <f aca="false">K150+L150</f>
        <v>0.111892916655839</v>
      </c>
      <c r="N150" s="4" t="n">
        <v>3429.16</v>
      </c>
      <c r="O150" s="4" t="n">
        <v>-0.2</v>
      </c>
      <c r="P150" s="4" t="n">
        <v>479.3</v>
      </c>
      <c r="Q150" s="4" t="n">
        <v>0</v>
      </c>
      <c r="R150" s="4" t="n">
        <v>3268.53</v>
      </c>
      <c r="S150" s="4" t="n">
        <v>5593.2</v>
      </c>
      <c r="T150" s="6" t="n">
        <f aca="false">IFERROR(R150/S150-1,"")</f>
        <v>-0.415624329543016</v>
      </c>
      <c r="U150" s="7" t="n">
        <v>408</v>
      </c>
      <c r="V150" s="8" t="n">
        <v>0.1119</v>
      </c>
      <c r="W150" s="4" t="n">
        <f aca="false">R150*K150</f>
        <v>809.68310303628</v>
      </c>
      <c r="X150" s="4" t="n">
        <f aca="false">R150*V150</f>
        <v>365.748507</v>
      </c>
      <c r="Y150" s="4" t="n">
        <f aca="false">X150-W150</f>
        <v>-443.93459603628</v>
      </c>
      <c r="Z150" s="3" t="s">
        <v>103</v>
      </c>
      <c r="AA150" s="3" t="s">
        <v>334</v>
      </c>
    </row>
    <row r="151" customFormat="false" ht="15" hidden="false" customHeight="false" outlineLevel="0" collapsed="false">
      <c r="A151" s="3" t="s">
        <v>335</v>
      </c>
      <c r="B151" s="3" t="s">
        <v>336</v>
      </c>
      <c r="C151" s="3" t="s">
        <v>34</v>
      </c>
      <c r="D151" s="3" t="s">
        <v>46</v>
      </c>
      <c r="E151" s="4" t="n">
        <v>31340.99</v>
      </c>
      <c r="F151" s="5" t="n">
        <f aca="false">IFERROR(E151/规则参数!$B$8,0)</f>
        <v>0.000959161912631407</v>
      </c>
      <c r="G151" s="4" t="n">
        <v>7149.91</v>
      </c>
      <c r="H151" s="5" t="n">
        <f aca="false">IFERROR(G151/规则参数!$B$9,0)</f>
        <v>0.00158918261825835</v>
      </c>
      <c r="I151" s="4" t="n">
        <v>3892.52</v>
      </c>
      <c r="J151" s="5" t="n">
        <f aca="false">IFERROR(I151/规则参数!$B$10,0)</f>
        <v>0.000803951006161769</v>
      </c>
      <c r="K151" s="6" t="n">
        <f aca="false">IFERROR(I151/E151,0)</f>
        <v>0.124199012220099</v>
      </c>
      <c r="L151" s="6" t="n">
        <f aca="false">IFERROR(G151/E151,0)</f>
        <v>0.228132870084831</v>
      </c>
      <c r="M151" s="6" t="n">
        <f aca="false">K151+L151</f>
        <v>0.35233188230493</v>
      </c>
      <c r="N151" s="4" t="n">
        <v>3861.96</v>
      </c>
      <c r="O151" s="4" t="n">
        <v>28.17</v>
      </c>
      <c r="P151" s="4" t="n">
        <v>2.39</v>
      </c>
      <c r="Q151" s="4" t="n">
        <v>0</v>
      </c>
      <c r="R151" s="4" t="n">
        <v>3152.79</v>
      </c>
      <c r="S151" s="4" t="n">
        <v>5012.61</v>
      </c>
      <c r="T151" s="6" t="n">
        <f aca="false">IFERROR(R151/S151-1,"")</f>
        <v>-0.371028266711354</v>
      </c>
      <c r="U151" s="7" t="n">
        <v>109</v>
      </c>
      <c r="V151" s="8" t="n">
        <v>0.1242</v>
      </c>
      <c r="W151" s="4" t="n">
        <f aca="false">R151*K151</f>
        <v>391.573403737406</v>
      </c>
      <c r="X151" s="4" t="n">
        <f aca="false">R151*V151</f>
        <v>391.576518</v>
      </c>
      <c r="Y151" s="4" t="n">
        <f aca="false">X151-W151</f>
        <v>0.00311426259418113</v>
      </c>
      <c r="Z151" s="3" t="s">
        <v>47</v>
      </c>
      <c r="AA151" s="3" t="s">
        <v>337</v>
      </c>
    </row>
    <row r="152" customFormat="false" ht="15" hidden="false" customHeight="false" outlineLevel="0" collapsed="false">
      <c r="A152" s="3" t="s">
        <v>196</v>
      </c>
      <c r="B152" s="3" t="s">
        <v>338</v>
      </c>
      <c r="C152" s="3" t="s">
        <v>29</v>
      </c>
      <c r="D152" s="3" t="s">
        <v>30</v>
      </c>
      <c r="E152" s="4" t="n">
        <v>24043.45</v>
      </c>
      <c r="F152" s="5" t="n">
        <f aca="false">IFERROR(E152/规则参数!$B$8,0)</f>
        <v>0.000735827473486243</v>
      </c>
      <c r="G152" s="4" t="n">
        <v>2191.18</v>
      </c>
      <c r="H152" s="5" t="n">
        <f aca="false">IFERROR(G152/规则参数!$B$9,0)</f>
        <v>0.000487025035206784</v>
      </c>
      <c r="I152" s="4" t="n">
        <v>3736.18</v>
      </c>
      <c r="J152" s="5" t="n">
        <f aca="false">IFERROR(I152/规则参数!$B$10,0)</f>
        <v>0.000771660947201679</v>
      </c>
      <c r="K152" s="6" t="n">
        <f aca="false">IFERROR(I152/E152,0)</f>
        <v>0.155392840877661</v>
      </c>
      <c r="L152" s="6" t="n">
        <f aca="false">IFERROR(G152/E152,0)</f>
        <v>0.0911341758358305</v>
      </c>
      <c r="M152" s="6" t="n">
        <f aca="false">K152+L152</f>
        <v>0.246527016713492</v>
      </c>
      <c r="N152" s="4" t="n">
        <v>3736.18</v>
      </c>
      <c r="O152" s="4" t="n">
        <v>0</v>
      </c>
      <c r="P152" s="4" t="n">
        <v>0</v>
      </c>
      <c r="Q152" s="4" t="n">
        <v>0</v>
      </c>
      <c r="R152" s="4" t="n">
        <v>3602.04</v>
      </c>
      <c r="S152" s="4" t="n">
        <v>2644.25</v>
      </c>
      <c r="T152" s="6" t="n">
        <f aca="false">IFERROR(R152/S152-1,"")</f>
        <v>0.362216129337241</v>
      </c>
      <c r="U152" s="7" t="n">
        <v>474</v>
      </c>
      <c r="V152" s="8" t="n">
        <v>0.15</v>
      </c>
      <c r="W152" s="4" t="n">
        <f aca="false">R152*K152</f>
        <v>559.73122855497</v>
      </c>
      <c r="X152" s="4" t="n">
        <f aca="false">R152*V152</f>
        <v>540.306</v>
      </c>
      <c r="Y152" s="4" t="n">
        <f aca="false">X152-W152</f>
        <v>-19.4252285549703</v>
      </c>
      <c r="Z152" s="3"/>
      <c r="AA152" s="3" t="s">
        <v>31</v>
      </c>
    </row>
    <row r="153" customFormat="false" ht="15" hidden="false" customHeight="false" outlineLevel="0" collapsed="false">
      <c r="A153" s="3" t="s">
        <v>339</v>
      </c>
      <c r="B153" s="3" t="s">
        <v>340</v>
      </c>
      <c r="C153" s="3" t="s">
        <v>96</v>
      </c>
      <c r="D153" s="3" t="s">
        <v>85</v>
      </c>
      <c r="E153" s="4" t="n">
        <v>12610.83</v>
      </c>
      <c r="F153" s="5" t="n">
        <f aca="false">IFERROR(E153/规则参数!$B$8,0)</f>
        <v>0.000385942748543346</v>
      </c>
      <c r="G153" s="4" t="n">
        <v>-4244.5</v>
      </c>
      <c r="H153" s="5" t="n">
        <f aca="false">IFERROR(G153/规则参数!$B$9,0)</f>
        <v>-0.0009434084657286</v>
      </c>
      <c r="I153" s="4" t="n">
        <v>3703.5</v>
      </c>
      <c r="J153" s="5" t="n">
        <f aca="false">IFERROR(I153/规则参数!$B$10,0)</f>
        <v>0.000764911304584206</v>
      </c>
      <c r="K153" s="6" t="n">
        <f aca="false">IFERROR(I153/E153,0)</f>
        <v>0.293676149785541</v>
      </c>
      <c r="L153" s="6" t="n">
        <f aca="false">IFERROR(G153/E153,0)</f>
        <v>-0.336575784464623</v>
      </c>
      <c r="M153" s="6" t="n">
        <f aca="false">K153+L153</f>
        <v>-0.0428996346790814</v>
      </c>
      <c r="N153" s="4" t="n">
        <v>3517.97</v>
      </c>
      <c r="O153" s="4" t="n">
        <v>38.66</v>
      </c>
      <c r="P153" s="4" t="n">
        <v>146.87</v>
      </c>
      <c r="Q153" s="4" t="n">
        <v>0</v>
      </c>
      <c r="R153" s="4" t="n">
        <v>399.92</v>
      </c>
      <c r="S153" s="4" t="n">
        <v>1881.66</v>
      </c>
      <c r="T153" s="6" t="n">
        <f aca="false">IFERROR(R153/S153-1,"")</f>
        <v>-0.787464260280816</v>
      </c>
      <c r="U153" s="7" t="n">
        <v>0</v>
      </c>
      <c r="V153" s="8" t="n">
        <v>0</v>
      </c>
      <c r="W153" s="4" t="n">
        <f aca="false">R153*K153</f>
        <v>117.446965822234</v>
      </c>
      <c r="X153" s="4" t="n">
        <f aca="false">R153*V153</f>
        <v>0</v>
      </c>
      <c r="Y153" s="4" t="n">
        <f aca="false">X153-W153</f>
        <v>-117.446965822234</v>
      </c>
      <c r="Z153" s="3" t="s">
        <v>156</v>
      </c>
      <c r="AA153" s="3" t="s">
        <v>341</v>
      </c>
    </row>
    <row r="154" customFormat="false" ht="15" hidden="false" customHeight="false" outlineLevel="0" collapsed="false">
      <c r="A154" s="3" t="s">
        <v>67</v>
      </c>
      <c r="B154" s="3" t="s">
        <v>342</v>
      </c>
      <c r="C154" s="3" t="s">
        <v>29</v>
      </c>
      <c r="D154" s="3" t="s">
        <v>85</v>
      </c>
      <c r="E154" s="4" t="n">
        <v>23664.18</v>
      </c>
      <c r="F154" s="5" t="n">
        <f aca="false">IFERROR(E154/规则参数!$B$8,0)</f>
        <v>0.000724220267121552</v>
      </c>
      <c r="G154" s="4" t="n">
        <v>-2295.34</v>
      </c>
      <c r="H154" s="5" t="n">
        <f aca="false">IFERROR(G154/规则参数!$B$9,0)</f>
        <v>-0.000510176272287781</v>
      </c>
      <c r="I154" s="4" t="n">
        <v>3598.96</v>
      </c>
      <c r="J154" s="5" t="n">
        <f aca="false">IFERROR(I154/规则参数!$B$10,0)</f>
        <v>0.000743319883555116</v>
      </c>
      <c r="K154" s="6" t="n">
        <f aca="false">IFERROR(I154/E154,0)</f>
        <v>0.152084711999317</v>
      </c>
      <c r="L154" s="6" t="n">
        <f aca="false">IFERROR(G154/E154,0)</f>
        <v>-0.0969963886346368</v>
      </c>
      <c r="M154" s="6" t="n">
        <f aca="false">K154+L154</f>
        <v>0.0550883233646803</v>
      </c>
      <c r="N154" s="4" t="n">
        <v>3348.29</v>
      </c>
      <c r="O154" s="4" t="n">
        <v>133.2</v>
      </c>
      <c r="P154" s="4" t="n">
        <v>117.47</v>
      </c>
      <c r="Q154" s="4" t="n">
        <v>0</v>
      </c>
      <c r="R154" s="4" t="n">
        <v>320.78</v>
      </c>
      <c r="S154" s="4" t="n">
        <v>486.4</v>
      </c>
      <c r="T154" s="6" t="n">
        <f aca="false">IFERROR(R154/S154-1,"")</f>
        <v>-0.340501644736842</v>
      </c>
      <c r="U154" s="7" t="n">
        <v>148</v>
      </c>
      <c r="V154" s="8" t="n">
        <v>0.0051</v>
      </c>
      <c r="W154" s="4" t="n">
        <f aca="false">R154*K154</f>
        <v>48.7857339151409</v>
      </c>
      <c r="X154" s="4" t="n">
        <f aca="false">R154*V154</f>
        <v>1.635978</v>
      </c>
      <c r="Y154" s="4" t="n">
        <f aca="false">X154-W154</f>
        <v>-47.1497559151409</v>
      </c>
      <c r="Z154" s="3" t="s">
        <v>86</v>
      </c>
      <c r="AA154" s="3" t="s">
        <v>343</v>
      </c>
    </row>
    <row r="155" customFormat="false" ht="15" hidden="false" customHeight="false" outlineLevel="0" collapsed="false">
      <c r="A155" s="3" t="s">
        <v>327</v>
      </c>
      <c r="B155" s="3" t="s">
        <v>344</v>
      </c>
      <c r="C155" s="3" t="s">
        <v>96</v>
      </c>
      <c r="D155" s="3" t="s">
        <v>30</v>
      </c>
      <c r="E155" s="4" t="n">
        <v>21451.45</v>
      </c>
      <c r="F155" s="5" t="n">
        <f aca="false">IFERROR(E155/规则参数!$B$8,0)</f>
        <v>0.000656501719017714</v>
      </c>
      <c r="G155" s="4" t="n">
        <v>2620.48</v>
      </c>
      <c r="H155" s="5" t="n">
        <f aca="false">IFERROR(G155/规则参数!$B$9,0)</f>
        <v>0.000582443872369533</v>
      </c>
      <c r="I155" s="4" t="n">
        <v>3596.65</v>
      </c>
      <c r="J155" s="5" t="n">
        <f aca="false">IFERROR(I155/规则参数!$B$10,0)</f>
        <v>0.000742842782133869</v>
      </c>
      <c r="K155" s="6" t="n">
        <f aca="false">IFERROR(I155/E155,0)</f>
        <v>0.167664656701528</v>
      </c>
      <c r="L155" s="6" t="n">
        <f aca="false">IFERROR(G155/E155,0)</f>
        <v>0.122158641956604</v>
      </c>
      <c r="M155" s="6" t="n">
        <f aca="false">K155+L155</f>
        <v>0.289823298658133</v>
      </c>
      <c r="N155" s="4" t="n">
        <v>3238.95</v>
      </c>
      <c r="O155" s="4" t="n">
        <v>73.69</v>
      </c>
      <c r="P155" s="4" t="n">
        <v>-0.5</v>
      </c>
      <c r="Q155" s="4" t="n">
        <v>284.51</v>
      </c>
      <c r="R155" s="4" t="n">
        <v>7992.48</v>
      </c>
      <c r="S155" s="4" t="n">
        <v>6000.02</v>
      </c>
      <c r="T155" s="6" t="n">
        <f aca="false">IFERROR(R155/S155-1,"")</f>
        <v>0.332075559748134</v>
      </c>
      <c r="U155" s="7" t="n">
        <v>414</v>
      </c>
      <c r="V155" s="8" t="n">
        <v>0.1677</v>
      </c>
      <c r="W155" s="4" t="n">
        <f aca="false">R155*K155</f>
        <v>1340.05641539383</v>
      </c>
      <c r="X155" s="4" t="n">
        <f aca="false">R155*V155</f>
        <v>1340.338896</v>
      </c>
      <c r="Y155" s="4" t="n">
        <f aca="false">X155-W155</f>
        <v>0.282480606168747</v>
      </c>
      <c r="Z155" s="3"/>
      <c r="AA155" s="3" t="s">
        <v>31</v>
      </c>
    </row>
    <row r="156" customFormat="false" ht="15" hidden="false" customHeight="false" outlineLevel="0" collapsed="false">
      <c r="A156" s="3" t="s">
        <v>44</v>
      </c>
      <c r="B156" s="3" t="s">
        <v>345</v>
      </c>
      <c r="C156" s="3" t="s">
        <v>34</v>
      </c>
      <c r="D156" s="3" t="s">
        <v>30</v>
      </c>
      <c r="E156" s="4" t="n">
        <v>26502.37</v>
      </c>
      <c r="F156" s="5" t="n">
        <f aca="false">IFERROR(E156/规则参数!$B$8,0)</f>
        <v>0.000811080438060993</v>
      </c>
      <c r="G156" s="4" t="n">
        <v>4162.12</v>
      </c>
      <c r="H156" s="5" t="n">
        <f aca="false">IFERROR(G156/规则参数!$B$9,0)</f>
        <v>0.000925098184327558</v>
      </c>
      <c r="I156" s="4" t="n">
        <v>3585</v>
      </c>
      <c r="J156" s="5" t="n">
        <f aca="false">IFERROR(I156/规则参数!$B$10,0)</f>
        <v>0.000740436621286452</v>
      </c>
      <c r="K156" s="6" t="n">
        <f aca="false">IFERROR(I156/E156,0)</f>
        <v>0.135270921053476</v>
      </c>
      <c r="L156" s="6" t="n">
        <f aca="false">IFERROR(G156/E156,0)</f>
        <v>0.157047086732243</v>
      </c>
      <c r="M156" s="6" t="n">
        <f aca="false">K156+L156</f>
        <v>0.292318007785719</v>
      </c>
      <c r="N156" s="4" t="n">
        <v>3444.65</v>
      </c>
      <c r="O156" s="4" t="n">
        <v>146.74</v>
      </c>
      <c r="P156" s="4" t="n">
        <v>-6.78</v>
      </c>
      <c r="Q156" s="4" t="n">
        <v>0.39</v>
      </c>
      <c r="R156" s="4" t="n">
        <v>7074.57</v>
      </c>
      <c r="S156" s="4" t="n">
        <v>3837.35</v>
      </c>
      <c r="T156" s="6" t="n">
        <f aca="false">IFERROR(R156/S156-1,"")</f>
        <v>0.84360821921378</v>
      </c>
      <c r="U156" s="7" t="n">
        <v>437</v>
      </c>
      <c r="V156" s="8" t="n">
        <v>0.1353</v>
      </c>
      <c r="W156" s="4" t="n">
        <f aca="false">R156*K156</f>
        <v>956.983599957287</v>
      </c>
      <c r="X156" s="4" t="n">
        <f aca="false">R156*V156</f>
        <v>957.189321</v>
      </c>
      <c r="Y156" s="4" t="n">
        <f aca="false">X156-W156</f>
        <v>0.205721042713094</v>
      </c>
      <c r="Z156" s="3"/>
      <c r="AA156" s="3" t="s">
        <v>31</v>
      </c>
    </row>
    <row r="157" customFormat="false" ht="15" hidden="false" customHeight="false" outlineLevel="0" collapsed="false">
      <c r="A157" s="9" t="s">
        <v>346</v>
      </c>
      <c r="B157" s="3" t="s">
        <v>347</v>
      </c>
      <c r="C157" s="3" t="s">
        <v>34</v>
      </c>
      <c r="D157" s="3" t="s">
        <v>85</v>
      </c>
      <c r="E157" s="4" t="n">
        <v>2682.61</v>
      </c>
      <c r="F157" s="5" t="n">
        <f aca="false">IFERROR(E157/规则参数!$B$8,0)</f>
        <v>8.20987894270136E-005</v>
      </c>
      <c r="G157" s="4" t="n">
        <v>-3226.23</v>
      </c>
      <c r="H157" s="5" t="n">
        <f aca="false">IFERROR(G157/规则参数!$B$9,0)</f>
        <v>-0.000717081563055149</v>
      </c>
      <c r="I157" s="4" t="n">
        <v>3567.02</v>
      </c>
      <c r="J157" s="5" t="n">
        <f aca="false">IFERROR(I157/规则参数!$B$10,0)</f>
        <v>0.000736723078622371</v>
      </c>
      <c r="K157" s="6" t="n">
        <f aca="false">IFERROR(I157/E157,0)</f>
        <v>1.32968265979773</v>
      </c>
      <c r="L157" s="6" t="n">
        <f aca="false">IFERROR(G157/E157,0)</f>
        <v>-1.20264593064217</v>
      </c>
      <c r="M157" s="6" t="n">
        <f aca="false">K157+L157</f>
        <v>0.127036729155561</v>
      </c>
      <c r="N157" s="4" t="n">
        <v>3565.42</v>
      </c>
      <c r="O157" s="4" t="n">
        <v>-0.03</v>
      </c>
      <c r="P157" s="4" t="n">
        <v>1.63</v>
      </c>
      <c r="Q157" s="4" t="n">
        <v>0</v>
      </c>
      <c r="R157" s="4" t="n">
        <v>9.99</v>
      </c>
      <c r="S157" s="4" t="n">
        <v>176.9</v>
      </c>
      <c r="T157" s="6" t="n">
        <f aca="false">IFERROR(R157/S157-1,"")</f>
        <v>-0.943527416619559</v>
      </c>
      <c r="U157" s="7" t="n">
        <v>0</v>
      </c>
      <c r="V157" s="8" t="n">
        <v>0.027</v>
      </c>
      <c r="W157" s="4" t="n">
        <f aca="false">R157*K157</f>
        <v>13.2835297713794</v>
      </c>
      <c r="X157" s="4" t="n">
        <f aca="false">R157*V157</f>
        <v>0.26973</v>
      </c>
      <c r="Y157" s="4" t="n">
        <f aca="false">X157-W157</f>
        <v>-13.0137997713794</v>
      </c>
      <c r="Z157" s="3" t="s">
        <v>86</v>
      </c>
      <c r="AA157" s="3" t="s">
        <v>348</v>
      </c>
    </row>
    <row r="158" customFormat="false" ht="15" hidden="false" customHeight="false" outlineLevel="0" collapsed="false">
      <c r="A158" s="3" t="s">
        <v>318</v>
      </c>
      <c r="B158" s="3" t="s">
        <v>318</v>
      </c>
      <c r="C158" s="3" t="s">
        <v>29</v>
      </c>
      <c r="D158" s="3" t="s">
        <v>138</v>
      </c>
      <c r="E158" s="4" t="n">
        <v>21946.9</v>
      </c>
      <c r="F158" s="5" t="n">
        <f aca="false">IFERROR(E158/规则参数!$B$8,0)</f>
        <v>0.000671664506460397</v>
      </c>
      <c r="G158" s="4" t="n">
        <v>46.3</v>
      </c>
      <c r="H158" s="5" t="n">
        <f aca="false">IFERROR(G158/规则参数!$B$9,0)</f>
        <v>1.0290920476672E-005</v>
      </c>
      <c r="I158" s="4" t="n">
        <v>3490.56</v>
      </c>
      <c r="J158" s="5" t="n">
        <f aca="false">IFERROR(I158/规则参数!$B$10,0)</f>
        <v>0.000720931228116496</v>
      </c>
      <c r="K158" s="6" t="n">
        <f aca="false">IFERROR(I158/E158,0)</f>
        <v>0.159045696658754</v>
      </c>
      <c r="L158" s="6" t="n">
        <f aca="false">IFERROR(G158/E158,0)</f>
        <v>0.00210963735197226</v>
      </c>
      <c r="M158" s="6" t="n">
        <f aca="false">K158+L158</f>
        <v>0.161155334010726</v>
      </c>
      <c r="N158" s="4" t="n">
        <v>3465.52</v>
      </c>
      <c r="O158" s="4" t="n">
        <v>0</v>
      </c>
      <c r="P158" s="4" t="n">
        <v>0</v>
      </c>
      <c r="Q158" s="4" t="n">
        <v>25.04</v>
      </c>
      <c r="R158" s="4" t="n">
        <v>1084.42</v>
      </c>
      <c r="S158" s="4" t="n">
        <v>645.72</v>
      </c>
      <c r="T158" s="6" t="n">
        <f aca="false">IFERROR(R158/S158-1,"")</f>
        <v>0.679396642507589</v>
      </c>
      <c r="U158" s="7" t="n">
        <v>196</v>
      </c>
      <c r="V158" s="8" t="n">
        <v>0.1112</v>
      </c>
      <c r="W158" s="4" t="n">
        <f aca="false">R158*K158</f>
        <v>172.472334370686</v>
      </c>
      <c r="X158" s="4" t="n">
        <f aca="false">R158*V158</f>
        <v>120.587504</v>
      </c>
      <c r="Y158" s="4" t="n">
        <f aca="false">X158-W158</f>
        <v>-51.8848303706856</v>
      </c>
      <c r="Z158" s="3" t="s">
        <v>139</v>
      </c>
      <c r="AA158" s="3" t="s">
        <v>349</v>
      </c>
    </row>
    <row r="159" customFormat="false" ht="15" hidden="false" customHeight="false" outlineLevel="0" collapsed="false">
      <c r="A159" s="3" t="s">
        <v>225</v>
      </c>
      <c r="B159" s="3" t="s">
        <v>350</v>
      </c>
      <c r="C159" s="3" t="s">
        <v>29</v>
      </c>
      <c r="D159" s="3" t="s">
        <v>56</v>
      </c>
      <c r="E159" s="4" t="n">
        <v>39384.75</v>
      </c>
      <c r="F159" s="5" t="n">
        <f aca="false">IFERROR(E159/规则参数!$B$8,0)</f>
        <v>0.00120533372233965</v>
      </c>
      <c r="G159" s="4" t="n">
        <v>7901.82</v>
      </c>
      <c r="H159" s="5" t="n">
        <f aca="false">IFERROR(G159/规则参数!$B$9,0)</f>
        <v>0.0017563067222673</v>
      </c>
      <c r="I159" s="4" t="n">
        <v>3296.12</v>
      </c>
      <c r="J159" s="5" t="n">
        <f aca="false">IFERROR(I159/规则参数!$B$10,0)</f>
        <v>0.000680772093767002</v>
      </c>
      <c r="K159" s="6" t="n">
        <f aca="false">IFERROR(I159/E159,0)</f>
        <v>0.0836902608243038</v>
      </c>
      <c r="L159" s="6" t="n">
        <f aca="false">IFERROR(G159/E159,0)</f>
        <v>0.20063146268543</v>
      </c>
      <c r="M159" s="6" t="n">
        <f aca="false">K159+L159</f>
        <v>0.284321723509734</v>
      </c>
      <c r="N159" s="4" t="n">
        <v>3264.34</v>
      </c>
      <c r="O159" s="4" t="n">
        <v>-4.18</v>
      </c>
      <c r="P159" s="4" t="n">
        <v>32.86</v>
      </c>
      <c r="Q159" s="4" t="n">
        <v>3.1</v>
      </c>
      <c r="R159" s="4" t="n">
        <v>2217.11</v>
      </c>
      <c r="S159" s="4" t="n">
        <v>1609.3</v>
      </c>
      <c r="T159" s="6" t="n">
        <f aca="false">IFERROR(R159/S159-1,"")</f>
        <v>0.377685950413223</v>
      </c>
      <c r="U159" s="7" t="n">
        <v>220</v>
      </c>
      <c r="V159" s="8" t="n">
        <v>0.1088</v>
      </c>
      <c r="W159" s="4" t="n">
        <f aca="false">R159*K159</f>
        <v>185.550514176172</v>
      </c>
      <c r="X159" s="4" t="n">
        <f aca="false">R159*V159</f>
        <v>241.221568</v>
      </c>
      <c r="Y159" s="4" t="n">
        <f aca="false">X159-W159</f>
        <v>55.6710538238277</v>
      </c>
      <c r="Z159" s="3" t="s">
        <v>57</v>
      </c>
      <c r="AA159" s="3" t="s">
        <v>351</v>
      </c>
    </row>
    <row r="160" customFormat="false" ht="15" hidden="false" customHeight="false" outlineLevel="0" collapsed="false">
      <c r="A160" s="3" t="s">
        <v>169</v>
      </c>
      <c r="B160" s="3" t="s">
        <v>352</v>
      </c>
      <c r="C160" s="3" t="s">
        <v>29</v>
      </c>
      <c r="D160" s="3" t="s">
        <v>85</v>
      </c>
      <c r="E160" s="4" t="n">
        <v>13453.65</v>
      </c>
      <c r="F160" s="5" t="n">
        <f aca="false">IFERROR(E160/规则参数!$B$8,0)</f>
        <v>0.000411736472455833</v>
      </c>
      <c r="G160" s="4" t="n">
        <v>-1257.6</v>
      </c>
      <c r="H160" s="5" t="n">
        <f aca="false">IFERROR(G160/规则参数!$B$9,0)</f>
        <v>-0.000279521848627703</v>
      </c>
      <c r="I160" s="4" t="n">
        <v>3232.69</v>
      </c>
      <c r="J160" s="5" t="n">
        <f aca="false">IFERROR(I160/规则参数!$B$10,0)</f>
        <v>0.000667671425736821</v>
      </c>
      <c r="K160" s="6" t="n">
        <f aca="false">IFERROR(I160/E160,0)</f>
        <v>0.240283491840504</v>
      </c>
      <c r="L160" s="6" t="n">
        <f aca="false">IFERROR(G160/E160,0)</f>
        <v>-0.093476491509739</v>
      </c>
      <c r="M160" s="6" t="n">
        <f aca="false">K160+L160</f>
        <v>0.146807000330765</v>
      </c>
      <c r="N160" s="4" t="n">
        <v>3255.74</v>
      </c>
      <c r="O160" s="4" t="n">
        <v>-22.51</v>
      </c>
      <c r="P160" s="4" t="n">
        <v>-0.54</v>
      </c>
      <c r="Q160" s="4" t="n">
        <v>0</v>
      </c>
      <c r="R160" s="4" t="n">
        <v>2825.47</v>
      </c>
      <c r="S160" s="4" t="n">
        <v>389.91</v>
      </c>
      <c r="T160" s="6" t="n">
        <f aca="false">IFERROR(R160/S160-1,"")</f>
        <v>6.24646713344105</v>
      </c>
      <c r="U160" s="7" t="n">
        <v>141</v>
      </c>
      <c r="V160" s="8" t="n">
        <v>0.0968</v>
      </c>
      <c r="W160" s="4" t="n">
        <f aca="false">R160*K160</f>
        <v>678.91379769059</v>
      </c>
      <c r="X160" s="4" t="n">
        <f aca="false">R160*V160</f>
        <v>273.505496</v>
      </c>
      <c r="Y160" s="4" t="n">
        <f aca="false">X160-W160</f>
        <v>-405.40830169059</v>
      </c>
      <c r="Z160" s="3" t="s">
        <v>86</v>
      </c>
      <c r="AA160" s="3" t="s">
        <v>353</v>
      </c>
    </row>
    <row r="161" customFormat="false" ht="15" hidden="false" customHeight="false" outlineLevel="0" collapsed="false">
      <c r="A161" s="3" t="s">
        <v>39</v>
      </c>
      <c r="B161" s="3" t="s">
        <v>354</v>
      </c>
      <c r="C161" s="3" t="s">
        <v>29</v>
      </c>
      <c r="D161" s="3" t="s">
        <v>30</v>
      </c>
      <c r="E161" s="4" t="n">
        <v>19045.83</v>
      </c>
      <c r="F161" s="5" t="n">
        <f aca="false">IFERROR(E161/规则参数!$B$8,0)</f>
        <v>0.000582879951477366</v>
      </c>
      <c r="G161" s="4" t="n">
        <v>2425.64</v>
      </c>
      <c r="H161" s="5" t="n">
        <f aca="false">IFERROR(G161/规则参数!$B$9,0)</f>
        <v>0.000539137545249127</v>
      </c>
      <c r="I161" s="4" t="n">
        <v>3148.54</v>
      </c>
      <c r="J161" s="5" t="n">
        <f aca="false">IFERROR(I161/规则参数!$B$10,0)</f>
        <v>0.000650291302534239</v>
      </c>
      <c r="K161" s="6" t="n">
        <f aca="false">IFERROR(I161/E161,0)</f>
        <v>0.165313877105907</v>
      </c>
      <c r="L161" s="6" t="n">
        <f aca="false">IFERROR(G161/E161,0)</f>
        <v>0.127358062105983</v>
      </c>
      <c r="M161" s="6" t="n">
        <f aca="false">K161+L161</f>
        <v>0.29267193921189</v>
      </c>
      <c r="N161" s="4" t="n">
        <v>2009.9</v>
      </c>
      <c r="O161" s="4" t="n">
        <v>0</v>
      </c>
      <c r="P161" s="4" t="n">
        <v>1103.5</v>
      </c>
      <c r="Q161" s="4" t="n">
        <v>35.14</v>
      </c>
      <c r="R161" s="4" t="n">
        <v>0</v>
      </c>
      <c r="S161" s="4" t="n">
        <v>0</v>
      </c>
      <c r="T161" s="6" t="str">
        <f aca="false">IFERROR(R161/S161-1,"")</f>
        <v/>
      </c>
      <c r="U161" s="7" t="n">
        <v>0</v>
      </c>
      <c r="V161" s="8" t="n">
        <v>0.15</v>
      </c>
      <c r="W161" s="4" t="n">
        <f aca="false">R161*K161</f>
        <v>0</v>
      </c>
      <c r="X161" s="4" t="n">
        <f aca="false">R161*V161</f>
        <v>0</v>
      </c>
      <c r="Y161" s="4" t="n">
        <f aca="false">X161-W161</f>
        <v>0</v>
      </c>
      <c r="Z161" s="3"/>
      <c r="AA161" s="3" t="s">
        <v>31</v>
      </c>
    </row>
    <row r="162" customFormat="false" ht="15" hidden="false" customHeight="false" outlineLevel="0" collapsed="false">
      <c r="A162" s="3" t="s">
        <v>205</v>
      </c>
      <c r="B162" s="3" t="s">
        <v>355</v>
      </c>
      <c r="C162" s="3" t="s">
        <v>96</v>
      </c>
      <c r="D162" s="3" t="s">
        <v>46</v>
      </c>
      <c r="E162" s="4" t="n">
        <v>19628.49</v>
      </c>
      <c r="F162" s="5" t="n">
        <f aca="false">IFERROR(E162/规则参数!$B$8,0)</f>
        <v>0.000600711720033938</v>
      </c>
      <c r="G162" s="4" t="n">
        <v>4631.08</v>
      </c>
      <c r="H162" s="5" t="n">
        <f aca="false">IFERROR(G162/规则参数!$B$9,0)</f>
        <v>0.00102933209505629</v>
      </c>
      <c r="I162" s="4" t="n">
        <v>3096.66</v>
      </c>
      <c r="J162" s="5" t="n">
        <f aca="false">IFERROR(I162/规则参数!$B$10,0)</f>
        <v>0.000639576141610294</v>
      </c>
      <c r="K162" s="6" t="n">
        <f aca="false">IFERROR(I162/E162,0)</f>
        <v>0.157763536573623</v>
      </c>
      <c r="L162" s="6" t="n">
        <f aca="false">IFERROR(G162/E162,0)</f>
        <v>0.235936641076313</v>
      </c>
      <c r="M162" s="6" t="n">
        <f aca="false">K162+L162</f>
        <v>0.393700177649936</v>
      </c>
      <c r="N162" s="4" t="n">
        <v>3077.78</v>
      </c>
      <c r="O162" s="4" t="n">
        <v>0</v>
      </c>
      <c r="P162" s="4" t="n">
        <v>18.88</v>
      </c>
      <c r="Q162" s="4" t="n">
        <v>0</v>
      </c>
      <c r="R162" s="4" t="n">
        <v>1793.86</v>
      </c>
      <c r="S162" s="4" t="n">
        <v>4809.63</v>
      </c>
      <c r="T162" s="6" t="n">
        <f aca="false">IFERROR(R162/S162-1,"")</f>
        <v>-0.62702744285943</v>
      </c>
      <c r="U162" s="7" t="n">
        <v>3</v>
      </c>
      <c r="V162" s="8" t="n">
        <v>0.1578</v>
      </c>
      <c r="W162" s="4" t="n">
        <f aca="false">R162*K162</f>
        <v>283.00569771796</v>
      </c>
      <c r="X162" s="4" t="n">
        <f aca="false">R162*V162</f>
        <v>283.071108</v>
      </c>
      <c r="Y162" s="4" t="n">
        <f aca="false">X162-W162</f>
        <v>0.065410282040034</v>
      </c>
      <c r="Z162" s="3" t="s">
        <v>47</v>
      </c>
      <c r="AA162" s="3" t="s">
        <v>356</v>
      </c>
    </row>
    <row r="163" customFormat="false" ht="15" hidden="false" customHeight="false" outlineLevel="0" collapsed="false">
      <c r="A163" s="3" t="s">
        <v>39</v>
      </c>
      <c r="B163" s="3" t="s">
        <v>357</v>
      </c>
      <c r="C163" s="3" t="s">
        <v>34</v>
      </c>
      <c r="D163" s="3" t="s">
        <v>30</v>
      </c>
      <c r="E163" s="4" t="n">
        <v>22388.84</v>
      </c>
      <c r="F163" s="5" t="n">
        <f aca="false">IFERROR(E163/规则参数!$B$8,0)</f>
        <v>0.000685189670013568</v>
      </c>
      <c r="G163" s="4" t="n">
        <v>1788.38</v>
      </c>
      <c r="H163" s="5" t="n">
        <f aca="false">IFERROR(G163/规则参数!$B$9,0)</f>
        <v>0.000397496249720748</v>
      </c>
      <c r="I163" s="4" t="n">
        <v>3037.11</v>
      </c>
      <c r="J163" s="5" t="n">
        <f aca="false">IFERROR(I163/规则参数!$B$10,0)</f>
        <v>0.000627276838737879</v>
      </c>
      <c r="K163" s="6" t="n">
        <f aca="false">IFERROR(I163/E163,0)</f>
        <v>0.13565285204593</v>
      </c>
      <c r="L163" s="6" t="n">
        <f aca="false">IFERROR(G163/E163,0)</f>
        <v>0.0798781893121752</v>
      </c>
      <c r="M163" s="6" t="n">
        <f aca="false">K163+L163</f>
        <v>0.215531041358105</v>
      </c>
      <c r="N163" s="4" t="n">
        <v>1988.24</v>
      </c>
      <c r="O163" s="4" t="n">
        <v>993.3</v>
      </c>
      <c r="P163" s="4" t="n">
        <v>55.57</v>
      </c>
      <c r="Q163" s="4" t="n">
        <v>0</v>
      </c>
      <c r="R163" s="4" t="n">
        <v>3811.95</v>
      </c>
      <c r="S163" s="4" t="n">
        <v>1893.69</v>
      </c>
      <c r="T163" s="6" t="n">
        <f aca="false">IFERROR(R163/S163-1,"")</f>
        <v>1.01297466850435</v>
      </c>
      <c r="U163" s="7" t="n">
        <v>130</v>
      </c>
      <c r="V163" s="8" t="n">
        <v>0.1155</v>
      </c>
      <c r="W163" s="4" t="n">
        <f aca="false">R163*K163</f>
        <v>517.101889356483</v>
      </c>
      <c r="X163" s="4" t="n">
        <f aca="false">R163*V163</f>
        <v>440.280225</v>
      </c>
      <c r="Y163" s="4" t="n">
        <f aca="false">X163-W163</f>
        <v>-76.821664356483</v>
      </c>
      <c r="Z163" s="3"/>
      <c r="AA163" s="3" t="s">
        <v>31</v>
      </c>
    </row>
    <row r="164" customFormat="false" ht="15" hidden="false" customHeight="false" outlineLevel="0" collapsed="false">
      <c r="A164" s="3" t="s">
        <v>35</v>
      </c>
      <c r="B164" s="3" t="s">
        <v>358</v>
      </c>
      <c r="C164" s="3" t="s">
        <v>29</v>
      </c>
      <c r="D164" s="3" t="s">
        <v>85</v>
      </c>
      <c r="E164" s="4" t="n">
        <v>23007.62</v>
      </c>
      <c r="F164" s="5" t="n">
        <f aca="false">IFERROR(E164/规则参数!$B$8,0)</f>
        <v>0.000704126857648613</v>
      </c>
      <c r="G164" s="4" t="n">
        <v>-163.48</v>
      </c>
      <c r="H164" s="5" t="n">
        <f aca="false">IFERROR(G164/规则参数!$B$9,0)</f>
        <v>-3.63360621927934E-005</v>
      </c>
      <c r="I164" s="4" t="n">
        <v>3028.01</v>
      </c>
      <c r="J164" s="5" t="n">
        <f aca="false">IFERROR(I164/规则参数!$B$10,0)</f>
        <v>0.000625397348290542</v>
      </c>
      <c r="K164" s="6" t="n">
        <f aca="false">IFERROR(I164/E164,0)</f>
        <v>0.131609006059732</v>
      </c>
      <c r="L164" s="6" t="n">
        <f aca="false">IFERROR(G164/E164,0)</f>
        <v>-0.0071054720131852</v>
      </c>
      <c r="M164" s="6" t="n">
        <f aca="false">K164+L164</f>
        <v>0.124503534046546</v>
      </c>
      <c r="N164" s="4" t="n">
        <v>2579.2</v>
      </c>
      <c r="O164" s="4" t="n">
        <v>109.47</v>
      </c>
      <c r="P164" s="4" t="n">
        <v>339.34</v>
      </c>
      <c r="Q164" s="4" t="n">
        <v>0</v>
      </c>
      <c r="R164" s="4" t="n">
        <v>1925.85</v>
      </c>
      <c r="S164" s="4" t="n">
        <v>2398.51</v>
      </c>
      <c r="T164" s="6" t="n">
        <f aca="false">IFERROR(R164/S164-1,"")</f>
        <v>-0.197064010573231</v>
      </c>
      <c r="U164" s="7" t="n">
        <v>74</v>
      </c>
      <c r="V164" s="8" t="n">
        <v>0.0745</v>
      </c>
      <c r="W164" s="4" t="n">
        <f aca="false">R164*K164</f>
        <v>253.459204320134</v>
      </c>
      <c r="X164" s="4" t="n">
        <f aca="false">R164*V164</f>
        <v>143.475825</v>
      </c>
      <c r="Y164" s="4" t="n">
        <f aca="false">X164-W164</f>
        <v>-109.983379320134</v>
      </c>
      <c r="Z164" s="3" t="s">
        <v>86</v>
      </c>
      <c r="AA164" s="3" t="s">
        <v>359</v>
      </c>
    </row>
    <row r="165" customFormat="false" ht="15" hidden="false" customHeight="false" outlineLevel="0" collapsed="false">
      <c r="A165" s="3" t="s">
        <v>169</v>
      </c>
      <c r="B165" s="3" t="s">
        <v>360</v>
      </c>
      <c r="C165" s="3" t="s">
        <v>29</v>
      </c>
      <c r="D165" s="3" t="s">
        <v>85</v>
      </c>
      <c r="E165" s="4" t="n">
        <v>9767.34</v>
      </c>
      <c r="F165" s="5" t="n">
        <f aca="false">IFERROR(E165/规则参数!$B$8,0)</f>
        <v>0.000298920376022622</v>
      </c>
      <c r="G165" s="4" t="n">
        <v>-2518.62</v>
      </c>
      <c r="H165" s="5" t="n">
        <f aca="false">IFERROR(G165/规则参数!$B$9,0)</f>
        <v>-0.000559803847320854</v>
      </c>
      <c r="I165" s="4" t="n">
        <v>3022.32</v>
      </c>
      <c r="J165" s="5" t="n">
        <f aca="false">IFERROR(I165/规则参数!$B$10,0)</f>
        <v>0.000624222150417426</v>
      </c>
      <c r="K165" s="6" t="n">
        <f aca="false">IFERROR(I165/E165,0)</f>
        <v>0.309431226925652</v>
      </c>
      <c r="L165" s="6" t="n">
        <f aca="false">IFERROR(G165/E165,0)</f>
        <v>-0.257861403411778</v>
      </c>
      <c r="M165" s="6" t="n">
        <f aca="false">K165+L165</f>
        <v>0.0515698235138738</v>
      </c>
      <c r="N165" s="4" t="n">
        <v>2207.04</v>
      </c>
      <c r="O165" s="4" t="n">
        <v>4.68</v>
      </c>
      <c r="P165" s="4" t="n">
        <v>810.6</v>
      </c>
      <c r="Q165" s="4" t="n">
        <v>0</v>
      </c>
      <c r="R165" s="4" t="n">
        <v>529.47</v>
      </c>
      <c r="S165" s="4" t="n">
        <v>462.8</v>
      </c>
      <c r="T165" s="6" t="n">
        <f aca="false">IFERROR(R165/S165-1,"")</f>
        <v>0.144057908383751</v>
      </c>
      <c r="U165" s="7" t="n">
        <v>45</v>
      </c>
      <c r="V165" s="8" t="n">
        <v>0.0016</v>
      </c>
      <c r="W165" s="4" t="n">
        <f aca="false">R165*K165</f>
        <v>163.834551720325</v>
      </c>
      <c r="X165" s="4" t="n">
        <f aca="false">R165*V165</f>
        <v>0.847152</v>
      </c>
      <c r="Y165" s="4" t="n">
        <f aca="false">X165-W165</f>
        <v>-162.987399720325</v>
      </c>
      <c r="Z165" s="3" t="s">
        <v>86</v>
      </c>
      <c r="AA165" s="3" t="s">
        <v>361</v>
      </c>
    </row>
    <row r="166" customFormat="false" ht="15" hidden="false" customHeight="false" outlineLevel="0" collapsed="false">
      <c r="A166" s="3" t="s">
        <v>273</v>
      </c>
      <c r="B166" s="3" t="s">
        <v>362</v>
      </c>
      <c r="C166" s="3" t="s">
        <v>34</v>
      </c>
      <c r="D166" s="3" t="s">
        <v>85</v>
      </c>
      <c r="E166" s="4" t="n">
        <v>13235.21</v>
      </c>
      <c r="F166" s="5" t="n">
        <f aca="false">IFERROR(E166/规则参数!$B$8,0)</f>
        <v>0.000405051318981255</v>
      </c>
      <c r="G166" s="4" t="n">
        <v>-114.06</v>
      </c>
      <c r="H166" s="5" t="n">
        <f aca="false">IFERROR(G166/规则参数!$B$9,0)</f>
        <v>-2.53516714809763E-005</v>
      </c>
      <c r="I166" s="4" t="n">
        <v>2763.15</v>
      </c>
      <c r="J166" s="5" t="n">
        <f aca="false">IFERROR(I166/规则参数!$B$10,0)</f>
        <v>0.000570693849402416</v>
      </c>
      <c r="K166" s="6" t="n">
        <f aca="false">IFERROR(I166/E166,0)</f>
        <v>0.208772660199574</v>
      </c>
      <c r="L166" s="6" t="n">
        <f aca="false">IFERROR(G166/E166,0)</f>
        <v>-0.00861792143834514</v>
      </c>
      <c r="M166" s="6" t="n">
        <f aca="false">K166+L166</f>
        <v>0.200154738761229</v>
      </c>
      <c r="N166" s="4" t="n">
        <v>2761.1</v>
      </c>
      <c r="O166" s="4" t="n">
        <v>2.05</v>
      </c>
      <c r="P166" s="4" t="n">
        <v>0</v>
      </c>
      <c r="Q166" s="4" t="n">
        <v>0</v>
      </c>
      <c r="R166" s="4" t="n">
        <v>1025.41</v>
      </c>
      <c r="S166" s="4" t="n">
        <v>968.52</v>
      </c>
      <c r="T166" s="6" t="n">
        <f aca="false">IFERROR(R166/S166-1,"")</f>
        <v>0.058739107091232</v>
      </c>
      <c r="U166" s="7" t="n">
        <v>93</v>
      </c>
      <c r="V166" s="8" t="n">
        <v>0.1002</v>
      </c>
      <c r="W166" s="4" t="n">
        <f aca="false">R166*K166</f>
        <v>214.077573495245</v>
      </c>
      <c r="X166" s="4" t="n">
        <f aca="false">R166*V166</f>
        <v>102.746082</v>
      </c>
      <c r="Y166" s="4" t="n">
        <f aca="false">X166-W166</f>
        <v>-111.331491495245</v>
      </c>
      <c r="Z166" s="3" t="s">
        <v>86</v>
      </c>
      <c r="AA166" s="3" t="s">
        <v>363</v>
      </c>
    </row>
    <row r="167" customFormat="false" ht="15" hidden="false" customHeight="false" outlineLevel="0" collapsed="false">
      <c r="A167" s="3" t="s">
        <v>298</v>
      </c>
      <c r="B167" s="3" t="s">
        <v>364</v>
      </c>
      <c r="C167" s="3" t="s">
        <v>29</v>
      </c>
      <c r="D167" s="3" t="s">
        <v>138</v>
      </c>
      <c r="E167" s="4" t="n">
        <v>15908.23</v>
      </c>
      <c r="F167" s="5" t="n">
        <f aca="false">IFERROR(E167/规则参数!$B$8,0)</f>
        <v>0.000486856615358364</v>
      </c>
      <c r="G167" s="4" t="n">
        <v>392.83</v>
      </c>
      <c r="H167" s="5" t="n">
        <f aca="false">IFERROR(G167/规则参数!$B$9,0)</f>
        <v>8.7312792458986E-005</v>
      </c>
      <c r="I167" s="4" t="n">
        <v>2536.62</v>
      </c>
      <c r="J167" s="5" t="n">
        <f aca="false">IFERROR(I167/规则参数!$B$10,0)</f>
        <v>0.000523906929508408</v>
      </c>
      <c r="K167" s="6" t="n">
        <f aca="false">IFERROR(I167/E167,0)</f>
        <v>0.1594533144165</v>
      </c>
      <c r="L167" s="6" t="n">
        <f aca="false">IFERROR(G167/E167,0)</f>
        <v>0.0246935077001024</v>
      </c>
      <c r="M167" s="6" t="n">
        <f aca="false">K167+L167</f>
        <v>0.184146822116603</v>
      </c>
      <c r="N167" s="4" t="n">
        <v>2536.7</v>
      </c>
      <c r="O167" s="4" t="n">
        <v>-0.08</v>
      </c>
      <c r="P167" s="4" t="n">
        <v>0</v>
      </c>
      <c r="Q167" s="4" t="n">
        <v>0</v>
      </c>
      <c r="R167" s="4" t="n">
        <v>0</v>
      </c>
      <c r="S167" s="4" t="n">
        <v>0</v>
      </c>
      <c r="T167" s="6" t="str">
        <f aca="false">IFERROR(R167/S167-1,"")</f>
        <v/>
      </c>
      <c r="U167" s="7" t="n">
        <v>0</v>
      </c>
      <c r="V167" s="8" t="n">
        <v>0.1341</v>
      </c>
      <c r="W167" s="4" t="n">
        <f aca="false">R167*K167</f>
        <v>0</v>
      </c>
      <c r="X167" s="4" t="n">
        <f aca="false">R167*V167</f>
        <v>0</v>
      </c>
      <c r="Y167" s="4" t="n">
        <f aca="false">X167-W167</f>
        <v>0</v>
      </c>
      <c r="Z167" s="3" t="s">
        <v>139</v>
      </c>
      <c r="AA167" s="3" t="s">
        <v>365</v>
      </c>
    </row>
    <row r="168" customFormat="false" ht="15" hidden="false" customHeight="false" outlineLevel="0" collapsed="false">
      <c r="A168" s="3" t="s">
        <v>182</v>
      </c>
      <c r="B168" s="3" t="s">
        <v>366</v>
      </c>
      <c r="C168" s="3" t="s">
        <v>96</v>
      </c>
      <c r="D168" s="3" t="s">
        <v>46</v>
      </c>
      <c r="E168" s="4" t="n">
        <v>18602.59</v>
      </c>
      <c r="F168" s="5" t="n">
        <f aca="false">IFERROR(E168/规则参数!$B$8,0)</f>
        <v>0.000569315002630673</v>
      </c>
      <c r="G168" s="4" t="n">
        <v>-465.26</v>
      </c>
      <c r="H168" s="5" t="n">
        <f aca="false">IFERROR(G168/规则参数!$B$9,0)</f>
        <v>-0.000103411526154998</v>
      </c>
      <c r="I168" s="4" t="n">
        <v>2503.11</v>
      </c>
      <c r="J168" s="5" t="n">
        <f aca="false">IFERROR(I168/规则参数!$B$10,0)</f>
        <v>0.000516985860839144</v>
      </c>
      <c r="K168" s="6" t="n">
        <f aca="false">IFERROR(I168/E168,0)</f>
        <v>0.134557069741364</v>
      </c>
      <c r="L168" s="6" t="n">
        <f aca="false">IFERROR(G168/E168,0)</f>
        <v>-0.025010495850309</v>
      </c>
      <c r="M168" s="6" t="n">
        <f aca="false">K168+L168</f>
        <v>0.109546573891055</v>
      </c>
      <c r="N168" s="4" t="n">
        <v>2379.06</v>
      </c>
      <c r="O168" s="4" t="n">
        <v>-0.14</v>
      </c>
      <c r="P168" s="4" t="n">
        <v>124.19</v>
      </c>
      <c r="Q168" s="4" t="n">
        <v>0</v>
      </c>
      <c r="R168" s="4" t="n">
        <v>10693.21</v>
      </c>
      <c r="S168" s="4" t="n">
        <v>8105.36</v>
      </c>
      <c r="T168" s="6" t="n">
        <f aca="false">IFERROR(R168/S168-1,"")</f>
        <v>0.31927638007442</v>
      </c>
      <c r="U168" s="7" t="n">
        <v>160</v>
      </c>
      <c r="V168" s="8" t="n">
        <v>0.1095</v>
      </c>
      <c r="W168" s="4" t="n">
        <f aca="false">R168*K168</f>
        <v>1438.84700372905</v>
      </c>
      <c r="X168" s="4" t="n">
        <f aca="false">R168*V168</f>
        <v>1170.906495</v>
      </c>
      <c r="Y168" s="4" t="n">
        <f aca="false">X168-W168</f>
        <v>-267.940508729051</v>
      </c>
      <c r="Z168" s="3" t="s">
        <v>103</v>
      </c>
      <c r="AA168" s="3" t="s">
        <v>367</v>
      </c>
    </row>
    <row r="169" customFormat="false" ht="15" hidden="false" customHeight="false" outlineLevel="0" collapsed="false">
      <c r="A169" s="3" t="s">
        <v>53</v>
      </c>
      <c r="B169" s="3" t="s">
        <v>368</v>
      </c>
      <c r="C169" s="3" t="s">
        <v>29</v>
      </c>
      <c r="D169" s="3" t="s">
        <v>85</v>
      </c>
      <c r="E169" s="4" t="n">
        <v>4587.71</v>
      </c>
      <c r="F169" s="5" t="n">
        <f aca="false">IFERROR(E169/规则参数!$B$8,0)</f>
        <v>0.000140402606879943</v>
      </c>
      <c r="G169" s="4" t="n">
        <v>-1202.76</v>
      </c>
      <c r="H169" s="5" t="n">
        <f aca="false">IFERROR(G169/规则参数!$B$9,0)</f>
        <v>-0.000267332775648423</v>
      </c>
      <c r="I169" s="4" t="n">
        <v>2457.02</v>
      </c>
      <c r="J169" s="5" t="n">
        <f aca="false">IFERROR(I169/规则参数!$B$10,0)</f>
        <v>0.000507466551529495</v>
      </c>
      <c r="K169" s="6" t="n">
        <f aca="false">IFERROR(I169/E169,0)</f>
        <v>0.535565674377849</v>
      </c>
      <c r="L169" s="6" t="n">
        <f aca="false">IFERROR(G169/E169,0)</f>
        <v>-0.262170015105576</v>
      </c>
      <c r="M169" s="6" t="n">
        <f aca="false">K169+L169</f>
        <v>0.273395659272273</v>
      </c>
      <c r="N169" s="4" t="n">
        <v>2457.02</v>
      </c>
      <c r="O169" s="4" t="n">
        <v>0</v>
      </c>
      <c r="P169" s="4" t="n">
        <v>0</v>
      </c>
      <c r="Q169" s="4" t="n">
        <v>0</v>
      </c>
      <c r="R169" s="4" t="n">
        <v>0</v>
      </c>
      <c r="S169" s="4" t="n">
        <v>0</v>
      </c>
      <c r="T169" s="6" t="str">
        <f aca="false">IFERROR(R169/S169-1,"")</f>
        <v/>
      </c>
      <c r="U169" s="7" t="n">
        <v>0</v>
      </c>
      <c r="V169" s="8" t="n">
        <v>0.15</v>
      </c>
      <c r="W169" s="4" t="n">
        <f aca="false">R169*K169</f>
        <v>0</v>
      </c>
      <c r="X169" s="4" t="n">
        <f aca="false">R169*V169</f>
        <v>0</v>
      </c>
      <c r="Y169" s="4" t="n">
        <f aca="false">X169-W169</f>
        <v>0</v>
      </c>
      <c r="Z169" s="3" t="s">
        <v>86</v>
      </c>
      <c r="AA169" s="3" t="s">
        <v>369</v>
      </c>
    </row>
    <row r="170" customFormat="false" ht="15" hidden="false" customHeight="false" outlineLevel="0" collapsed="false">
      <c r="A170" s="3" t="s">
        <v>370</v>
      </c>
      <c r="B170" s="3" t="s">
        <v>371</v>
      </c>
      <c r="C170" s="3" t="s">
        <v>34</v>
      </c>
      <c r="D170" s="3" t="s">
        <v>30</v>
      </c>
      <c r="E170" s="4" t="n">
        <v>38077.93</v>
      </c>
      <c r="F170" s="5" t="n">
        <f aca="false">IFERROR(E170/规则参数!$B$8,0)</f>
        <v>0.001165339709047</v>
      </c>
      <c r="G170" s="4" t="n">
        <v>4915.55</v>
      </c>
      <c r="H170" s="5" t="n">
        <f aca="false">IFERROR(G170/规则参数!$B$9,0)</f>
        <v>0.00109256013281004</v>
      </c>
      <c r="I170" s="4" t="n">
        <v>2320.84</v>
      </c>
      <c r="J170" s="5" t="n">
        <f aca="false">IFERROR(I170/规则参数!$B$10,0)</f>
        <v>0.0004793402867912</v>
      </c>
      <c r="K170" s="6" t="n">
        <f aca="false">IFERROR(I170/E170,0)</f>
        <v>0.0609497417532938</v>
      </c>
      <c r="L170" s="6" t="n">
        <f aca="false">IFERROR(G170/E170,0)</f>
        <v>0.129091838763294</v>
      </c>
      <c r="M170" s="6" t="n">
        <f aca="false">K170+L170</f>
        <v>0.190041580516588</v>
      </c>
      <c r="N170" s="4" t="n">
        <v>1051.44</v>
      </c>
      <c r="O170" s="4" t="n">
        <v>0</v>
      </c>
      <c r="P170" s="4" t="n">
        <v>1269.4</v>
      </c>
      <c r="Q170" s="4" t="n">
        <v>0</v>
      </c>
      <c r="R170" s="4" t="n">
        <v>169.99</v>
      </c>
      <c r="S170" s="4" t="n">
        <v>0</v>
      </c>
      <c r="T170" s="6" t="str">
        <f aca="false">IFERROR(R170/S170-1,"")</f>
        <v/>
      </c>
      <c r="U170" s="7" t="n">
        <v>564</v>
      </c>
      <c r="V170" s="8" t="n">
        <v>0.0609</v>
      </c>
      <c r="W170" s="4" t="n">
        <f aca="false">R170*K170</f>
        <v>10.3608466006424</v>
      </c>
      <c r="X170" s="4" t="n">
        <f aca="false">R170*V170</f>
        <v>10.352391</v>
      </c>
      <c r="Y170" s="4" t="n">
        <f aca="false">X170-W170</f>
        <v>-0.00845560064241901</v>
      </c>
      <c r="Z170" s="3"/>
      <c r="AA170" s="3" t="s">
        <v>31</v>
      </c>
    </row>
    <row r="171" customFormat="false" ht="15" hidden="false" customHeight="false" outlineLevel="0" collapsed="false">
      <c r="A171" s="3" t="s">
        <v>372</v>
      </c>
      <c r="B171" s="3" t="s">
        <v>373</v>
      </c>
      <c r="C171" s="3" t="s">
        <v>96</v>
      </c>
      <c r="D171" s="3" t="s">
        <v>30</v>
      </c>
      <c r="E171" s="4" t="n">
        <v>21835.03</v>
      </c>
      <c r="F171" s="5" t="n">
        <f aca="false">IFERROR(E171/规则参数!$B$8,0)</f>
        <v>0.000668240828932467</v>
      </c>
      <c r="G171" s="4" t="n">
        <v>4856.89</v>
      </c>
      <c r="H171" s="5" t="n">
        <f aca="false">IFERROR(G171/规则参数!$B$9,0)</f>
        <v>0.00107952200332491</v>
      </c>
      <c r="I171" s="4" t="n">
        <v>2288.1</v>
      </c>
      <c r="J171" s="5" t="n">
        <f aca="false">IFERROR(I171/规则参数!$B$10,0)</f>
        <v>0.000472578251929019</v>
      </c>
      <c r="K171" s="6" t="n">
        <f aca="false">IFERROR(I171/E171,0)</f>
        <v>0.104790330033895</v>
      </c>
      <c r="L171" s="6" t="n">
        <f aca="false">IFERROR(G171/E171,0)</f>
        <v>0.222435691638619</v>
      </c>
      <c r="M171" s="6" t="n">
        <f aca="false">K171+L171</f>
        <v>0.327226021672514</v>
      </c>
      <c r="N171" s="4" t="n">
        <v>2288.1</v>
      </c>
      <c r="O171" s="4" t="n">
        <v>0</v>
      </c>
      <c r="P171" s="4" t="n">
        <v>0</v>
      </c>
      <c r="Q171" s="4" t="n">
        <v>0</v>
      </c>
      <c r="R171" s="4" t="n">
        <v>12949.98</v>
      </c>
      <c r="S171" s="4" t="n">
        <v>8912.26</v>
      </c>
      <c r="T171" s="6" t="n">
        <f aca="false">IFERROR(R171/S171-1,"")</f>
        <v>0.453052312208127</v>
      </c>
      <c r="U171" s="7" t="n">
        <v>595</v>
      </c>
      <c r="V171" s="8" t="n">
        <v>0.1048</v>
      </c>
      <c r="W171" s="4" t="n">
        <f aca="false">R171*K171</f>
        <v>1357.03267813234</v>
      </c>
      <c r="X171" s="4" t="n">
        <f aca="false">R171*V171</f>
        <v>1357.157904</v>
      </c>
      <c r="Y171" s="4" t="n">
        <f aca="false">X171-W171</f>
        <v>0.12522586765931</v>
      </c>
      <c r="Z171" s="3"/>
      <c r="AA171" s="3" t="s">
        <v>31</v>
      </c>
    </row>
    <row r="172" customFormat="false" ht="15" hidden="false" customHeight="false" outlineLevel="0" collapsed="false">
      <c r="A172" s="3" t="s">
        <v>374</v>
      </c>
      <c r="B172" s="3" t="s">
        <v>375</v>
      </c>
      <c r="C172" s="3" t="s">
        <v>29</v>
      </c>
      <c r="D172" s="3" t="s">
        <v>30</v>
      </c>
      <c r="E172" s="4" t="n">
        <v>12171.45</v>
      </c>
      <c r="F172" s="5" t="n">
        <f aca="false">IFERROR(E172/规则参数!$B$8,0)</f>
        <v>0.000372495931414341</v>
      </c>
      <c r="G172" s="4" t="n">
        <v>1890.16</v>
      </c>
      <c r="H172" s="5" t="n">
        <f aca="false">IFERROR(G172/规则参数!$B$9,0)</f>
        <v>0.000420118493481345</v>
      </c>
      <c r="I172" s="4" t="n">
        <v>2146.34</v>
      </c>
      <c r="J172" s="5" t="n">
        <f aca="false">IFERROR(I172/规则参数!$B$10,0)</f>
        <v>0.000443299508432905</v>
      </c>
      <c r="K172" s="6" t="n">
        <f aca="false">IFERROR(I172/E172,0)</f>
        <v>0.17634217780133</v>
      </c>
      <c r="L172" s="6" t="n">
        <f aca="false">IFERROR(G172/E172,0)</f>
        <v>0.155294562274832</v>
      </c>
      <c r="M172" s="6" t="n">
        <f aca="false">K172+L172</f>
        <v>0.331636740076162</v>
      </c>
      <c r="N172" s="4" t="n">
        <v>1371.9</v>
      </c>
      <c r="O172" s="4" t="n">
        <v>0</v>
      </c>
      <c r="P172" s="4" t="n">
        <v>774.44</v>
      </c>
      <c r="Q172" s="4" t="n">
        <v>0</v>
      </c>
      <c r="R172" s="4" t="n">
        <v>4181.71</v>
      </c>
      <c r="S172" s="4" t="n">
        <v>1199.97</v>
      </c>
      <c r="T172" s="6" t="n">
        <f aca="false">IFERROR(R172/S172-1,"")</f>
        <v>2.4848454544697</v>
      </c>
      <c r="U172" s="7" t="n">
        <v>0</v>
      </c>
      <c r="V172" s="8" t="n">
        <v>0.15</v>
      </c>
      <c r="W172" s="4" t="n">
        <f aca="false">R172*K172</f>
        <v>737.4118483336</v>
      </c>
      <c r="X172" s="4" t="n">
        <f aca="false">R172*V172</f>
        <v>627.2565</v>
      </c>
      <c r="Y172" s="4" t="n">
        <f aca="false">X172-W172</f>
        <v>-110.1553483336</v>
      </c>
      <c r="Z172" s="3"/>
      <c r="AA172" s="3" t="s">
        <v>31</v>
      </c>
    </row>
    <row r="173" customFormat="false" ht="15" hidden="false" customHeight="false" outlineLevel="0" collapsed="false">
      <c r="A173" s="3" t="s">
        <v>370</v>
      </c>
      <c r="B173" s="3" t="s">
        <v>376</v>
      </c>
      <c r="C173" s="3" t="s">
        <v>34</v>
      </c>
      <c r="D173" s="3" t="s">
        <v>56</v>
      </c>
      <c r="E173" s="4" t="n">
        <v>47607.05</v>
      </c>
      <c r="F173" s="5" t="n">
        <f aca="false">IFERROR(E173/规则参数!$B$8,0)</f>
        <v>0.00145696958305207</v>
      </c>
      <c r="G173" s="4" t="n">
        <v>11154.5</v>
      </c>
      <c r="H173" s="5" t="n">
        <f aca="false">IFERROR(G173/规则参数!$B$9,0)</f>
        <v>0.00247926722369411</v>
      </c>
      <c r="I173" s="4" t="n">
        <v>2113.85</v>
      </c>
      <c r="J173" s="5" t="n">
        <f aca="false">IFERROR(I173/规则参数!$B$10,0)</f>
        <v>0.000436589107923673</v>
      </c>
      <c r="K173" s="6" t="n">
        <f aca="false">IFERROR(I173/E173,0)</f>
        <v>0.0444020370932456</v>
      </c>
      <c r="L173" s="6" t="n">
        <f aca="false">IFERROR(G173/E173,0)</f>
        <v>0.234303532775083</v>
      </c>
      <c r="M173" s="6" t="n">
        <f aca="false">K173+L173</f>
        <v>0.278705569868328</v>
      </c>
      <c r="N173" s="4" t="n">
        <v>1863.33</v>
      </c>
      <c r="O173" s="4" t="n">
        <v>0</v>
      </c>
      <c r="P173" s="4" t="n">
        <v>30.57</v>
      </c>
      <c r="Q173" s="4" t="n">
        <v>219.95</v>
      </c>
      <c r="R173" s="4" t="n">
        <v>2232.05</v>
      </c>
      <c r="S173" s="4" t="n">
        <v>559.63</v>
      </c>
      <c r="T173" s="6" t="n">
        <f aca="false">IFERROR(R173/S173-1,"")</f>
        <v>2.98843878991477</v>
      </c>
      <c r="U173" s="7" t="n">
        <v>1500</v>
      </c>
      <c r="V173" s="8" t="n">
        <v>0.0577</v>
      </c>
      <c r="W173" s="4" t="n">
        <f aca="false">R173*K173</f>
        <v>99.1075668939789</v>
      </c>
      <c r="X173" s="4" t="n">
        <f aca="false">R173*V173</f>
        <v>128.789285</v>
      </c>
      <c r="Y173" s="4" t="n">
        <f aca="false">X173-W173</f>
        <v>29.6817181060211</v>
      </c>
      <c r="Z173" s="3" t="s">
        <v>57</v>
      </c>
      <c r="AA173" s="3" t="s">
        <v>377</v>
      </c>
    </row>
    <row r="174" customFormat="false" ht="15" hidden="false" customHeight="false" outlineLevel="0" collapsed="false">
      <c r="A174" s="3" t="s">
        <v>179</v>
      </c>
      <c r="B174" s="3" t="s">
        <v>378</v>
      </c>
      <c r="C174" s="3" t="s">
        <v>29</v>
      </c>
      <c r="D174" s="3" t="s">
        <v>46</v>
      </c>
      <c r="E174" s="4" t="n">
        <v>35473.82</v>
      </c>
      <c r="F174" s="5" t="n">
        <f aca="false">IFERROR(E174/规则参数!$B$8,0)</f>
        <v>0.00108564333926727</v>
      </c>
      <c r="G174" s="4" t="n">
        <v>2605.92</v>
      </c>
      <c r="H174" s="5" t="n">
        <f aca="false">IFERROR(G174/规则参数!$B$9,0)</f>
        <v>0.000579207677938856</v>
      </c>
      <c r="I174" s="4" t="n">
        <v>2023.88</v>
      </c>
      <c r="J174" s="5" t="n">
        <f aca="false">IFERROR(I174/规则参数!$B$10,0)</f>
        <v>0.000418006936984442</v>
      </c>
      <c r="K174" s="6" t="n">
        <f aca="false">IFERROR(I174/E174,0)</f>
        <v>0.057052778640699</v>
      </c>
      <c r="L174" s="6" t="n">
        <f aca="false">IFERROR(G174/E174,0)</f>
        <v>0.0734603716205359</v>
      </c>
      <c r="M174" s="6" t="n">
        <f aca="false">K174+L174</f>
        <v>0.130513150261235</v>
      </c>
      <c r="N174" s="4" t="n">
        <v>1958.74</v>
      </c>
      <c r="O174" s="4" t="n">
        <v>65.14</v>
      </c>
      <c r="P174" s="4" t="n">
        <v>0</v>
      </c>
      <c r="Q174" s="4" t="n">
        <v>0</v>
      </c>
      <c r="R174" s="4" t="n">
        <v>79.99</v>
      </c>
      <c r="S174" s="4" t="n">
        <v>298.97</v>
      </c>
      <c r="T174" s="6" t="n">
        <f aca="false">IFERROR(R174/S174-1,"")</f>
        <v>-0.732448071712881</v>
      </c>
      <c r="U174" s="7" t="n">
        <v>0</v>
      </c>
      <c r="V174" s="8" t="n">
        <v>0.0571</v>
      </c>
      <c r="W174" s="4" t="n">
        <f aca="false">R174*K174</f>
        <v>4.56365176346951</v>
      </c>
      <c r="X174" s="4" t="n">
        <f aca="false">R174*V174</f>
        <v>4.567429</v>
      </c>
      <c r="Y174" s="4" t="n">
        <f aca="false">X174-W174</f>
        <v>0.00377723653048889</v>
      </c>
      <c r="Z174" s="3" t="s">
        <v>47</v>
      </c>
      <c r="AA174" s="3" t="s">
        <v>379</v>
      </c>
    </row>
    <row r="175" customFormat="false" ht="15" hidden="false" customHeight="false" outlineLevel="0" collapsed="false">
      <c r="A175" s="3" t="s">
        <v>327</v>
      </c>
      <c r="B175" s="3" t="s">
        <v>380</v>
      </c>
      <c r="C175" s="3" t="s">
        <v>34</v>
      </c>
      <c r="D175" s="3" t="s">
        <v>30</v>
      </c>
      <c r="E175" s="4" t="n">
        <v>20669.37</v>
      </c>
      <c r="F175" s="5" t="n">
        <f aca="false">IFERROR(E175/规则参数!$B$8,0)</f>
        <v>0.000632566886434864</v>
      </c>
      <c r="G175" s="4" t="n">
        <v>4403.53</v>
      </c>
      <c r="H175" s="5" t="n">
        <f aca="false">IFERROR(G175/规则参数!$B$9,0)</f>
        <v>0.000978755443771907</v>
      </c>
      <c r="I175" s="4" t="n">
        <v>1982.31</v>
      </c>
      <c r="J175" s="5" t="n">
        <f aca="false">IFERROR(I175/规则参数!$B$10,0)</f>
        <v>0.000409421176776108</v>
      </c>
      <c r="K175" s="6" t="n">
        <f aca="false">IFERROR(I175/E175,0)</f>
        <v>0.0959056807246665</v>
      </c>
      <c r="L175" s="6" t="n">
        <f aca="false">IFERROR(G175/E175,0)</f>
        <v>0.213046164445264</v>
      </c>
      <c r="M175" s="6" t="n">
        <f aca="false">K175+L175</f>
        <v>0.30895184516993</v>
      </c>
      <c r="N175" s="4" t="n">
        <v>1982.31</v>
      </c>
      <c r="O175" s="4" t="n">
        <v>0</v>
      </c>
      <c r="P175" s="4" t="n">
        <v>0</v>
      </c>
      <c r="Q175" s="4" t="n">
        <v>0</v>
      </c>
      <c r="R175" s="4" t="n">
        <v>4355.94</v>
      </c>
      <c r="S175" s="4" t="n">
        <v>3180.85</v>
      </c>
      <c r="T175" s="6" t="n">
        <f aca="false">IFERROR(R175/S175-1,"")</f>
        <v>0.369426411179402</v>
      </c>
      <c r="U175" s="7" t="n">
        <v>283</v>
      </c>
      <c r="V175" s="8" t="n">
        <v>0.0959</v>
      </c>
      <c r="W175" s="4" t="n">
        <f aca="false">R175*K175</f>
        <v>417.759390895804</v>
      </c>
      <c r="X175" s="4" t="n">
        <f aca="false">R175*V175</f>
        <v>417.734646</v>
      </c>
      <c r="Y175" s="4" t="n">
        <f aca="false">X175-W175</f>
        <v>-0.0247448958037921</v>
      </c>
      <c r="Z175" s="3"/>
      <c r="AA175" s="3" t="s">
        <v>31</v>
      </c>
    </row>
    <row r="176" customFormat="false" ht="15" hidden="false" customHeight="false" outlineLevel="0" collapsed="false">
      <c r="A176" s="3" t="s">
        <v>39</v>
      </c>
      <c r="B176" s="3" t="s">
        <v>381</v>
      </c>
      <c r="C176" s="3" t="s">
        <v>96</v>
      </c>
      <c r="D176" s="3" t="s">
        <v>85</v>
      </c>
      <c r="E176" s="4" t="n">
        <v>6213.34</v>
      </c>
      <c r="F176" s="5" t="n">
        <f aca="false">IFERROR(E176/规则参数!$B$8,0)</f>
        <v>0.000190153504347796</v>
      </c>
      <c r="G176" s="4" t="n">
        <v>-2438</v>
      </c>
      <c r="H176" s="5" t="n">
        <f aca="false">IFERROR(G176/规则参数!$B$9,0)</f>
        <v>-0.000541884754257587</v>
      </c>
      <c r="I176" s="4" t="n">
        <v>1980.45</v>
      </c>
      <c r="J176" s="5" t="n">
        <f aca="false">IFERROR(I176/规则参数!$B$10,0)</f>
        <v>0.000409037017190169</v>
      </c>
      <c r="K176" s="6" t="n">
        <f aca="false">IFERROR(I176/E176,0)</f>
        <v>0.318741610792263</v>
      </c>
      <c r="L176" s="6" t="n">
        <f aca="false">IFERROR(G176/E176,0)</f>
        <v>-0.392381553238677</v>
      </c>
      <c r="M176" s="6" t="n">
        <f aca="false">K176+L176</f>
        <v>-0.0736399424464137</v>
      </c>
      <c r="N176" s="4" t="n">
        <v>1965.94</v>
      </c>
      <c r="O176" s="4" t="n">
        <v>-0.08</v>
      </c>
      <c r="P176" s="4" t="n">
        <v>14.59</v>
      </c>
      <c r="Q176" s="4" t="n">
        <v>0</v>
      </c>
      <c r="R176" s="4" t="n">
        <v>2653.8</v>
      </c>
      <c r="S176" s="4" t="n">
        <v>786.08</v>
      </c>
      <c r="T176" s="6" t="n">
        <f aca="false">IFERROR(R176/S176-1,"")</f>
        <v>2.37599226541828</v>
      </c>
      <c r="U176" s="7" t="n">
        <v>574</v>
      </c>
      <c r="V176" s="8" t="n">
        <v>0</v>
      </c>
      <c r="W176" s="4" t="n">
        <f aca="false">R176*K176</f>
        <v>845.876486720508</v>
      </c>
      <c r="X176" s="4" t="n">
        <f aca="false">R176*V176</f>
        <v>0</v>
      </c>
      <c r="Y176" s="4" t="n">
        <f aca="false">X176-W176</f>
        <v>-845.876486720508</v>
      </c>
      <c r="Z176" s="3" t="s">
        <v>156</v>
      </c>
      <c r="AA176" s="3" t="s">
        <v>382</v>
      </c>
    </row>
    <row r="177" customFormat="false" ht="15" hidden="false" customHeight="false" outlineLevel="0" collapsed="false">
      <c r="A177" s="3" t="s">
        <v>53</v>
      </c>
      <c r="B177" s="3" t="s">
        <v>383</v>
      </c>
      <c r="C177" s="3" t="s">
        <v>34</v>
      </c>
      <c r="D177" s="3" t="s">
        <v>30</v>
      </c>
      <c r="E177" s="4" t="n">
        <v>11970.04</v>
      </c>
      <c r="F177" s="5" t="n">
        <f aca="false">IFERROR(E177/规则参数!$B$8,0)</f>
        <v>0.000366331965284901</v>
      </c>
      <c r="G177" s="4" t="n">
        <v>2141.9</v>
      </c>
      <c r="H177" s="5" t="n">
        <f aca="false">IFERROR(G177/规则参数!$B$9,0)</f>
        <v>0.000476071761749108</v>
      </c>
      <c r="I177" s="4" t="n">
        <v>1970.27</v>
      </c>
      <c r="J177" s="5" t="n">
        <f aca="false">IFERROR(I177/规则参数!$B$10,0)</f>
        <v>0.000406934466338092</v>
      </c>
      <c r="K177" s="6" t="n">
        <f aca="false">IFERROR(I177/E177,0)</f>
        <v>0.164600118295344</v>
      </c>
      <c r="L177" s="6" t="n">
        <f aca="false">IFERROR(G177/E177,0)</f>
        <v>0.178938416245894</v>
      </c>
      <c r="M177" s="6" t="n">
        <f aca="false">K177+L177</f>
        <v>0.343538534541238</v>
      </c>
      <c r="N177" s="4" t="n">
        <v>1970.27</v>
      </c>
      <c r="O177" s="4" t="n">
        <v>0</v>
      </c>
      <c r="P177" s="4" t="n">
        <v>0</v>
      </c>
      <c r="Q177" s="4" t="n">
        <v>0</v>
      </c>
      <c r="R177" s="4" t="n">
        <v>11170.14</v>
      </c>
      <c r="S177" s="4" t="n">
        <v>799.9</v>
      </c>
      <c r="T177" s="6" t="n">
        <f aca="false">IFERROR(R177/S177-1,"")</f>
        <v>12.9644205525691</v>
      </c>
      <c r="U177" s="7" t="n">
        <v>354</v>
      </c>
      <c r="V177" s="8" t="n">
        <v>0.1646</v>
      </c>
      <c r="W177" s="4" t="n">
        <f aca="false">R177*K177</f>
        <v>1838.60636537555</v>
      </c>
      <c r="X177" s="4" t="n">
        <f aca="false">R177*V177</f>
        <v>1838.605044</v>
      </c>
      <c r="Y177" s="4" t="n">
        <f aca="false">X177-W177</f>
        <v>-0.00132137555397094</v>
      </c>
      <c r="Z177" s="3"/>
      <c r="AA177" s="3" t="s">
        <v>31</v>
      </c>
    </row>
    <row r="178" customFormat="false" ht="15" hidden="false" customHeight="false" outlineLevel="0" collapsed="false">
      <c r="A178" s="3" t="s">
        <v>225</v>
      </c>
      <c r="B178" s="3" t="s">
        <v>384</v>
      </c>
      <c r="C178" s="3" t="s">
        <v>29</v>
      </c>
      <c r="D178" s="3" t="s">
        <v>30</v>
      </c>
      <c r="E178" s="4" t="n">
        <v>29374.41</v>
      </c>
      <c r="F178" s="5" t="n">
        <f aca="false">IFERROR(E178/规则参数!$B$8,0)</f>
        <v>0.000898976556835605</v>
      </c>
      <c r="G178" s="4" t="n">
        <v>9795.31</v>
      </c>
      <c r="H178" s="5" t="n">
        <f aca="false">IFERROR(G178/规则参数!$B$9,0)</f>
        <v>0.002177165361865</v>
      </c>
      <c r="I178" s="4" t="n">
        <v>1938.01</v>
      </c>
      <c r="J178" s="5" t="n">
        <f aca="false">IFERROR(I178/规则参数!$B$10,0)</f>
        <v>0.000400271569433573</v>
      </c>
      <c r="K178" s="6" t="n">
        <f aca="false">IFERROR(I178/E178,0)</f>
        <v>0.0659761336483014</v>
      </c>
      <c r="L178" s="6" t="n">
        <f aca="false">IFERROR(G178/E178,0)</f>
        <v>0.333464059363235</v>
      </c>
      <c r="M178" s="6" t="n">
        <f aca="false">K178+L178</f>
        <v>0.399440193011536</v>
      </c>
      <c r="N178" s="4" t="n">
        <v>1945.92</v>
      </c>
      <c r="O178" s="4" t="n">
        <v>-5.15</v>
      </c>
      <c r="P178" s="4" t="n">
        <v>-2.76</v>
      </c>
      <c r="Q178" s="4" t="n">
        <v>0</v>
      </c>
      <c r="R178" s="4" t="n">
        <v>725.95</v>
      </c>
      <c r="S178" s="4" t="n">
        <v>952.31</v>
      </c>
      <c r="T178" s="6" t="n">
        <f aca="false">IFERROR(R178/S178-1,"")</f>
        <v>-0.237695708330271</v>
      </c>
      <c r="U178" s="7" t="n">
        <v>0</v>
      </c>
      <c r="V178" s="8" t="n">
        <v>0.066</v>
      </c>
      <c r="W178" s="4" t="n">
        <f aca="false">R178*K178</f>
        <v>47.8953742219844</v>
      </c>
      <c r="X178" s="4" t="n">
        <f aca="false">R178*V178</f>
        <v>47.9127</v>
      </c>
      <c r="Y178" s="4" t="n">
        <f aca="false">X178-W178</f>
        <v>0.017325778015632</v>
      </c>
      <c r="Z178" s="3"/>
      <c r="AA178" s="3" t="s">
        <v>31</v>
      </c>
    </row>
    <row r="179" customFormat="false" ht="15" hidden="false" customHeight="false" outlineLevel="0" collapsed="false">
      <c r="A179" s="3" t="s">
        <v>53</v>
      </c>
      <c r="B179" s="3" t="s">
        <v>385</v>
      </c>
      <c r="C179" s="3" t="s">
        <v>29</v>
      </c>
      <c r="D179" s="3" t="s">
        <v>30</v>
      </c>
      <c r="E179" s="4" t="n">
        <v>16610.61</v>
      </c>
      <c r="F179" s="5" t="n">
        <f aca="false">IFERROR(E179/规则参数!$B$8,0)</f>
        <v>0.000508352303407594</v>
      </c>
      <c r="G179" s="4" t="n">
        <v>2238.87</v>
      </c>
      <c r="H179" s="5" t="n">
        <f aca="false">IFERROR(G179/规则参数!$B$9,0)</f>
        <v>0.000497624905563857</v>
      </c>
      <c r="I179" s="4" t="n">
        <v>1887.66</v>
      </c>
      <c r="J179" s="5" t="n">
        <f aca="false">IFERROR(I179/规则参数!$B$10,0)</f>
        <v>0.000389872410749675</v>
      </c>
      <c r="K179" s="6" t="n">
        <f aca="false">IFERROR(I179/E179,0)</f>
        <v>0.113641822907166</v>
      </c>
      <c r="L179" s="6" t="n">
        <f aca="false">IFERROR(G179/E179,0)</f>
        <v>0.134785537677424</v>
      </c>
      <c r="M179" s="6" t="n">
        <f aca="false">K179+L179</f>
        <v>0.24842736058459</v>
      </c>
      <c r="N179" s="4" t="n">
        <v>1438.77</v>
      </c>
      <c r="O179" s="4" t="n">
        <v>0</v>
      </c>
      <c r="P179" s="4" t="n">
        <v>448.89</v>
      </c>
      <c r="Q179" s="4" t="n">
        <v>0</v>
      </c>
      <c r="R179" s="4" t="n">
        <v>0</v>
      </c>
      <c r="S179" s="4" t="n">
        <v>0</v>
      </c>
      <c r="T179" s="6" t="str">
        <f aca="false">IFERROR(R179/S179-1,"")</f>
        <v/>
      </c>
      <c r="U179" s="7" t="n">
        <v>0</v>
      </c>
      <c r="V179" s="8" t="n">
        <v>0.1136</v>
      </c>
      <c r="W179" s="4" t="n">
        <f aca="false">R179*K179</f>
        <v>0</v>
      </c>
      <c r="X179" s="4" t="n">
        <f aca="false">R179*V179</f>
        <v>0</v>
      </c>
      <c r="Y179" s="4" t="n">
        <f aca="false">X179-W179</f>
        <v>0</v>
      </c>
      <c r="Z179" s="3"/>
      <c r="AA179" s="3" t="s">
        <v>31</v>
      </c>
    </row>
    <row r="180" customFormat="false" ht="15" hidden="false" customHeight="false" outlineLevel="0" collapsed="false">
      <c r="A180" s="3" t="s">
        <v>386</v>
      </c>
      <c r="B180" s="3" t="s">
        <v>387</v>
      </c>
      <c r="C180" s="3" t="s">
        <v>34</v>
      </c>
      <c r="D180" s="3" t="s">
        <v>30</v>
      </c>
      <c r="E180" s="4" t="n">
        <v>14079.13</v>
      </c>
      <c r="F180" s="5" t="n">
        <f aca="false">IFERROR(E180/规则参数!$B$8,0)</f>
        <v>0.000430878707372876</v>
      </c>
      <c r="G180" s="4" t="n">
        <v>2012.1</v>
      </c>
      <c r="H180" s="5" t="n">
        <f aca="false">IFERROR(G180/规则参数!$B$9,0)</f>
        <v>0.000447221621838265</v>
      </c>
      <c r="I180" s="4" t="n">
        <v>1801.56</v>
      </c>
      <c r="J180" s="5" t="n">
        <f aca="false">IFERROR(I180/规则参数!$B$10,0)</f>
        <v>0.000372089539594092</v>
      </c>
      <c r="K180" s="6" t="n">
        <f aca="false">IFERROR(I180/E180,0)</f>
        <v>0.127959611140745</v>
      </c>
      <c r="L180" s="6" t="n">
        <f aca="false">IFERROR(G180/E180,0)</f>
        <v>0.142913660148035</v>
      </c>
      <c r="M180" s="6" t="n">
        <f aca="false">K180+L180</f>
        <v>0.27087327128878</v>
      </c>
      <c r="N180" s="4" t="n">
        <v>1786.7</v>
      </c>
      <c r="O180" s="4" t="n">
        <v>14.95</v>
      </c>
      <c r="P180" s="4" t="n">
        <v>-0.09</v>
      </c>
      <c r="Q180" s="4" t="n">
        <v>0</v>
      </c>
      <c r="R180" s="4" t="n">
        <v>2207.69</v>
      </c>
      <c r="S180" s="4" t="n">
        <v>1466.45</v>
      </c>
      <c r="T180" s="6" t="n">
        <f aca="false">IFERROR(R180/S180-1,"")</f>
        <v>0.505465580142521</v>
      </c>
      <c r="U180" s="7" t="n">
        <v>266</v>
      </c>
      <c r="V180" s="8" t="n">
        <v>0.128</v>
      </c>
      <c r="W180" s="4" t="n">
        <f aca="false">R180*K180</f>
        <v>282.495153919312</v>
      </c>
      <c r="X180" s="4" t="n">
        <f aca="false">R180*V180</f>
        <v>282.58432</v>
      </c>
      <c r="Y180" s="4" t="n">
        <f aca="false">X180-W180</f>
        <v>0.0891660806882442</v>
      </c>
      <c r="Z180" s="3"/>
      <c r="AA180" s="3" t="s">
        <v>31</v>
      </c>
    </row>
    <row r="181" customFormat="false" ht="15" hidden="false" customHeight="false" outlineLevel="0" collapsed="false">
      <c r="A181" s="3" t="s">
        <v>321</v>
      </c>
      <c r="B181" s="9" t="s">
        <v>388</v>
      </c>
      <c r="C181" s="3" t="s">
        <v>34</v>
      </c>
      <c r="D181" s="3" t="s">
        <v>30</v>
      </c>
      <c r="E181" s="4" t="n">
        <v>11039.39</v>
      </c>
      <c r="F181" s="5" t="n">
        <f aca="false">IFERROR(E181/规则参数!$B$8,0)</f>
        <v>0.000337850285733923</v>
      </c>
      <c r="G181" s="4" t="n">
        <v>1243.89</v>
      </c>
      <c r="H181" s="5" t="n">
        <f aca="false">IFERROR(G181/规则参数!$B$9,0)</f>
        <v>0.000276474580382883</v>
      </c>
      <c r="I181" s="4" t="n">
        <v>1705.62</v>
      </c>
      <c r="J181" s="5" t="n">
        <f aca="false">IFERROR(I181/规则参数!$B$10,0)</f>
        <v>0.000352274340306443</v>
      </c>
      <c r="K181" s="6" t="n">
        <f aca="false">IFERROR(I181/E181,0)</f>
        <v>0.154503102073575</v>
      </c>
      <c r="L181" s="6" t="n">
        <f aca="false">IFERROR(G181/E181,0)</f>
        <v>0.112677421487963</v>
      </c>
      <c r="M181" s="6" t="n">
        <f aca="false">K181+L181</f>
        <v>0.267180523561537</v>
      </c>
      <c r="N181" s="4" t="n">
        <v>1189.44</v>
      </c>
      <c r="O181" s="4" t="n">
        <v>0</v>
      </c>
      <c r="P181" s="4" t="n">
        <v>3.55</v>
      </c>
      <c r="Q181" s="4" t="n">
        <v>512.63</v>
      </c>
      <c r="R181" s="4" t="n">
        <v>1341.57</v>
      </c>
      <c r="S181" s="4" t="n">
        <v>696.53</v>
      </c>
      <c r="T181" s="6" t="n">
        <f aca="false">IFERROR(R181/S181-1,"")</f>
        <v>0.926076407333496</v>
      </c>
      <c r="U181" s="7" t="n">
        <v>6</v>
      </c>
      <c r="V181" s="8" t="n">
        <v>0.1545</v>
      </c>
      <c r="W181" s="4" t="n">
        <f aca="false">R181*K181</f>
        <v>207.276726648846</v>
      </c>
      <c r="X181" s="4" t="n">
        <f aca="false">R181*V181</f>
        <v>207.272565</v>
      </c>
      <c r="Y181" s="4" t="n">
        <f aca="false">X181-W181</f>
        <v>-0.00416164884560999</v>
      </c>
      <c r="Z181" s="3"/>
      <c r="AA181" s="3" t="s">
        <v>31</v>
      </c>
    </row>
    <row r="182" customFormat="false" ht="15" hidden="false" customHeight="false" outlineLevel="0" collapsed="false">
      <c r="A182" s="3" t="s">
        <v>39</v>
      </c>
      <c r="B182" s="3" t="s">
        <v>389</v>
      </c>
      <c r="C182" s="3" t="s">
        <v>34</v>
      </c>
      <c r="D182" s="3" t="s">
        <v>85</v>
      </c>
      <c r="E182" s="4" t="n">
        <v>8067.35</v>
      </c>
      <c r="F182" s="5" t="n">
        <f aca="false">IFERROR(E182/规则参数!$B$8,0)</f>
        <v>0.00024689375976531</v>
      </c>
      <c r="G182" s="4" t="n">
        <v>-409.55</v>
      </c>
      <c r="H182" s="5" t="n">
        <f aca="false">IFERROR(G182/规则参数!$B$9,0)</f>
        <v>-9.10290816678403E-005</v>
      </c>
      <c r="I182" s="4" t="n">
        <v>1689.25</v>
      </c>
      <c r="J182" s="5" t="n">
        <f aca="false">IFERROR(I182/规则参数!$B$10,0)</f>
        <v>0.000348893322875353</v>
      </c>
      <c r="K182" s="6" t="n">
        <f aca="false">IFERROR(I182/E182,0)</f>
        <v>0.20939341915251</v>
      </c>
      <c r="L182" s="6" t="n">
        <f aca="false">IFERROR(G182/E182,0)</f>
        <v>-0.0507663607008497</v>
      </c>
      <c r="M182" s="6" t="n">
        <f aca="false">K182+L182</f>
        <v>0.15862705845166</v>
      </c>
      <c r="N182" s="4" t="n">
        <v>1654.3</v>
      </c>
      <c r="O182" s="4" t="n">
        <v>18.04</v>
      </c>
      <c r="P182" s="4" t="n">
        <v>16.91</v>
      </c>
      <c r="Q182" s="4" t="n">
        <v>0</v>
      </c>
      <c r="R182" s="4" t="n">
        <v>0</v>
      </c>
      <c r="S182" s="4" t="n">
        <v>1769.95</v>
      </c>
      <c r="T182" s="6" t="n">
        <f aca="false">IFERROR(R182/S182-1,"")</f>
        <v>-1</v>
      </c>
      <c r="U182" s="7" t="n">
        <v>0</v>
      </c>
      <c r="V182" s="8" t="n">
        <v>0.0586</v>
      </c>
      <c r="W182" s="4" t="n">
        <f aca="false">R182*K182</f>
        <v>0</v>
      </c>
      <c r="X182" s="4" t="n">
        <f aca="false">R182*V182</f>
        <v>0</v>
      </c>
      <c r="Y182" s="4" t="n">
        <f aca="false">X182-W182</f>
        <v>0</v>
      </c>
      <c r="Z182" s="3" t="s">
        <v>86</v>
      </c>
      <c r="AA182" s="3" t="s">
        <v>390</v>
      </c>
    </row>
    <row r="183" customFormat="false" ht="15" hidden="false" customHeight="false" outlineLevel="0" collapsed="false">
      <c r="A183" s="3" t="s">
        <v>39</v>
      </c>
      <c r="B183" s="3" t="s">
        <v>391</v>
      </c>
      <c r="C183" s="3" t="s">
        <v>34</v>
      </c>
      <c r="D183" s="3" t="s">
        <v>56</v>
      </c>
      <c r="E183" s="4" t="n">
        <v>30576.4</v>
      </c>
      <c r="F183" s="5" t="n">
        <f aca="false">IFERROR(E183/规则参数!$B$8,0)</f>
        <v>0.000935762345266788</v>
      </c>
      <c r="G183" s="4" t="n">
        <v>5455.2</v>
      </c>
      <c r="H183" s="5" t="n">
        <f aca="false">IFERROR(G183/规则参数!$B$9,0)</f>
        <v>0.00121250603421903</v>
      </c>
      <c r="I183" s="4" t="n">
        <v>1671.33</v>
      </c>
      <c r="J183" s="5" t="n">
        <f aca="false">IFERROR(I183/规则参数!$B$10,0)</f>
        <v>0.00034519217245598</v>
      </c>
      <c r="K183" s="6" t="n">
        <f aca="false">IFERROR(I183/E183,0)</f>
        <v>0.0546607841341688</v>
      </c>
      <c r="L183" s="6" t="n">
        <f aca="false">IFERROR(G183/E183,0)</f>
        <v>0.17841210868513</v>
      </c>
      <c r="M183" s="6" t="n">
        <f aca="false">K183+L183</f>
        <v>0.233072892819299</v>
      </c>
      <c r="N183" s="4" t="n">
        <v>1116.73</v>
      </c>
      <c r="O183" s="4" t="n">
        <v>37.48</v>
      </c>
      <c r="P183" s="4" t="n">
        <v>517.12</v>
      </c>
      <c r="Q183" s="4" t="n">
        <v>0</v>
      </c>
      <c r="R183" s="4" t="n">
        <v>3067.72</v>
      </c>
      <c r="S183" s="4" t="n">
        <v>3284.11</v>
      </c>
      <c r="T183" s="6" t="n">
        <f aca="false">IFERROR(R183/S183-1,"")</f>
        <v>-0.0658899975944778</v>
      </c>
      <c r="U183" s="7" t="n">
        <v>449</v>
      </c>
      <c r="V183" s="8" t="n">
        <v>0.0711</v>
      </c>
      <c r="W183" s="4" t="n">
        <f aca="false">R183*K183</f>
        <v>167.683980704072</v>
      </c>
      <c r="X183" s="4" t="n">
        <f aca="false">R183*V183</f>
        <v>218.114892</v>
      </c>
      <c r="Y183" s="4" t="n">
        <f aca="false">X183-W183</f>
        <v>50.4309112959276</v>
      </c>
      <c r="Z183" s="3" t="s">
        <v>57</v>
      </c>
      <c r="AA183" s="3" t="s">
        <v>392</v>
      </c>
    </row>
    <row r="184" customFormat="false" ht="15" hidden="false" customHeight="false" outlineLevel="0" collapsed="false">
      <c r="A184" s="3" t="s">
        <v>35</v>
      </c>
      <c r="B184" s="3" t="s">
        <v>393</v>
      </c>
      <c r="C184" s="3" t="s">
        <v>29</v>
      </c>
      <c r="D184" s="3" t="s">
        <v>85</v>
      </c>
      <c r="E184" s="4" t="n">
        <v>8132.85</v>
      </c>
      <c r="F184" s="5" t="n">
        <f aca="false">IFERROR(E184/规则参数!$B$8,0)</f>
        <v>0.000248898326477381</v>
      </c>
      <c r="G184" s="4" t="n">
        <v>-1594.47</v>
      </c>
      <c r="H184" s="5" t="n">
        <f aca="false">IFERROR(G184/规则参数!$B$9,0)</f>
        <v>-0.00035439663007428</v>
      </c>
      <c r="I184" s="4" t="n">
        <v>1463.46</v>
      </c>
      <c r="J184" s="5" t="n">
        <f aca="false">IFERROR(I184/规则参数!$B$10,0)</f>
        <v>0.000302259240666073</v>
      </c>
      <c r="K184" s="6" t="n">
        <f aca="false">IFERROR(I184/E184,0)</f>
        <v>0.179944299968646</v>
      </c>
      <c r="L184" s="6" t="n">
        <f aca="false">IFERROR(G184/E184,0)</f>
        <v>-0.19605304413582</v>
      </c>
      <c r="M184" s="6" t="n">
        <f aca="false">K184+L184</f>
        <v>-0.0161087441671739</v>
      </c>
      <c r="N184" s="4" t="n">
        <v>1463.46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6" t="str">
        <f aca="false">IFERROR(R184/S184-1,"")</f>
        <v/>
      </c>
      <c r="U184" s="7" t="n">
        <v>0</v>
      </c>
      <c r="V184" s="8" t="n">
        <v>0</v>
      </c>
      <c r="W184" s="4" t="n">
        <f aca="false">R184*K184</f>
        <v>0</v>
      </c>
      <c r="X184" s="4" t="n">
        <f aca="false">R184*V184</f>
        <v>0</v>
      </c>
      <c r="Y184" s="4" t="n">
        <f aca="false">X184-W184</f>
        <v>0</v>
      </c>
      <c r="Z184" s="3" t="s">
        <v>86</v>
      </c>
      <c r="AA184" s="3" t="s">
        <v>394</v>
      </c>
    </row>
    <row r="185" customFormat="false" ht="15" hidden="false" customHeight="false" outlineLevel="0" collapsed="false">
      <c r="A185" s="3" t="s">
        <v>39</v>
      </c>
      <c r="B185" s="3" t="s">
        <v>395</v>
      </c>
      <c r="C185" s="3" t="s">
        <v>34</v>
      </c>
      <c r="D185" s="3" t="s">
        <v>30</v>
      </c>
      <c r="E185" s="4" t="n">
        <v>21372.85</v>
      </c>
      <c r="F185" s="5" t="n">
        <f aca="false">IFERROR(E185/规则参数!$B$8,0)</f>
        <v>0.000654096238963229</v>
      </c>
      <c r="G185" s="4" t="n">
        <v>4008.31</v>
      </c>
      <c r="H185" s="5" t="n">
        <f aca="false">IFERROR(G185/规则参数!$B$9,0)</f>
        <v>0.000890911435331512</v>
      </c>
      <c r="I185" s="4" t="n">
        <v>1428.19</v>
      </c>
      <c r="J185" s="5" t="n">
        <f aca="false">IFERROR(I185/规则参数!$B$10,0)</f>
        <v>0.00029497466615205</v>
      </c>
      <c r="K185" s="6" t="n">
        <f aca="false">IFERROR(I185/E185,0)</f>
        <v>0.066822627773086</v>
      </c>
      <c r="L185" s="6" t="n">
        <f aca="false">IFERROR(G185/E185,0)</f>
        <v>0.187542138741441</v>
      </c>
      <c r="M185" s="6" t="n">
        <f aca="false">K185+L185</f>
        <v>0.254364766514527</v>
      </c>
      <c r="N185" s="4" t="n">
        <v>1422.49</v>
      </c>
      <c r="O185" s="4" t="n">
        <v>5.7</v>
      </c>
      <c r="P185" s="4" t="n">
        <v>0</v>
      </c>
      <c r="Q185" s="4" t="n">
        <v>0</v>
      </c>
      <c r="R185" s="4" t="n">
        <v>6028.83</v>
      </c>
      <c r="S185" s="4" t="n">
        <v>1505.47</v>
      </c>
      <c r="T185" s="6" t="n">
        <f aca="false">IFERROR(R185/S185-1,"")</f>
        <v>3.00461649850213</v>
      </c>
      <c r="U185" s="7" t="n">
        <v>1369</v>
      </c>
      <c r="V185" s="8" t="n">
        <v>0.0668</v>
      </c>
      <c r="W185" s="4" t="n">
        <f aca="false">R185*K185</f>
        <v>402.862262997214</v>
      </c>
      <c r="X185" s="4" t="n">
        <f aca="false">R185*V185</f>
        <v>402.725844</v>
      </c>
      <c r="Y185" s="4" t="n">
        <f aca="false">X185-W185</f>
        <v>-0.136418997213752</v>
      </c>
      <c r="Z185" s="3"/>
      <c r="AA185" s="3" t="s">
        <v>31</v>
      </c>
    </row>
    <row r="186" customFormat="false" ht="15" hidden="false" customHeight="false" outlineLevel="0" collapsed="false">
      <c r="A186" s="3" t="s">
        <v>64</v>
      </c>
      <c r="B186" s="3" t="s">
        <v>396</v>
      </c>
      <c r="C186" s="3" t="s">
        <v>96</v>
      </c>
      <c r="D186" s="3" t="s">
        <v>85</v>
      </c>
      <c r="E186" s="4" t="n">
        <v>4500.83</v>
      </c>
      <c r="F186" s="5" t="n">
        <f aca="false">IFERROR(E186/规则参数!$B$8,0)</f>
        <v>0.000137743725109794</v>
      </c>
      <c r="G186" s="4" t="n">
        <v>-164.03</v>
      </c>
      <c r="H186" s="5" t="n">
        <f aca="false">IFERROR(G186/规则参数!$B$9,0)</f>
        <v>-3.64583085483478E-005</v>
      </c>
      <c r="I186" s="4" t="n">
        <v>1363.44</v>
      </c>
      <c r="J186" s="5" t="n">
        <f aca="false">IFERROR(I186/规则参数!$B$10,0)</f>
        <v>0.000281601368738299</v>
      </c>
      <c r="K186" s="6" t="n">
        <f aca="false">IFERROR(I186/E186,0)</f>
        <v>0.30293079276489</v>
      </c>
      <c r="L186" s="6" t="n">
        <f aca="false">IFERROR(G186/E186,0)</f>
        <v>-0.036444389146002</v>
      </c>
      <c r="M186" s="6" t="n">
        <f aca="false">K186+L186</f>
        <v>0.266486403618888</v>
      </c>
      <c r="N186" s="4" t="n">
        <v>1346.48</v>
      </c>
      <c r="O186" s="4" t="n">
        <v>16.96</v>
      </c>
      <c r="P186" s="4" t="n">
        <v>0</v>
      </c>
      <c r="Q186" s="4" t="n">
        <v>0</v>
      </c>
      <c r="R186" s="4" t="n">
        <v>1351.04</v>
      </c>
      <c r="S186" s="4" t="n">
        <v>2699.82</v>
      </c>
      <c r="T186" s="6" t="n">
        <f aca="false">IFERROR(R186/S186-1,"")</f>
        <v>-0.499581453578387</v>
      </c>
      <c r="U186" s="7" t="n">
        <v>169</v>
      </c>
      <c r="V186" s="8" t="n">
        <v>0.25</v>
      </c>
      <c r="W186" s="4" t="n">
        <f aca="false">R186*K186</f>
        <v>409.271618257077</v>
      </c>
      <c r="X186" s="4" t="n">
        <f aca="false">R186*V186</f>
        <v>337.76</v>
      </c>
      <c r="Y186" s="4" t="n">
        <f aca="false">X186-W186</f>
        <v>-71.511618257077</v>
      </c>
      <c r="Z186" s="3" t="s">
        <v>156</v>
      </c>
      <c r="AA186" s="3" t="s">
        <v>397</v>
      </c>
    </row>
    <row r="187" customFormat="false" ht="15" hidden="false" customHeight="false" outlineLevel="0" collapsed="false">
      <c r="A187" s="3" t="s">
        <v>67</v>
      </c>
      <c r="B187" s="9" t="s">
        <v>398</v>
      </c>
      <c r="C187" s="3" t="s">
        <v>96</v>
      </c>
      <c r="D187" s="3" t="s">
        <v>30</v>
      </c>
      <c r="E187" s="4" t="n">
        <v>16002.3</v>
      </c>
      <c r="F187" s="5" t="n">
        <f aca="false">IFERROR(E187/规则参数!$B$8,0)</f>
        <v>0.000489735540405761</v>
      </c>
      <c r="G187" s="4" t="n">
        <v>2641.39</v>
      </c>
      <c r="H187" s="5" t="n">
        <f aca="false">IFERROR(G187/规则参数!$B$9,0)</f>
        <v>0.000587091456541611</v>
      </c>
      <c r="I187" s="4" t="n">
        <v>1296.54</v>
      </c>
      <c r="J187" s="5" t="n">
        <f aca="false">IFERROR(I187/规则参数!$B$10,0)</f>
        <v>0.000267784015889187</v>
      </c>
      <c r="K187" s="6" t="n">
        <f aca="false">IFERROR(I187/E187,0)</f>
        <v>0.0810221030726833</v>
      </c>
      <c r="L187" s="6" t="n">
        <f aca="false">IFERROR(G187/E187,0)</f>
        <v>0.165063147172594</v>
      </c>
      <c r="M187" s="6" t="n">
        <f aca="false">K187+L187</f>
        <v>0.246085250245277</v>
      </c>
      <c r="N187" s="4" t="n">
        <v>1296.09</v>
      </c>
      <c r="O187" s="4" t="n">
        <v>-0.41</v>
      </c>
      <c r="P187" s="4" t="n">
        <v>0.86</v>
      </c>
      <c r="Q187" s="4" t="n">
        <v>0</v>
      </c>
      <c r="R187" s="4" t="n">
        <v>1576.71</v>
      </c>
      <c r="S187" s="4" t="n">
        <v>3153.55</v>
      </c>
      <c r="T187" s="6" t="n">
        <f aca="false">IFERROR(R187/S187-1,"")</f>
        <v>-0.500020611691586</v>
      </c>
      <c r="U187" s="7" t="n">
        <v>66</v>
      </c>
      <c r="V187" s="8" t="n">
        <v>0.081</v>
      </c>
      <c r="W187" s="4" t="n">
        <f aca="false">R187*K187</f>
        <v>127.748360135731</v>
      </c>
      <c r="X187" s="4" t="n">
        <f aca="false">R187*V187</f>
        <v>127.71351</v>
      </c>
      <c r="Y187" s="4" t="n">
        <f aca="false">X187-W187</f>
        <v>-0.0348501357304798</v>
      </c>
      <c r="Z187" s="3"/>
      <c r="AA187" s="3" t="s">
        <v>31</v>
      </c>
    </row>
    <row r="188" customFormat="false" ht="15" hidden="false" customHeight="false" outlineLevel="0" collapsed="false">
      <c r="A188" s="3" t="s">
        <v>64</v>
      </c>
      <c r="B188" s="3" t="s">
        <v>399</v>
      </c>
      <c r="C188" s="3" t="s">
        <v>34</v>
      </c>
      <c r="D188" s="3" t="s">
        <v>30</v>
      </c>
      <c r="E188" s="4" t="n">
        <v>24182.33</v>
      </c>
      <c r="F188" s="5" t="n">
        <f aca="false">IFERROR(E188/规则参数!$B$8,0)</f>
        <v>0.000740077766997273</v>
      </c>
      <c r="G188" s="4" t="n">
        <v>5653.75</v>
      </c>
      <c r="H188" s="5" t="n">
        <f aca="false">IFERROR(G188/规则参数!$B$9,0)</f>
        <v>0.00125663696857417</v>
      </c>
      <c r="I188" s="4" t="n">
        <v>1264.29</v>
      </c>
      <c r="J188" s="5" t="n">
        <f aca="false">IFERROR(I188/规则参数!$B$10,0)</f>
        <v>0.000261123184358786</v>
      </c>
      <c r="K188" s="6" t="n">
        <f aca="false">IFERROR(I188/E188,0)</f>
        <v>0.0522815626120394</v>
      </c>
      <c r="L188" s="6" t="n">
        <f aca="false">IFERROR(G188/E188,0)</f>
        <v>0.233796743324568</v>
      </c>
      <c r="M188" s="6" t="n">
        <f aca="false">K188+L188</f>
        <v>0.286078305936607</v>
      </c>
      <c r="N188" s="4" t="n">
        <v>1246.33</v>
      </c>
      <c r="O188" s="4" t="n">
        <v>-0.98</v>
      </c>
      <c r="P188" s="4" t="n">
        <v>15.01</v>
      </c>
      <c r="Q188" s="4" t="n">
        <v>3.93</v>
      </c>
      <c r="R188" s="4" t="n">
        <v>0</v>
      </c>
      <c r="S188" s="4" t="n">
        <v>0</v>
      </c>
      <c r="T188" s="6" t="str">
        <f aca="false">IFERROR(R188/S188-1,"")</f>
        <v/>
      </c>
      <c r="U188" s="7" t="n">
        <v>0</v>
      </c>
      <c r="V188" s="8" t="n">
        <v>0.0523</v>
      </c>
      <c r="W188" s="4" t="n">
        <f aca="false">R188*K188</f>
        <v>0</v>
      </c>
      <c r="X188" s="4" t="n">
        <f aca="false">R188*V188</f>
        <v>0</v>
      </c>
      <c r="Y188" s="4" t="n">
        <f aca="false">X188-W188</f>
        <v>0</v>
      </c>
      <c r="Z188" s="3"/>
      <c r="AA188" s="3" t="s">
        <v>31</v>
      </c>
    </row>
    <row r="189" customFormat="false" ht="15" hidden="false" customHeight="false" outlineLevel="0" collapsed="false">
      <c r="A189" s="3" t="s">
        <v>196</v>
      </c>
      <c r="B189" s="3" t="s">
        <v>400</v>
      </c>
      <c r="C189" s="3" t="s">
        <v>96</v>
      </c>
      <c r="D189" s="3" t="s">
        <v>46</v>
      </c>
      <c r="E189" s="4" t="n">
        <v>4563.16</v>
      </c>
      <c r="F189" s="5" t="n">
        <f aca="false">IFERROR(E189/规则参数!$B$8,0)</f>
        <v>0.000139651276913816</v>
      </c>
      <c r="G189" s="4" t="n">
        <v>-663.41</v>
      </c>
      <c r="H189" s="5" t="n">
        <f aca="false">IFERROR(G189/规则参数!$B$9,0)</f>
        <v>-0.00014745355406974</v>
      </c>
      <c r="I189" s="4" t="n">
        <v>1234.66</v>
      </c>
      <c r="J189" s="5" t="n">
        <f aca="false">IFERROR(I189/规则参数!$B$10,0)</f>
        <v>0.000255003480847289</v>
      </c>
      <c r="K189" s="6" t="n">
        <f aca="false">IFERROR(I189/E189,0)</f>
        <v>0.270571270786034</v>
      </c>
      <c r="L189" s="6" t="n">
        <f aca="false">IFERROR(G189/E189,0)</f>
        <v>-0.145383900630265</v>
      </c>
      <c r="M189" s="6" t="n">
        <f aca="false">K189+L189</f>
        <v>0.125187370155769</v>
      </c>
      <c r="N189" s="4" t="n">
        <v>1159.52</v>
      </c>
      <c r="O189" s="4" t="n">
        <v>0</v>
      </c>
      <c r="P189" s="4" t="n">
        <v>75.14</v>
      </c>
      <c r="Q189" s="4" t="n">
        <v>0</v>
      </c>
      <c r="R189" s="4" t="n">
        <v>451.9</v>
      </c>
      <c r="S189" s="4" t="n">
        <v>147.28</v>
      </c>
      <c r="T189" s="6" t="n">
        <f aca="false">IFERROR(R189/S189-1,"")</f>
        <v>2.06830526887561</v>
      </c>
      <c r="U189" s="7" t="n">
        <v>267</v>
      </c>
      <c r="V189" s="8" t="n">
        <v>0.1252</v>
      </c>
      <c r="W189" s="4" t="n">
        <f aca="false">R189*K189</f>
        <v>122.271157268209</v>
      </c>
      <c r="X189" s="4" t="n">
        <f aca="false">R189*V189</f>
        <v>56.57788</v>
      </c>
      <c r="Y189" s="4" t="n">
        <f aca="false">X189-W189</f>
        <v>-65.6932772682089</v>
      </c>
      <c r="Z189" s="3" t="s">
        <v>103</v>
      </c>
      <c r="AA189" s="3" t="s">
        <v>401</v>
      </c>
    </row>
    <row r="190" customFormat="false" ht="15" hidden="false" customHeight="false" outlineLevel="0" collapsed="false">
      <c r="A190" s="3" t="s">
        <v>53</v>
      </c>
      <c r="B190" s="3" t="s">
        <v>402</v>
      </c>
      <c r="C190" s="3" t="s">
        <v>29</v>
      </c>
      <c r="D190" s="3" t="s">
        <v>30</v>
      </c>
      <c r="E190" s="4" t="n">
        <v>10512.58</v>
      </c>
      <c r="F190" s="5" t="n">
        <f aca="false">IFERROR(E190/规则参数!$B$8,0)</f>
        <v>0.000321727754595202</v>
      </c>
      <c r="G190" s="4" t="n">
        <v>2146.05</v>
      </c>
      <c r="H190" s="5" t="n">
        <f aca="false">IFERROR(G190/规则参数!$B$9,0)</f>
        <v>0.000476994166068291</v>
      </c>
      <c r="I190" s="4" t="n">
        <v>1209.6</v>
      </c>
      <c r="J190" s="5" t="n">
        <f aca="false">IFERROR(I190/规则参数!$B$10,0)</f>
        <v>0.000249827653307697</v>
      </c>
      <c r="K190" s="6" t="n">
        <f aca="false">IFERROR(I190/E190,0)</f>
        <v>0.115062144592479</v>
      </c>
      <c r="L190" s="6" t="n">
        <f aca="false">IFERROR(G190/E190,0)</f>
        <v>0.204141133765451</v>
      </c>
      <c r="M190" s="6" t="n">
        <f aca="false">K190+L190</f>
        <v>0.319203278357929</v>
      </c>
      <c r="N190" s="4" t="n">
        <v>660.89</v>
      </c>
      <c r="O190" s="4" t="n">
        <v>479.44</v>
      </c>
      <c r="P190" s="4" t="n">
        <v>69.27</v>
      </c>
      <c r="Q190" s="4" t="n">
        <v>0</v>
      </c>
      <c r="R190" s="4" t="n">
        <v>0</v>
      </c>
      <c r="S190" s="4" t="n">
        <v>0</v>
      </c>
      <c r="T190" s="6" t="str">
        <f aca="false">IFERROR(R190/S190-1,"")</f>
        <v/>
      </c>
      <c r="U190" s="7" t="n">
        <v>0</v>
      </c>
      <c r="V190" s="8" t="n">
        <v>0.1151</v>
      </c>
      <c r="W190" s="4" t="n">
        <f aca="false">R190*K190</f>
        <v>0</v>
      </c>
      <c r="X190" s="4" t="n">
        <f aca="false">R190*V190</f>
        <v>0</v>
      </c>
      <c r="Y190" s="4" t="n">
        <f aca="false">X190-W190</f>
        <v>0</v>
      </c>
      <c r="Z190" s="3"/>
      <c r="AA190" s="3" t="s">
        <v>31</v>
      </c>
    </row>
    <row r="191" customFormat="false" ht="15" hidden="false" customHeight="false" outlineLevel="0" collapsed="false">
      <c r="A191" s="3" t="s">
        <v>244</v>
      </c>
      <c r="B191" s="3" t="s">
        <v>403</v>
      </c>
      <c r="C191" s="3" t="s">
        <v>29</v>
      </c>
      <c r="D191" s="9" t="s">
        <v>194</v>
      </c>
      <c r="E191" s="4" t="n">
        <v>12089.52</v>
      </c>
      <c r="F191" s="5" t="n">
        <f aca="false">IFERROR(E191/规则参数!$B$8,0)</f>
        <v>0.000369988539800295</v>
      </c>
      <c r="G191" s="4" t="n">
        <v>-634.33</v>
      </c>
      <c r="H191" s="5" t="n">
        <f aca="false">IFERROR(G191/规则参数!$B$9,0)</f>
        <v>-0.000140990055852426</v>
      </c>
      <c r="I191" s="4" t="n">
        <v>1158.57</v>
      </c>
      <c r="J191" s="5" t="n">
        <f aca="false">IFERROR(I191/规则参数!$B$10,0)</f>
        <v>0.000239288049183778</v>
      </c>
      <c r="K191" s="6" t="n">
        <f aca="false">IFERROR(I191/E191,0)</f>
        <v>0.0958325888869037</v>
      </c>
      <c r="L191" s="6" t="n">
        <f aca="false">IFERROR(G191/E191,0)</f>
        <v>-0.052469411523369</v>
      </c>
      <c r="M191" s="6" t="n">
        <f aca="false">K191+L191</f>
        <v>0.0433631773635347</v>
      </c>
      <c r="N191" s="4" t="n">
        <v>1159.09</v>
      </c>
      <c r="O191" s="4" t="n">
        <v>-0.53</v>
      </c>
      <c r="P191" s="4" t="n">
        <v>0.01</v>
      </c>
      <c r="Q191" s="4" t="n">
        <v>0</v>
      </c>
      <c r="R191" s="4" t="n">
        <v>0</v>
      </c>
      <c r="S191" s="4" t="n">
        <v>0</v>
      </c>
      <c r="T191" s="6" t="str">
        <f aca="false">IFERROR(R191/S191-1,"")</f>
        <v/>
      </c>
      <c r="U191" s="7" t="n">
        <v>0</v>
      </c>
      <c r="V191" s="8" t="n">
        <v>0</v>
      </c>
      <c r="W191" s="4" t="n">
        <f aca="false">R191*K191</f>
        <v>0</v>
      </c>
      <c r="X191" s="4" t="n">
        <f aca="false">R191*V191</f>
        <v>0</v>
      </c>
      <c r="Y191" s="4" t="n">
        <f aca="false">X191-W191</f>
        <v>0</v>
      </c>
      <c r="Z191" s="3" t="s">
        <v>195</v>
      </c>
      <c r="AA191" s="3" t="s">
        <v>31</v>
      </c>
    </row>
    <row r="192" customFormat="false" ht="15" hidden="false" customHeight="false" outlineLevel="0" collapsed="false">
      <c r="A192" s="3" t="s">
        <v>39</v>
      </c>
      <c r="B192" s="3" t="s">
        <v>404</v>
      </c>
      <c r="C192" s="3" t="s">
        <v>34</v>
      </c>
      <c r="D192" s="3" t="s">
        <v>30</v>
      </c>
      <c r="E192" s="4" t="n">
        <v>14027.55</v>
      </c>
      <c r="F192" s="5" t="n">
        <f aca="false">IFERROR(E192/规则参数!$B$8,0)</f>
        <v>0.000429300149342209</v>
      </c>
      <c r="G192" s="4" t="n">
        <v>1346.69</v>
      </c>
      <c r="H192" s="5" t="n">
        <f aca="false">IFERROR(G192/规则参数!$B$9,0)</f>
        <v>0.000299323535566509</v>
      </c>
      <c r="I192" s="4" t="n">
        <v>1151.17</v>
      </c>
      <c r="J192" s="5" t="n">
        <f aca="false">IFERROR(I192/规则参数!$B$10,0)</f>
        <v>0.000237759672336492</v>
      </c>
      <c r="K192" s="6" t="n">
        <f aca="false">IFERROR(I192/E192,0)</f>
        <v>0.082064936499959</v>
      </c>
      <c r="L192" s="6" t="n">
        <f aca="false">IFERROR(G192/E192,0)</f>
        <v>0.0960032222305392</v>
      </c>
      <c r="M192" s="6" t="n">
        <f aca="false">K192+L192</f>
        <v>0.178068158730498</v>
      </c>
      <c r="N192" s="4" t="n">
        <v>650.28</v>
      </c>
      <c r="O192" s="4" t="n">
        <v>89.91</v>
      </c>
      <c r="P192" s="4" t="n">
        <v>372.56</v>
      </c>
      <c r="Q192" s="4" t="n">
        <v>38.42</v>
      </c>
      <c r="R192" s="4" t="n">
        <v>1098.97</v>
      </c>
      <c r="S192" s="4" t="n">
        <v>1236.03</v>
      </c>
      <c r="T192" s="6" t="n">
        <f aca="false">IFERROR(R192/S192-1,"")</f>
        <v>-0.110887276198798</v>
      </c>
      <c r="U192" s="7" t="n">
        <v>196</v>
      </c>
      <c r="V192" s="8" t="n">
        <v>0.0781</v>
      </c>
      <c r="W192" s="4" t="n">
        <f aca="false">R192*K192</f>
        <v>90.18690326536</v>
      </c>
      <c r="X192" s="4" t="n">
        <f aca="false">R192*V192</f>
        <v>85.829557</v>
      </c>
      <c r="Y192" s="4" t="n">
        <f aca="false">X192-W192</f>
        <v>-4.35734626535997</v>
      </c>
      <c r="Z192" s="3"/>
      <c r="AA192" s="3" t="s">
        <v>31</v>
      </c>
    </row>
    <row r="193" customFormat="false" ht="15" hidden="false" customHeight="false" outlineLevel="0" collapsed="false">
      <c r="A193" s="3" t="s">
        <v>184</v>
      </c>
      <c r="B193" s="3" t="s">
        <v>405</v>
      </c>
      <c r="C193" s="3" t="s">
        <v>96</v>
      </c>
      <c r="D193" s="3" t="s">
        <v>85</v>
      </c>
      <c r="E193" s="4" t="n">
        <v>2140.77</v>
      </c>
      <c r="F193" s="5" t="n">
        <f aca="false">IFERROR(E193/规则参数!$B$8,0)</f>
        <v>6.55162790870338E-005</v>
      </c>
      <c r="G193" s="4" t="n">
        <v>-544.19</v>
      </c>
      <c r="H193" s="5" t="n">
        <f aca="false">IFERROR(G193/规则参数!$B$9,0)</f>
        <v>-0.000120954989507562</v>
      </c>
      <c r="I193" s="4" t="n">
        <v>1121.67</v>
      </c>
      <c r="J193" s="5" t="n">
        <f aca="false">IFERROR(I193/规则参数!$B$10,0)</f>
        <v>0.000231666818688529</v>
      </c>
      <c r="K193" s="6" t="n">
        <f aca="false">IFERROR(I193/E193,0)</f>
        <v>0.523956333468799</v>
      </c>
      <c r="L193" s="6" t="n">
        <f aca="false">IFERROR(G193/E193,0)</f>
        <v>-0.254202926984216</v>
      </c>
      <c r="M193" s="6" t="n">
        <f aca="false">K193+L193</f>
        <v>0.269753406484583</v>
      </c>
      <c r="N193" s="4" t="n">
        <v>995.58</v>
      </c>
      <c r="O193" s="4" t="n">
        <v>0</v>
      </c>
      <c r="P193" s="4" t="n">
        <v>126.09</v>
      </c>
      <c r="Q193" s="4" t="n">
        <v>0</v>
      </c>
      <c r="R193" s="4" t="n">
        <v>1636.86</v>
      </c>
      <c r="S193" s="4" t="n">
        <v>503.91</v>
      </c>
      <c r="T193" s="6" t="n">
        <f aca="false">IFERROR(R193/S193-1,"")</f>
        <v>2.24831815205096</v>
      </c>
      <c r="U193" s="7" t="n">
        <v>436</v>
      </c>
      <c r="V193" s="8" t="n">
        <v>0.25</v>
      </c>
      <c r="W193" s="4" t="n">
        <f aca="false">R193*K193</f>
        <v>857.643164001738</v>
      </c>
      <c r="X193" s="4" t="n">
        <f aca="false">R193*V193</f>
        <v>409.215</v>
      </c>
      <c r="Y193" s="4" t="n">
        <f aca="false">X193-W193</f>
        <v>-448.428164001738</v>
      </c>
      <c r="Z193" s="3" t="s">
        <v>156</v>
      </c>
      <c r="AA193" s="3" t="s">
        <v>406</v>
      </c>
    </row>
    <row r="194" customFormat="false" ht="15" hidden="false" customHeight="false" outlineLevel="0" collapsed="false">
      <c r="A194" s="3" t="s">
        <v>75</v>
      </c>
      <c r="B194" s="3" t="s">
        <v>407</v>
      </c>
      <c r="C194" s="3" t="s">
        <v>34</v>
      </c>
      <c r="D194" s="3" t="s">
        <v>85</v>
      </c>
      <c r="E194" s="4" t="n">
        <v>5759.31</v>
      </c>
      <c r="F194" s="5" t="n">
        <f aca="false">IFERROR(E194/规则参数!$B$8,0)</f>
        <v>0.000176258337564869</v>
      </c>
      <c r="G194" s="4" t="n">
        <v>-1426.32</v>
      </c>
      <c r="H194" s="5" t="n">
        <f aca="false">IFERROR(G194/规则参数!$B$9,0)</f>
        <v>-0.000317022585189779</v>
      </c>
      <c r="I194" s="4" t="n">
        <v>1073.92</v>
      </c>
      <c r="J194" s="5" t="n">
        <f aca="false">IFERROR(I194/规则参数!$B$10,0)</f>
        <v>0.000221804657275299</v>
      </c>
      <c r="K194" s="6" t="n">
        <f aca="false">IFERROR(I194/E194,0)</f>
        <v>0.186466781610992</v>
      </c>
      <c r="L194" s="6" t="n">
        <f aca="false">IFERROR(G194/E194,0)</f>
        <v>-0.247654666965314</v>
      </c>
      <c r="M194" s="6" t="n">
        <f aca="false">K194+L194</f>
        <v>-0.0611878853543219</v>
      </c>
      <c r="N194" s="4" t="n">
        <v>1073.92</v>
      </c>
      <c r="O194" s="4" t="n">
        <v>0</v>
      </c>
      <c r="P194" s="4" t="n">
        <v>0</v>
      </c>
      <c r="Q194" s="4" t="n">
        <v>0</v>
      </c>
      <c r="R194" s="4" t="n">
        <v>2889.49</v>
      </c>
      <c r="S194" s="4" t="n">
        <v>1119.11</v>
      </c>
      <c r="T194" s="6" t="n">
        <f aca="false">IFERROR(R194/S194-1,"")</f>
        <v>1.58195351663375</v>
      </c>
      <c r="U194" s="7" t="n">
        <v>236</v>
      </c>
      <c r="V194" s="8" t="n">
        <v>0</v>
      </c>
      <c r="W194" s="4" t="n">
        <f aca="false">R194*K194</f>
        <v>538.793900797144</v>
      </c>
      <c r="X194" s="4" t="n">
        <f aca="false">R194*V194</f>
        <v>0</v>
      </c>
      <c r="Y194" s="4" t="n">
        <f aca="false">X194-W194</f>
        <v>-538.793900797144</v>
      </c>
      <c r="Z194" s="3" t="s">
        <v>86</v>
      </c>
      <c r="AA194" s="3" t="s">
        <v>408</v>
      </c>
    </row>
    <row r="195" customFormat="false" ht="15" hidden="false" customHeight="false" outlineLevel="0" collapsed="false">
      <c r="A195" s="3" t="s">
        <v>169</v>
      </c>
      <c r="B195" s="3" t="s">
        <v>409</v>
      </c>
      <c r="C195" s="3" t="s">
        <v>29</v>
      </c>
      <c r="D195" s="3" t="s">
        <v>30</v>
      </c>
      <c r="E195" s="4" t="n">
        <v>8783.1</v>
      </c>
      <c r="F195" s="5" t="n">
        <f aca="false">IFERROR(E195/规则参数!$B$8,0)</f>
        <v>0.000268798624256378</v>
      </c>
      <c r="G195" s="4" t="n">
        <v>521.13</v>
      </c>
      <c r="H195" s="5" t="n">
        <f aca="false">IFERROR(G195/规则参数!$B$9,0)</f>
        <v>0.000115829533218317</v>
      </c>
      <c r="I195" s="4" t="n">
        <v>1022.68</v>
      </c>
      <c r="J195" s="5" t="n">
        <f aca="false">IFERROR(I195/规则参数!$B$10,0)</f>
        <v>0.000211221680294904</v>
      </c>
      <c r="K195" s="6" t="n">
        <f aca="false">IFERROR(I195/E195,0)</f>
        <v>0.116437248807369</v>
      </c>
      <c r="L195" s="6" t="n">
        <f aca="false">IFERROR(G195/E195,0)</f>
        <v>0.0593332650203231</v>
      </c>
      <c r="M195" s="6" t="n">
        <f aca="false">K195+L195</f>
        <v>0.175770513827692</v>
      </c>
      <c r="N195" s="4" t="n">
        <v>1022.54</v>
      </c>
      <c r="O195" s="4" t="n">
        <v>0</v>
      </c>
      <c r="P195" s="4" t="n">
        <v>0</v>
      </c>
      <c r="Q195" s="4" t="n">
        <v>0.14</v>
      </c>
      <c r="R195" s="4" t="n">
        <v>1627.4</v>
      </c>
      <c r="S195" s="4" t="n">
        <v>3265.03</v>
      </c>
      <c r="T195" s="6" t="n">
        <f aca="false">IFERROR(R195/S195-1,"")</f>
        <v>-0.501566601225716</v>
      </c>
      <c r="U195" s="7" t="n">
        <v>15</v>
      </c>
      <c r="V195" s="8" t="n">
        <v>0.1164</v>
      </c>
      <c r="W195" s="4" t="n">
        <f aca="false">R195*K195</f>
        <v>189.489978709112</v>
      </c>
      <c r="X195" s="4" t="n">
        <f aca="false">R195*V195</f>
        <v>189.42936</v>
      </c>
      <c r="Y195" s="4" t="n">
        <f aca="false">X195-W195</f>
        <v>-0.0606187091118215</v>
      </c>
      <c r="Z195" s="3"/>
      <c r="AA195" s="3" t="s">
        <v>31</v>
      </c>
    </row>
    <row r="196" customFormat="false" ht="15" hidden="false" customHeight="false" outlineLevel="0" collapsed="false">
      <c r="A196" s="3" t="s">
        <v>73</v>
      </c>
      <c r="B196" s="3" t="s">
        <v>410</v>
      </c>
      <c r="C196" s="3" t="s">
        <v>29</v>
      </c>
      <c r="D196" s="3" t="s">
        <v>138</v>
      </c>
      <c r="E196" s="4" t="n">
        <v>4679.22</v>
      </c>
      <c r="F196" s="5" t="n">
        <f aca="false">IFERROR(E196/规则参数!$B$8,0)</f>
        <v>0.000143203185503174</v>
      </c>
      <c r="G196" s="4" t="n">
        <v>32.5</v>
      </c>
      <c r="H196" s="5" t="n">
        <f aca="false">IFERROR(G196/规则参数!$B$9,0)</f>
        <v>7.2236482827611E-006</v>
      </c>
      <c r="I196" s="4" t="n">
        <v>1016.31</v>
      </c>
      <c r="J196" s="5" t="n">
        <f aca="false">IFERROR(I196/规则参数!$B$10,0)</f>
        <v>0.000209906036981767</v>
      </c>
      <c r="K196" s="6" t="n">
        <f aca="false">IFERROR(I196/E196,0)</f>
        <v>0.21719645581956</v>
      </c>
      <c r="L196" s="6" t="n">
        <f aca="false">IFERROR(G196/E196,0)</f>
        <v>0.00694560204478524</v>
      </c>
      <c r="M196" s="6" t="n">
        <f aca="false">K196+L196</f>
        <v>0.224142057864345</v>
      </c>
      <c r="N196" s="4" t="n">
        <v>1016.32</v>
      </c>
      <c r="O196" s="4" t="n">
        <v>0</v>
      </c>
      <c r="P196" s="4" t="n">
        <v>-0.01</v>
      </c>
      <c r="Q196" s="4" t="n">
        <v>0</v>
      </c>
      <c r="R196" s="4" t="n">
        <v>0</v>
      </c>
      <c r="S196" s="4" t="n">
        <v>0</v>
      </c>
      <c r="T196" s="6" t="str">
        <f aca="false">IFERROR(R196/S196-1,"")</f>
        <v/>
      </c>
      <c r="U196" s="7" t="n">
        <v>0</v>
      </c>
      <c r="V196" s="8" t="n">
        <v>0.15</v>
      </c>
      <c r="W196" s="4" t="n">
        <f aca="false">R196*K196</f>
        <v>0</v>
      </c>
      <c r="X196" s="4" t="n">
        <f aca="false">R196*V196</f>
        <v>0</v>
      </c>
      <c r="Y196" s="4" t="n">
        <f aca="false">X196-W196</f>
        <v>0</v>
      </c>
      <c r="Z196" s="3" t="s">
        <v>139</v>
      </c>
      <c r="AA196" s="3" t="s">
        <v>411</v>
      </c>
    </row>
    <row r="197" customFormat="false" ht="15" hidden="false" customHeight="false" outlineLevel="0" collapsed="false">
      <c r="A197" s="3" t="s">
        <v>412</v>
      </c>
      <c r="B197" s="3" t="s">
        <v>413</v>
      </c>
      <c r="C197" s="3" t="s">
        <v>29</v>
      </c>
      <c r="D197" s="3" t="s">
        <v>85</v>
      </c>
      <c r="E197" s="4" t="n">
        <v>14960.11</v>
      </c>
      <c r="F197" s="5" t="n">
        <f aca="false">IFERROR(E197/规则参数!$B$8,0)</f>
        <v>0.000457840282670593</v>
      </c>
      <c r="G197" s="4" t="n">
        <v>-8537.95</v>
      </c>
      <c r="H197" s="5" t="n">
        <f aca="false">IFERROR(G197/规则参数!$B$9,0)</f>
        <v>-0.00189769685710154</v>
      </c>
      <c r="I197" s="4" t="n">
        <v>987.72</v>
      </c>
      <c r="J197" s="5" t="n">
        <f aca="false">IFERROR(I197/规则参数!$B$10,0)</f>
        <v>0.000204001132378537</v>
      </c>
      <c r="K197" s="6" t="n">
        <f aca="false">IFERROR(I197/E197,0)</f>
        <v>0.0660235787036325</v>
      </c>
      <c r="L197" s="6" t="n">
        <f aca="false">IFERROR(G197/E197,0)</f>
        <v>-0.570714386458388</v>
      </c>
      <c r="M197" s="6" t="n">
        <f aca="false">K197+L197</f>
        <v>-0.504690807754756</v>
      </c>
      <c r="N197" s="4" t="n">
        <v>987.72</v>
      </c>
      <c r="O197" s="4" t="n">
        <v>0</v>
      </c>
      <c r="P197" s="4" t="n">
        <v>0</v>
      </c>
      <c r="Q197" s="4" t="n">
        <v>0</v>
      </c>
      <c r="R197" s="4" t="n">
        <v>0</v>
      </c>
      <c r="S197" s="4" t="n">
        <v>0</v>
      </c>
      <c r="T197" s="6" t="str">
        <f aca="false">IFERROR(R197/S197-1,"")</f>
        <v/>
      </c>
      <c r="U197" s="7" t="n">
        <v>0</v>
      </c>
      <c r="V197" s="8" t="n">
        <v>0</v>
      </c>
      <c r="W197" s="4" t="n">
        <f aca="false">R197*K197</f>
        <v>0</v>
      </c>
      <c r="X197" s="4" t="n">
        <f aca="false">R197*V197</f>
        <v>0</v>
      </c>
      <c r="Y197" s="4" t="n">
        <f aca="false">X197-W197</f>
        <v>0</v>
      </c>
      <c r="Z197" s="3" t="s">
        <v>86</v>
      </c>
      <c r="AA197" s="3" t="s">
        <v>414</v>
      </c>
    </row>
    <row r="198" customFormat="false" ht="15" hidden="false" customHeight="false" outlineLevel="0" collapsed="false">
      <c r="A198" s="3" t="s">
        <v>415</v>
      </c>
      <c r="B198" s="3" t="s">
        <v>416</v>
      </c>
      <c r="C198" s="3" t="s">
        <v>29</v>
      </c>
      <c r="D198" s="3" t="s">
        <v>85</v>
      </c>
      <c r="E198" s="4" t="n">
        <v>5944.52</v>
      </c>
      <c r="F198" s="5" t="n">
        <f aca="false">IFERROR(E198/规则参数!$B$8,0)</f>
        <v>0.00018192651772888</v>
      </c>
      <c r="G198" s="4" t="n">
        <v>-2365.65</v>
      </c>
      <c r="H198" s="5" t="n">
        <f aca="false">IFERROR(G198/规则参数!$B$9,0)</f>
        <v>-0.000525803801849655</v>
      </c>
      <c r="I198" s="4" t="n">
        <v>964.5</v>
      </c>
      <c r="J198" s="5" t="n">
        <f aca="false">IFERROR(I198/规则参数!$B$10,0)</f>
        <v>0.000199205333676648</v>
      </c>
      <c r="K198" s="6" t="n">
        <f aca="false">IFERROR(I198/E198,0)</f>
        <v>0.162250274202122</v>
      </c>
      <c r="L198" s="6" t="n">
        <f aca="false">IFERROR(G198/E198,0)</f>
        <v>-0.3979547549676</v>
      </c>
      <c r="M198" s="6" t="n">
        <f aca="false">K198+L198</f>
        <v>-0.235704480765478</v>
      </c>
      <c r="N198" s="4" t="n">
        <v>964.45</v>
      </c>
      <c r="O198" s="4" t="n">
        <v>0</v>
      </c>
      <c r="P198" s="4" t="n">
        <v>0</v>
      </c>
      <c r="Q198" s="4" t="n">
        <v>0.05</v>
      </c>
      <c r="R198" s="4" t="n">
        <v>0</v>
      </c>
      <c r="S198" s="4" t="n">
        <v>0</v>
      </c>
      <c r="T198" s="6" t="str">
        <f aca="false">IFERROR(R198/S198-1,"")</f>
        <v/>
      </c>
      <c r="U198" s="7" t="n">
        <v>0</v>
      </c>
      <c r="V198" s="8" t="n">
        <v>0</v>
      </c>
      <c r="W198" s="4" t="n">
        <f aca="false">R198*K198</f>
        <v>0</v>
      </c>
      <c r="X198" s="4" t="n">
        <f aca="false">R198*V198</f>
        <v>0</v>
      </c>
      <c r="Y198" s="4" t="n">
        <f aca="false">X198-W198</f>
        <v>0</v>
      </c>
      <c r="Z198" s="3" t="s">
        <v>86</v>
      </c>
      <c r="AA198" s="3" t="s">
        <v>417</v>
      </c>
    </row>
    <row r="199" customFormat="false" ht="15" hidden="false" customHeight="false" outlineLevel="0" collapsed="false">
      <c r="A199" s="3" t="s">
        <v>251</v>
      </c>
      <c r="B199" s="3" t="s">
        <v>418</v>
      </c>
      <c r="C199" s="3" t="s">
        <v>34</v>
      </c>
      <c r="D199" s="3" t="s">
        <v>30</v>
      </c>
      <c r="E199" s="4" t="n">
        <v>18415.15</v>
      </c>
      <c r="F199" s="5" t="n">
        <f aca="false">IFERROR(E199/规则参数!$B$8,0)</f>
        <v>0.000563578575386235</v>
      </c>
      <c r="G199" s="4" t="n">
        <v>2586.52</v>
      </c>
      <c r="H199" s="5" t="n">
        <f aca="false">IFERROR(G199/规则参数!$B$9,0)</f>
        <v>0.0005748957155793</v>
      </c>
      <c r="I199" s="4" t="n">
        <v>956.13</v>
      </c>
      <c r="J199" s="5" t="n">
        <f aca="false">IFERROR(I199/规则参数!$B$10,0)</f>
        <v>0.000197476615539921</v>
      </c>
      <c r="K199" s="6" t="n">
        <f aca="false">IFERROR(I199/E199,0)</f>
        <v>0.0519208369196015</v>
      </c>
      <c r="L199" s="6" t="n">
        <f aca="false">IFERROR(G199/E199,0)</f>
        <v>0.140456091859149</v>
      </c>
      <c r="M199" s="6" t="n">
        <f aca="false">K199+L199</f>
        <v>0.19237692877875</v>
      </c>
      <c r="N199" s="4" t="n">
        <v>952.4</v>
      </c>
      <c r="O199" s="4" t="n">
        <v>3.74</v>
      </c>
      <c r="P199" s="4" t="n">
        <v>-0.01</v>
      </c>
      <c r="Q199" s="4" t="n">
        <v>0</v>
      </c>
      <c r="R199" s="4" t="n">
        <v>187.48</v>
      </c>
      <c r="S199" s="4" t="n">
        <v>1375.86</v>
      </c>
      <c r="T199" s="6" t="n">
        <f aca="false">IFERROR(R199/S199-1,"")</f>
        <v>-0.863736135944064</v>
      </c>
      <c r="U199" s="7" t="n">
        <v>0</v>
      </c>
      <c r="V199" s="8" t="n">
        <v>0.0519</v>
      </c>
      <c r="W199" s="4" t="n">
        <f aca="false">R199*K199</f>
        <v>9.73411850568689</v>
      </c>
      <c r="X199" s="4" t="n">
        <f aca="false">R199*V199</f>
        <v>9.730212</v>
      </c>
      <c r="Y199" s="4" t="n">
        <f aca="false">X199-W199</f>
        <v>-0.0039065056868921</v>
      </c>
      <c r="Z199" s="3"/>
      <c r="AA199" s="3" t="s">
        <v>31</v>
      </c>
    </row>
    <row r="200" customFormat="false" ht="15" hidden="false" customHeight="false" outlineLevel="0" collapsed="false">
      <c r="A200" s="9" t="s">
        <v>419</v>
      </c>
      <c r="B200" s="3" t="s">
        <v>420</v>
      </c>
      <c r="C200" s="3" t="s">
        <v>29</v>
      </c>
      <c r="D200" s="3" t="s">
        <v>30</v>
      </c>
      <c r="E200" s="4" t="n">
        <v>7831.5</v>
      </c>
      <c r="F200" s="5" t="n">
        <f aca="false">IFERROR(E200/规则参数!$B$8,0)</f>
        <v>0.000239675789398256</v>
      </c>
      <c r="G200" s="4" t="n">
        <v>2150.62</v>
      </c>
      <c r="H200" s="5" t="n">
        <f aca="false">IFERROR(G200/规则参数!$B$9,0)</f>
        <v>0.000478009922149898</v>
      </c>
      <c r="I200" s="4" t="n">
        <v>928.1</v>
      </c>
      <c r="J200" s="5" t="n">
        <f aca="false">IFERROR(I200/规则参数!$B$10,0)</f>
        <v>0.000191687371887296</v>
      </c>
      <c r="K200" s="6" t="n">
        <f aca="false">IFERROR(I200/E200,0)</f>
        <v>0.118508587116134</v>
      </c>
      <c r="L200" s="6" t="n">
        <f aca="false">IFERROR(G200/E200,0)</f>
        <v>0.274611504820277</v>
      </c>
      <c r="M200" s="6" t="n">
        <f aca="false">K200+L200</f>
        <v>0.393120091936411</v>
      </c>
      <c r="N200" s="4" t="n">
        <v>927.53</v>
      </c>
      <c r="O200" s="4" t="n">
        <v>-0.02</v>
      </c>
      <c r="P200" s="4" t="n">
        <v>0.59</v>
      </c>
      <c r="Q200" s="4" t="n">
        <v>0</v>
      </c>
      <c r="R200" s="4" t="n">
        <v>0</v>
      </c>
      <c r="S200" s="4" t="n">
        <v>0</v>
      </c>
      <c r="T200" s="6" t="str">
        <f aca="false">IFERROR(R200/S200-1,"")</f>
        <v/>
      </c>
      <c r="U200" s="7" t="n">
        <v>0</v>
      </c>
      <c r="V200" s="8" t="n">
        <v>0.1185</v>
      </c>
      <c r="W200" s="4" t="n">
        <f aca="false">R200*K200</f>
        <v>0</v>
      </c>
      <c r="X200" s="4" t="n">
        <f aca="false">R200*V200</f>
        <v>0</v>
      </c>
      <c r="Y200" s="4" t="n">
        <f aca="false">X200-W200</f>
        <v>0</v>
      </c>
      <c r="Z200" s="3"/>
      <c r="AA200" s="3" t="s">
        <v>31</v>
      </c>
    </row>
    <row r="201" customFormat="false" ht="15" hidden="false" customHeight="false" outlineLevel="0" collapsed="false">
      <c r="A201" s="3" t="s">
        <v>220</v>
      </c>
      <c r="B201" s="3" t="s">
        <v>421</v>
      </c>
      <c r="C201" s="3" t="s">
        <v>96</v>
      </c>
      <c r="D201" s="3" t="s">
        <v>46</v>
      </c>
      <c r="E201" s="4" t="n">
        <v>7865.31</v>
      </c>
      <c r="F201" s="5" t="n">
        <f aca="false">IFERROR(E201/规则参数!$B$8,0)</f>
        <v>0.000240710513070549</v>
      </c>
      <c r="G201" s="4" t="n">
        <v>-612.7</v>
      </c>
      <c r="H201" s="5" t="n">
        <f aca="false">IFERROR(G201/规则参数!$B$9,0)</f>
        <v>-0.000136182440087622</v>
      </c>
      <c r="I201" s="4" t="n">
        <v>898.76</v>
      </c>
      <c r="J201" s="5" t="n">
        <f aca="false">IFERROR(I201/规则参数!$B$10,0)</f>
        <v>0.00018562756422522</v>
      </c>
      <c r="K201" s="6" t="n">
        <f aca="false">IFERROR(I201/E201,0)</f>
        <v>0.114268859078663</v>
      </c>
      <c r="L201" s="6" t="n">
        <f aca="false">IFERROR(G201/E201,0)</f>
        <v>-0.0778990275017768</v>
      </c>
      <c r="M201" s="6" t="n">
        <f aca="false">K201+L201</f>
        <v>0.0363698315768863</v>
      </c>
      <c r="N201" s="4" t="n">
        <v>620.55</v>
      </c>
      <c r="O201" s="4" t="n">
        <v>78.04</v>
      </c>
      <c r="P201" s="4" t="n">
        <v>189.55</v>
      </c>
      <c r="Q201" s="4" t="n">
        <v>10.62</v>
      </c>
      <c r="R201" s="4" t="n">
        <v>2929.1</v>
      </c>
      <c r="S201" s="4" t="n">
        <v>2355.1</v>
      </c>
      <c r="T201" s="6" t="n">
        <f aca="false">IFERROR(R201/S201-1,"")</f>
        <v>0.243726381045391</v>
      </c>
      <c r="U201" s="7" t="n">
        <v>326</v>
      </c>
      <c r="V201" s="8" t="n">
        <v>0.0364</v>
      </c>
      <c r="W201" s="4" t="n">
        <f aca="false">R201*K201</f>
        <v>334.704915127312</v>
      </c>
      <c r="X201" s="4" t="n">
        <f aca="false">R201*V201</f>
        <v>106.61924</v>
      </c>
      <c r="Y201" s="4" t="n">
        <f aca="false">X201-W201</f>
        <v>-228.085675127312</v>
      </c>
      <c r="Z201" s="3" t="s">
        <v>103</v>
      </c>
      <c r="AA201" s="3" t="s">
        <v>422</v>
      </c>
    </row>
    <row r="202" customFormat="false" ht="15" hidden="false" customHeight="false" outlineLevel="0" collapsed="false">
      <c r="A202" s="3" t="s">
        <v>39</v>
      </c>
      <c r="B202" s="3" t="s">
        <v>423</v>
      </c>
      <c r="C202" s="3" t="s">
        <v>34</v>
      </c>
      <c r="D202" s="3" t="s">
        <v>30</v>
      </c>
      <c r="E202" s="4" t="n">
        <v>7908.24</v>
      </c>
      <c r="F202" s="5" t="n">
        <f aca="false">IFERROR(E202/规则参数!$B$8,0)</f>
        <v>0.000242024345878933</v>
      </c>
      <c r="G202" s="4" t="n">
        <v>382.36</v>
      </c>
      <c r="H202" s="5" t="n">
        <f aca="false">IFERROR(G202/规则参数!$B$9,0)</f>
        <v>8.49856663814319E-005</v>
      </c>
      <c r="I202" s="4" t="n">
        <v>875.63</v>
      </c>
      <c r="J202" s="5" t="n">
        <f aca="false">IFERROR(I202/规则参数!$B$10,0)</f>
        <v>0.000180850353890392</v>
      </c>
      <c r="K202" s="6" t="n">
        <f aca="false">IFERROR(I202/E202,0)</f>
        <v>0.110723751428889</v>
      </c>
      <c r="L202" s="6" t="n">
        <f aca="false">IFERROR(G202/E202,0)</f>
        <v>0.0483495695628863</v>
      </c>
      <c r="M202" s="6" t="n">
        <f aca="false">K202+L202</f>
        <v>0.159073320991776</v>
      </c>
      <c r="N202" s="4" t="n">
        <v>872.46</v>
      </c>
      <c r="O202" s="4" t="n">
        <v>-0.1</v>
      </c>
      <c r="P202" s="4" t="n">
        <v>3.27</v>
      </c>
      <c r="Q202" s="4" t="n">
        <v>0</v>
      </c>
      <c r="R202" s="4" t="n">
        <v>207.96</v>
      </c>
      <c r="S202" s="4" t="n">
        <v>89.97</v>
      </c>
      <c r="T202" s="6" t="n">
        <f aca="false">IFERROR(R202/S202-1,"")</f>
        <v>1.31143714571524</v>
      </c>
      <c r="U202" s="7" t="n">
        <v>0</v>
      </c>
      <c r="V202" s="8" t="n">
        <v>0.0591</v>
      </c>
      <c r="W202" s="4" t="n">
        <f aca="false">R202*K202</f>
        <v>23.0261113471518</v>
      </c>
      <c r="X202" s="4" t="n">
        <f aca="false">R202*V202</f>
        <v>12.290436</v>
      </c>
      <c r="Y202" s="4" t="n">
        <f aca="false">X202-W202</f>
        <v>-10.7356753471518</v>
      </c>
      <c r="Z202" s="3"/>
      <c r="AA202" s="3" t="s">
        <v>31</v>
      </c>
    </row>
    <row r="203" customFormat="false" ht="15" hidden="false" customHeight="false" outlineLevel="0" collapsed="false">
      <c r="A203" s="3" t="s">
        <v>424</v>
      </c>
      <c r="B203" s="3" t="s">
        <v>425</v>
      </c>
      <c r="C203" s="3" t="s">
        <v>34</v>
      </c>
      <c r="D203" s="3" t="s">
        <v>46</v>
      </c>
      <c r="E203" s="4" t="n">
        <v>3993.2</v>
      </c>
      <c r="F203" s="5" t="n">
        <f aca="false">IFERROR(E203/规则参数!$B$8,0)</f>
        <v>0.000122208180070883</v>
      </c>
      <c r="G203" s="4" t="n">
        <v>298.13</v>
      </c>
      <c r="H203" s="5" t="n">
        <f aca="false">IFERROR(G203/规则参数!$B$9,0)</f>
        <v>6.62641926935252E-005</v>
      </c>
      <c r="I203" s="4" t="n">
        <v>851.4</v>
      </c>
      <c r="J203" s="5" t="n">
        <f aca="false">IFERROR(I203/规则参数!$B$10,0)</f>
        <v>0.00017584595240259</v>
      </c>
      <c r="K203" s="6" t="n">
        <f aca="false">IFERROR(I203/E203,0)</f>
        <v>0.213212461184013</v>
      </c>
      <c r="L203" s="6" t="n">
        <f aca="false">IFERROR(G203/E203,0)</f>
        <v>0.0746594210157267</v>
      </c>
      <c r="M203" s="6" t="n">
        <f aca="false">K203+L203</f>
        <v>0.28787188219974</v>
      </c>
      <c r="N203" s="4" t="n">
        <v>812.89</v>
      </c>
      <c r="O203" s="4" t="n">
        <v>0</v>
      </c>
      <c r="P203" s="4" t="n">
        <v>38.51</v>
      </c>
      <c r="Q203" s="4" t="n">
        <v>0</v>
      </c>
      <c r="R203" s="4" t="n">
        <v>0</v>
      </c>
      <c r="S203" s="4" t="n">
        <v>16.99</v>
      </c>
      <c r="T203" s="6" t="n">
        <f aca="false">IFERROR(R203/S203-1,"")</f>
        <v>-1</v>
      </c>
      <c r="U203" s="7" t="n">
        <v>0</v>
      </c>
      <c r="V203" s="8" t="n">
        <v>0.18</v>
      </c>
      <c r="W203" s="4" t="n">
        <f aca="false">R203*K203</f>
        <v>0</v>
      </c>
      <c r="X203" s="4" t="n">
        <f aca="false">R203*V203</f>
        <v>0</v>
      </c>
      <c r="Y203" s="4" t="n">
        <f aca="false">X203-W203</f>
        <v>0</v>
      </c>
      <c r="Z203" s="3" t="s">
        <v>69</v>
      </c>
      <c r="AA203" s="3" t="s">
        <v>426</v>
      </c>
    </row>
    <row r="204" customFormat="false" ht="15" hidden="false" customHeight="false" outlineLevel="0" collapsed="false">
      <c r="A204" s="3" t="s">
        <v>205</v>
      </c>
      <c r="B204" s="3" t="s">
        <v>427</v>
      </c>
      <c r="C204" s="3" t="s">
        <v>34</v>
      </c>
      <c r="D204" s="3" t="s">
        <v>85</v>
      </c>
      <c r="E204" s="4" t="n">
        <v>3359.58</v>
      </c>
      <c r="F204" s="5" t="n">
        <f aca="false">IFERROR(E204/规则参数!$B$8,0)</f>
        <v>0.000102816828008248</v>
      </c>
      <c r="G204" s="4" t="n">
        <v>-3185.87</v>
      </c>
      <c r="H204" s="5" t="n">
        <f aca="false">IFERROR(G204/规则参数!$B$9,0)</f>
        <v>-0.000708110903218465</v>
      </c>
      <c r="I204" s="4" t="n">
        <v>848.9</v>
      </c>
      <c r="J204" s="5" t="n">
        <f aca="false">IFERROR(I204/规则参数!$B$10,0)</f>
        <v>0.000175329608873102</v>
      </c>
      <c r="K204" s="6" t="n">
        <f aca="false">IFERROR(I204/E204,0)</f>
        <v>0.252680394573131</v>
      </c>
      <c r="L204" s="6" t="n">
        <f aca="false">IFERROR(G204/E204,0)</f>
        <v>-0.948294132004596</v>
      </c>
      <c r="M204" s="6" t="n">
        <f aca="false">K204+L204</f>
        <v>-0.695613737431465</v>
      </c>
      <c r="N204" s="4" t="n">
        <v>849.05</v>
      </c>
      <c r="O204" s="4" t="n">
        <v>-0.15</v>
      </c>
      <c r="P204" s="4" t="n">
        <v>0</v>
      </c>
      <c r="Q204" s="4" t="n">
        <v>0</v>
      </c>
      <c r="R204" s="4" t="n">
        <v>0</v>
      </c>
      <c r="S204" s="4" t="n">
        <v>0</v>
      </c>
      <c r="T204" s="6" t="str">
        <f aca="false">IFERROR(R204/S204-1,"")</f>
        <v/>
      </c>
      <c r="U204" s="7" t="n">
        <v>0</v>
      </c>
      <c r="V204" s="8" t="n">
        <v>0</v>
      </c>
      <c r="W204" s="4" t="n">
        <f aca="false">R204*K204</f>
        <v>0</v>
      </c>
      <c r="X204" s="4" t="n">
        <f aca="false">R204*V204</f>
        <v>0</v>
      </c>
      <c r="Y204" s="4" t="n">
        <f aca="false">X204-W204</f>
        <v>0</v>
      </c>
      <c r="Z204" s="3" t="s">
        <v>86</v>
      </c>
      <c r="AA204" s="3" t="s">
        <v>428</v>
      </c>
    </row>
    <row r="205" customFormat="false" ht="15" hidden="false" customHeight="false" outlineLevel="0" collapsed="false">
      <c r="A205" s="3" t="s">
        <v>169</v>
      </c>
      <c r="B205" s="3" t="s">
        <v>429</v>
      </c>
      <c r="C205" s="3" t="s">
        <v>34</v>
      </c>
      <c r="D205" s="3" t="s">
        <v>30</v>
      </c>
      <c r="E205" s="4" t="n">
        <v>8436.18</v>
      </c>
      <c r="F205" s="5" t="n">
        <f aca="false">IFERROR(E205/规则参数!$B$8,0)</f>
        <v>0.000258181459618947</v>
      </c>
      <c r="G205" s="4" t="n">
        <v>987.67</v>
      </c>
      <c r="H205" s="5" t="n">
        <f aca="false">IFERROR(G205/规则参数!$B$9,0)</f>
        <v>0.000219525559982605</v>
      </c>
      <c r="I205" s="4" t="n">
        <v>793.37</v>
      </c>
      <c r="J205" s="5" t="n">
        <f aca="false">IFERROR(I205/规则参数!$B$10,0)</f>
        <v>0.000163860586396104</v>
      </c>
      <c r="K205" s="6" t="n">
        <f aca="false">IFERROR(I205/E205,0)</f>
        <v>0.0940437496592059</v>
      </c>
      <c r="L205" s="6" t="n">
        <f aca="false">IFERROR(G205/E205,0)</f>
        <v>0.117075500996897</v>
      </c>
      <c r="M205" s="6" t="n">
        <f aca="false">K205+L205</f>
        <v>0.211119250656103</v>
      </c>
      <c r="N205" s="4" t="n">
        <v>793.37</v>
      </c>
      <c r="O205" s="4" t="n">
        <v>0</v>
      </c>
      <c r="P205" s="4" t="n">
        <v>0</v>
      </c>
      <c r="Q205" s="4" t="n">
        <v>0</v>
      </c>
      <c r="R205" s="4" t="n">
        <v>695.56</v>
      </c>
      <c r="S205" s="4" t="n">
        <v>725.33</v>
      </c>
      <c r="T205" s="6" t="n">
        <f aca="false">IFERROR(R205/S205-1,"")</f>
        <v>-0.041043387147919</v>
      </c>
      <c r="U205" s="7" t="n">
        <v>1495</v>
      </c>
      <c r="V205" s="8" t="n">
        <v>0.094</v>
      </c>
      <c r="W205" s="4" t="n">
        <f aca="false">R205*K205</f>
        <v>65.4130705129573</v>
      </c>
      <c r="X205" s="4" t="n">
        <f aca="false">R205*V205</f>
        <v>65.38264</v>
      </c>
      <c r="Y205" s="4" t="n">
        <f aca="false">X205-W205</f>
        <v>-0.0304305129572811</v>
      </c>
      <c r="Z205" s="3"/>
      <c r="AA205" s="3" t="s">
        <v>31</v>
      </c>
    </row>
    <row r="206" customFormat="false" ht="15" hidden="false" customHeight="false" outlineLevel="0" collapsed="false">
      <c r="A206" s="3" t="s">
        <v>386</v>
      </c>
      <c r="B206" s="3" t="s">
        <v>430</v>
      </c>
      <c r="C206" s="3" t="s">
        <v>34</v>
      </c>
      <c r="D206" s="3" t="s">
        <v>30</v>
      </c>
      <c r="E206" s="4" t="n">
        <v>12835.29</v>
      </c>
      <c r="F206" s="5" t="n">
        <f aca="false">IFERROR(E206/规则参数!$B$8,0)</f>
        <v>0.000392812138531003</v>
      </c>
      <c r="G206" s="4" t="n">
        <v>1514.17</v>
      </c>
      <c r="H206" s="5" t="n">
        <f aca="false">IFERROR(G206/规则参数!$B$9,0)</f>
        <v>0.000336548662163335</v>
      </c>
      <c r="I206" s="4" t="n">
        <v>770.11</v>
      </c>
      <c r="J206" s="5" t="n">
        <f aca="false">IFERROR(I206/规则参数!$B$10,0)</f>
        <v>0.000159056526197743</v>
      </c>
      <c r="K206" s="6" t="n">
        <f aca="false">IFERROR(I206/E206,0)</f>
        <v>0.0599994234645263</v>
      </c>
      <c r="L206" s="6" t="n">
        <f aca="false">IFERROR(G206/E206,0)</f>
        <v>0.117969286241293</v>
      </c>
      <c r="M206" s="6" t="n">
        <f aca="false">K206+L206</f>
        <v>0.177968709705819</v>
      </c>
      <c r="N206" s="4" t="n">
        <v>523.82</v>
      </c>
      <c r="O206" s="4" t="n">
        <v>3.9</v>
      </c>
      <c r="P206" s="4" t="n">
        <v>242.39</v>
      </c>
      <c r="Q206" s="4" t="n">
        <v>0</v>
      </c>
      <c r="R206" s="4" t="n">
        <v>0</v>
      </c>
      <c r="S206" s="4" t="n">
        <v>0</v>
      </c>
      <c r="T206" s="6" t="str">
        <f aca="false">IFERROR(R206/S206-1,"")</f>
        <v/>
      </c>
      <c r="U206" s="7" t="n">
        <v>0</v>
      </c>
      <c r="V206" s="8" t="n">
        <v>0.06</v>
      </c>
      <c r="W206" s="4" t="n">
        <f aca="false">R206*K206</f>
        <v>0</v>
      </c>
      <c r="X206" s="4" t="n">
        <f aca="false">R206*V206</f>
        <v>0</v>
      </c>
      <c r="Y206" s="4" t="n">
        <f aca="false">X206-W206</f>
        <v>0</v>
      </c>
      <c r="Z206" s="3"/>
      <c r="AA206" s="3" t="s">
        <v>31</v>
      </c>
    </row>
    <row r="207" customFormat="false" ht="15" hidden="false" customHeight="false" outlineLevel="0" collapsed="false">
      <c r="A207" s="3" t="s">
        <v>75</v>
      </c>
      <c r="B207" s="3" t="s">
        <v>431</v>
      </c>
      <c r="C207" s="3" t="s">
        <v>34</v>
      </c>
      <c r="D207" s="3" t="s">
        <v>85</v>
      </c>
      <c r="E207" s="4" t="n">
        <v>3519.56</v>
      </c>
      <c r="F207" s="5" t="n">
        <f aca="false">IFERROR(E207/规则参数!$B$8,0)</f>
        <v>0.000107712867437212</v>
      </c>
      <c r="G207" s="4" t="n">
        <v>-1397.83</v>
      </c>
      <c r="H207" s="5" t="n">
        <f aca="false">IFERROR(G207/规则参数!$B$9,0)</f>
        <v>-0.00031069022397206</v>
      </c>
      <c r="I207" s="4" t="n">
        <v>736.16</v>
      </c>
      <c r="J207" s="5" t="n">
        <f aca="false">IFERROR(I207/规则参数!$B$10,0)</f>
        <v>0.00015204458106729</v>
      </c>
      <c r="K207" s="6" t="n">
        <f aca="false">IFERROR(I207/E207,0)</f>
        <v>0.209162508949982</v>
      </c>
      <c r="L207" s="6" t="n">
        <f aca="false">IFERROR(G207/E207,0)</f>
        <v>-0.397160440509609</v>
      </c>
      <c r="M207" s="6" t="n">
        <f aca="false">K207+L207</f>
        <v>-0.187997931559627</v>
      </c>
      <c r="N207" s="4" t="n">
        <v>736.16</v>
      </c>
      <c r="O207" s="4" t="n">
        <v>0</v>
      </c>
      <c r="P207" s="4" t="n">
        <v>0</v>
      </c>
      <c r="Q207" s="4" t="n">
        <v>0</v>
      </c>
      <c r="R207" s="4" t="n">
        <v>3519.56</v>
      </c>
      <c r="S207" s="4" t="n">
        <v>0</v>
      </c>
      <c r="T207" s="6" t="str">
        <f aca="false">IFERROR(R207/S207-1,"")</f>
        <v/>
      </c>
      <c r="U207" s="7" t="n">
        <v>367</v>
      </c>
      <c r="V207" s="8" t="n">
        <v>0</v>
      </c>
      <c r="W207" s="4" t="n">
        <f aca="false">R207*K207</f>
        <v>736.16</v>
      </c>
      <c r="X207" s="4" t="n">
        <f aca="false">R207*V207</f>
        <v>0</v>
      </c>
      <c r="Y207" s="4" t="n">
        <f aca="false">X207-W207</f>
        <v>-736.16</v>
      </c>
      <c r="Z207" s="3" t="s">
        <v>86</v>
      </c>
      <c r="AA207" s="3" t="s">
        <v>432</v>
      </c>
    </row>
    <row r="208" customFormat="false" ht="15" hidden="false" customHeight="false" outlineLevel="0" collapsed="false">
      <c r="A208" s="3" t="s">
        <v>39</v>
      </c>
      <c r="B208" s="3" t="s">
        <v>433</v>
      </c>
      <c r="C208" s="3" t="s">
        <v>34</v>
      </c>
      <c r="D208" s="3" t="s">
        <v>30</v>
      </c>
      <c r="E208" s="4" t="n">
        <v>6390.15</v>
      </c>
      <c r="F208" s="5" t="n">
        <f aca="false">IFERROR(E208/规则参数!$B$8,0)</f>
        <v>0.000195564610307511</v>
      </c>
      <c r="G208" s="4" t="n">
        <v>458.62</v>
      </c>
      <c r="H208" s="5" t="n">
        <f aca="false">IFERROR(G208/规则参数!$B$9,0)</f>
        <v>0.000101935679244305</v>
      </c>
      <c r="I208" s="4" t="n">
        <v>721.69</v>
      </c>
      <c r="J208" s="5" t="n">
        <f aca="false">IFERROR(I208/规则参数!$B$10,0)</f>
        <v>0.000149055984718611</v>
      </c>
      <c r="K208" s="6" t="n">
        <f aca="false">IFERROR(I208/E208,0)</f>
        <v>0.112937880957411</v>
      </c>
      <c r="L208" s="6" t="n">
        <f aca="false">IFERROR(G208/E208,0)</f>
        <v>0.0717698332590002</v>
      </c>
      <c r="M208" s="6" t="n">
        <f aca="false">K208+L208</f>
        <v>0.184707714216411</v>
      </c>
      <c r="N208" s="4" t="n">
        <v>489.83</v>
      </c>
      <c r="O208" s="4" t="n">
        <v>0</v>
      </c>
      <c r="P208" s="4" t="n">
        <v>231.86</v>
      </c>
      <c r="Q208" s="4" t="n">
        <v>0</v>
      </c>
      <c r="R208" s="4" t="n">
        <v>0</v>
      </c>
      <c r="S208" s="4" t="n">
        <v>554.6</v>
      </c>
      <c r="T208" s="6" t="n">
        <f aca="false">IFERROR(R208/S208-1,"")</f>
        <v>-1</v>
      </c>
      <c r="U208" s="7" t="n">
        <v>0</v>
      </c>
      <c r="V208" s="8" t="n">
        <v>0.0847</v>
      </c>
      <c r="W208" s="4" t="n">
        <f aca="false">R208*K208</f>
        <v>0</v>
      </c>
      <c r="X208" s="4" t="n">
        <f aca="false">R208*V208</f>
        <v>0</v>
      </c>
      <c r="Y208" s="4" t="n">
        <f aca="false">X208-W208</f>
        <v>0</v>
      </c>
      <c r="Z208" s="3"/>
      <c r="AA208" s="3" t="s">
        <v>31</v>
      </c>
    </row>
    <row r="209" customFormat="false" ht="15" hidden="false" customHeight="false" outlineLevel="0" collapsed="false">
      <c r="A209" s="3" t="s">
        <v>434</v>
      </c>
      <c r="B209" s="3" t="s">
        <v>435</v>
      </c>
      <c r="C209" s="3" t="s">
        <v>34</v>
      </c>
      <c r="D209" s="3" t="s">
        <v>46</v>
      </c>
      <c r="E209" s="4" t="n">
        <v>3106.5</v>
      </c>
      <c r="F209" s="5" t="n">
        <f aca="false">IFERROR(E209/规则参数!$B$8,0)</f>
        <v>9.50715494816681E-005</v>
      </c>
      <c r="G209" s="4" t="n">
        <v>335.39</v>
      </c>
      <c r="H209" s="5" t="n">
        <f aca="false">IFERROR(G209/规则参数!$B$9,0)</f>
        <v>7.45458276170845E-005</v>
      </c>
      <c r="I209" s="4" t="n">
        <v>703.26</v>
      </c>
      <c r="J209" s="5" t="n">
        <f aca="false">IFERROR(I209/规则参数!$B$10,0)</f>
        <v>0.000145249500219222</v>
      </c>
      <c r="K209" s="6" t="n">
        <f aca="false">IFERROR(I209/E209,0)</f>
        <v>0.226383389666828</v>
      </c>
      <c r="L209" s="6" t="n">
        <f aca="false">IFERROR(G209/E209,0)</f>
        <v>0.107963946563657</v>
      </c>
      <c r="M209" s="6" t="n">
        <f aca="false">K209+L209</f>
        <v>0.334347336230484</v>
      </c>
      <c r="N209" s="4" t="n">
        <v>703.32</v>
      </c>
      <c r="O209" s="4" t="n">
        <v>-0.06</v>
      </c>
      <c r="P209" s="4" t="n">
        <v>0</v>
      </c>
      <c r="Q209" s="4" t="n">
        <v>0</v>
      </c>
      <c r="R209" s="4" t="n">
        <v>1904.56</v>
      </c>
      <c r="S209" s="4" t="n">
        <v>0</v>
      </c>
      <c r="T209" s="6" t="str">
        <f aca="false">IFERROR(R209/S209-1,"")</f>
        <v/>
      </c>
      <c r="U209" s="7" t="n">
        <v>578</v>
      </c>
      <c r="V209" s="8" t="n">
        <v>0.18</v>
      </c>
      <c r="W209" s="4" t="n">
        <f aca="false">R209*K209</f>
        <v>431.160748623853</v>
      </c>
      <c r="X209" s="4" t="n">
        <f aca="false">R209*V209</f>
        <v>342.8208</v>
      </c>
      <c r="Y209" s="4" t="n">
        <f aca="false">X209-W209</f>
        <v>-88.3399486238532</v>
      </c>
      <c r="Z209" s="3" t="s">
        <v>69</v>
      </c>
      <c r="AA209" s="3" t="s">
        <v>436</v>
      </c>
    </row>
    <row r="210" customFormat="false" ht="15" hidden="false" customHeight="false" outlineLevel="0" collapsed="false">
      <c r="A210" s="3" t="s">
        <v>370</v>
      </c>
      <c r="B210" s="3" t="s">
        <v>437</v>
      </c>
      <c r="C210" s="3" t="s">
        <v>34</v>
      </c>
      <c r="D210" s="3" t="s">
        <v>30</v>
      </c>
      <c r="E210" s="4" t="n">
        <v>25129.99</v>
      </c>
      <c r="F210" s="5" t="n">
        <f aca="false">IFERROR(E210/规则参数!$B$8,0)</f>
        <v>0.000769080021811951</v>
      </c>
      <c r="G210" s="4" t="n">
        <v>7752.09</v>
      </c>
      <c r="H210" s="5" t="n">
        <f aca="false">IFERROR(G210/规则参数!$B$9,0)</f>
        <v>0.00172302681896337</v>
      </c>
      <c r="I210" s="4" t="n">
        <v>697.79</v>
      </c>
      <c r="J210" s="5" t="n">
        <f aca="false">IFERROR(I210/规则参数!$B$10,0)</f>
        <v>0.000144119740576701</v>
      </c>
      <c r="K210" s="6" t="n">
        <f aca="false">IFERROR(I210/E210,0)</f>
        <v>0.0277672215548036</v>
      </c>
      <c r="L210" s="6" t="n">
        <f aca="false">IFERROR(G210/E210,0)</f>
        <v>0.308479629319391</v>
      </c>
      <c r="M210" s="6" t="n">
        <f aca="false">K210+L210</f>
        <v>0.336246850874195</v>
      </c>
      <c r="N210" s="4" t="n">
        <v>503.05</v>
      </c>
      <c r="O210" s="4" t="n">
        <v>0</v>
      </c>
      <c r="P210" s="4" t="n">
        <v>194.74</v>
      </c>
      <c r="Q210" s="4" t="n">
        <v>0</v>
      </c>
      <c r="R210" s="4" t="n">
        <v>301.03</v>
      </c>
      <c r="S210" s="4" t="n">
        <v>158.11</v>
      </c>
      <c r="T210" s="6" t="n">
        <f aca="false">IFERROR(R210/S210-1,"")</f>
        <v>0.903927645310227</v>
      </c>
      <c r="U210" s="7" t="n">
        <v>0</v>
      </c>
      <c r="V210" s="8" t="n">
        <v>0.0278</v>
      </c>
      <c r="W210" s="4" t="n">
        <f aca="false">R210*K210</f>
        <v>8.35876670464254</v>
      </c>
      <c r="X210" s="4" t="n">
        <f aca="false">R210*V210</f>
        <v>8.368634</v>
      </c>
      <c r="Y210" s="4" t="n">
        <f aca="false">X210-W210</f>
        <v>0.00986729535745923</v>
      </c>
      <c r="Z210" s="3"/>
      <c r="AA210" s="3" t="s">
        <v>31</v>
      </c>
    </row>
    <row r="211" customFormat="false" ht="15" hidden="false" customHeight="false" outlineLevel="0" collapsed="false">
      <c r="A211" s="3" t="s">
        <v>39</v>
      </c>
      <c r="B211" s="3" t="s">
        <v>438</v>
      </c>
      <c r="C211" s="3" t="s">
        <v>34</v>
      </c>
      <c r="D211" s="3" t="s">
        <v>30</v>
      </c>
      <c r="E211" s="4" t="n">
        <v>8240.21</v>
      </c>
      <c r="F211" s="5" t="n">
        <f aca="false">IFERROR(E211/规则参数!$B$8,0)</f>
        <v>0.000252183979640862</v>
      </c>
      <c r="G211" s="4" t="n">
        <v>923.36</v>
      </c>
      <c r="H211" s="5" t="n">
        <f aca="false">IFERROR(G211/规则参数!$B$9,0)</f>
        <v>0.000205231627026778</v>
      </c>
      <c r="I211" s="4" t="n">
        <v>610.39</v>
      </c>
      <c r="J211" s="5" t="n">
        <f aca="false">IFERROR(I211/规则参数!$B$10,0)</f>
        <v>0.000126068370785785</v>
      </c>
      <c r="K211" s="6" t="n">
        <f aca="false">IFERROR(I211/E211,0)</f>
        <v>0.074074568487939</v>
      </c>
      <c r="L211" s="6" t="n">
        <f aca="false">IFERROR(G211/E211,0)</f>
        <v>0.112055396646445</v>
      </c>
      <c r="M211" s="6" t="n">
        <f aca="false">K211+L211</f>
        <v>0.186129965134384</v>
      </c>
      <c r="N211" s="4" t="n">
        <v>481.45</v>
      </c>
      <c r="O211" s="4" t="n">
        <v>3.15</v>
      </c>
      <c r="P211" s="4" t="n">
        <v>125.79</v>
      </c>
      <c r="Q211" s="4" t="n">
        <v>0</v>
      </c>
      <c r="R211" s="4" t="n">
        <v>1221.07</v>
      </c>
      <c r="S211" s="4" t="n">
        <v>489.54</v>
      </c>
      <c r="T211" s="6" t="n">
        <f aca="false">IFERROR(R211/S211-1,"")</f>
        <v>1.4943211994934</v>
      </c>
      <c r="U211" s="7" t="n">
        <v>86</v>
      </c>
      <c r="V211" s="8" t="n">
        <v>0.0741</v>
      </c>
      <c r="W211" s="4" t="n">
        <f aca="false">R211*K211</f>
        <v>90.4502333435677</v>
      </c>
      <c r="X211" s="4" t="n">
        <f aca="false">R211*V211</f>
        <v>90.481287</v>
      </c>
      <c r="Y211" s="4" t="n">
        <f aca="false">X211-W211</f>
        <v>0.0310536564322916</v>
      </c>
      <c r="Z211" s="3"/>
      <c r="AA211" s="3" t="s">
        <v>31</v>
      </c>
    </row>
    <row r="212" customFormat="false" ht="15" hidden="false" customHeight="false" outlineLevel="0" collapsed="false">
      <c r="A212" s="3" t="s">
        <v>169</v>
      </c>
      <c r="B212" s="3" t="s">
        <v>439</v>
      </c>
      <c r="C212" s="3" t="s">
        <v>34</v>
      </c>
      <c r="D212" s="3" t="s">
        <v>30</v>
      </c>
      <c r="E212" s="4" t="n">
        <v>4575.81</v>
      </c>
      <c r="F212" s="5" t="n">
        <f aca="false">IFERROR(E212/规则参数!$B$8,0)</f>
        <v>0.000140038418423857</v>
      </c>
      <c r="G212" s="4" t="n">
        <v>1195.54</v>
      </c>
      <c r="H212" s="5" t="n">
        <f aca="false">IFERROR(G212/规则参数!$B$9,0)</f>
        <v>0.000265728014399145</v>
      </c>
      <c r="I212" s="4" t="n">
        <v>606.6</v>
      </c>
      <c r="J212" s="5" t="n">
        <f aca="false">IFERROR(I212/规则参数!$B$10,0)</f>
        <v>0.00012528559399508</v>
      </c>
      <c r="K212" s="6" t="n">
        <f aca="false">IFERROR(I212/E212,0)</f>
        <v>0.132566693110072</v>
      </c>
      <c r="L212" s="6" t="n">
        <f aca="false">IFERROR(G212/E212,0)</f>
        <v>0.261273960238734</v>
      </c>
      <c r="M212" s="6" t="n">
        <f aca="false">K212+L212</f>
        <v>0.393840653348806</v>
      </c>
      <c r="N212" s="4" t="n">
        <v>610.34</v>
      </c>
      <c r="O212" s="4" t="n">
        <v>-2.99</v>
      </c>
      <c r="P212" s="4" t="n">
        <v>-0.75</v>
      </c>
      <c r="Q212" s="4" t="n">
        <v>0</v>
      </c>
      <c r="R212" s="4" t="n">
        <v>0</v>
      </c>
      <c r="S212" s="4" t="n">
        <v>0</v>
      </c>
      <c r="T212" s="6" t="str">
        <f aca="false">IFERROR(R212/S212-1,"")</f>
        <v/>
      </c>
      <c r="U212" s="7" t="n">
        <v>0</v>
      </c>
      <c r="V212" s="8" t="n">
        <v>0.1326</v>
      </c>
      <c r="W212" s="4" t="n">
        <f aca="false">R212*K212</f>
        <v>0</v>
      </c>
      <c r="X212" s="4" t="n">
        <f aca="false">R212*V212</f>
        <v>0</v>
      </c>
      <c r="Y212" s="4" t="n">
        <f aca="false">X212-W212</f>
        <v>0</v>
      </c>
      <c r="Z212" s="3"/>
      <c r="AA212" s="3" t="s">
        <v>31</v>
      </c>
    </row>
    <row r="213" customFormat="false" ht="15" hidden="false" customHeight="false" outlineLevel="0" collapsed="false">
      <c r="A213" s="3" t="s">
        <v>321</v>
      </c>
      <c r="B213" s="9" t="s">
        <v>440</v>
      </c>
      <c r="C213" s="3" t="s">
        <v>34</v>
      </c>
      <c r="D213" s="3" t="s">
        <v>30</v>
      </c>
      <c r="E213" s="4" t="n">
        <v>12153.5</v>
      </c>
      <c r="F213" s="5" t="n">
        <f aca="false">IFERROR(E213/规则参数!$B$8,0)</f>
        <v>0.000371946588323017</v>
      </c>
      <c r="G213" s="4" t="n">
        <v>3648.08</v>
      </c>
      <c r="H213" s="5" t="n">
        <f aca="false">IFERROR(G213/规则参数!$B$9,0)</f>
        <v>0.000810844517765388</v>
      </c>
      <c r="I213" s="4" t="n">
        <v>598.49</v>
      </c>
      <c r="J213" s="5" t="n">
        <f aca="false">IFERROR(I213/规则参数!$B$10,0)</f>
        <v>0.00012361057558542</v>
      </c>
      <c r="K213" s="6" t="n">
        <f aca="false">IFERROR(I213/E213,0)</f>
        <v>0.0492442506273913</v>
      </c>
      <c r="L213" s="6" t="n">
        <f aca="false">IFERROR(G213/E213,0)</f>
        <v>0.300167030073641</v>
      </c>
      <c r="M213" s="6" t="n">
        <f aca="false">K213+L213</f>
        <v>0.349411280701033</v>
      </c>
      <c r="N213" s="4" t="n">
        <v>598.49</v>
      </c>
      <c r="O213" s="4" t="n">
        <v>0</v>
      </c>
      <c r="P213" s="4" t="n">
        <v>0</v>
      </c>
      <c r="Q213" s="4" t="n">
        <v>0</v>
      </c>
      <c r="R213" s="4" t="n">
        <v>1197.95</v>
      </c>
      <c r="S213" s="4" t="n">
        <v>3031.06</v>
      </c>
      <c r="T213" s="6" t="n">
        <f aca="false">IFERROR(R213/S213-1,"")</f>
        <v>-0.604775227148258</v>
      </c>
      <c r="U213" s="7" t="n">
        <v>0</v>
      </c>
      <c r="V213" s="8" t="n">
        <v>0.0492</v>
      </c>
      <c r="W213" s="4" t="n">
        <f aca="false">R213*K213</f>
        <v>58.9921500390834</v>
      </c>
      <c r="X213" s="4" t="n">
        <f aca="false">R213*V213</f>
        <v>58.93914</v>
      </c>
      <c r="Y213" s="4" t="n">
        <f aca="false">X213-W213</f>
        <v>-0.0530100390833965</v>
      </c>
      <c r="Z213" s="3"/>
      <c r="AA213" s="3" t="s">
        <v>31</v>
      </c>
    </row>
    <row r="214" customFormat="false" ht="15" hidden="false" customHeight="false" outlineLevel="0" collapsed="false">
      <c r="A214" s="3" t="s">
        <v>39</v>
      </c>
      <c r="B214" s="3" t="s">
        <v>441</v>
      </c>
      <c r="C214" s="3" t="s">
        <v>34</v>
      </c>
      <c r="D214" s="3" t="s">
        <v>30</v>
      </c>
      <c r="E214" s="4" t="n">
        <v>5371.84</v>
      </c>
      <c r="F214" s="5" t="n">
        <f aca="false">IFERROR(E214/规则参数!$B$8,0)</f>
        <v>0.00016440017781027</v>
      </c>
      <c r="G214" s="4" t="n">
        <v>3.93</v>
      </c>
      <c r="H214" s="5" t="n">
        <f aca="false">IFERROR(G214/规则参数!$B$9,0)</f>
        <v>8.73505776961573E-007</v>
      </c>
      <c r="I214" s="4" t="n">
        <v>581.66</v>
      </c>
      <c r="J214" s="5" t="n">
        <f aca="false">IFERROR(I214/规则参数!$B$10,0)</f>
        <v>0.000120134550944903</v>
      </c>
      <c r="K214" s="6" t="n">
        <f aca="false">IFERROR(I214/E214,0)</f>
        <v>0.108279472210639</v>
      </c>
      <c r="L214" s="6" t="n">
        <f aca="false">IFERROR(G214/E214,0)</f>
        <v>0.00073159289926729</v>
      </c>
      <c r="M214" s="6" t="n">
        <f aca="false">K214+L214</f>
        <v>0.109011065109906</v>
      </c>
      <c r="N214" s="4" t="n">
        <v>365.29</v>
      </c>
      <c r="O214" s="4" t="n">
        <v>136.02</v>
      </c>
      <c r="P214" s="4" t="n">
        <v>80.35</v>
      </c>
      <c r="Q214" s="4" t="n">
        <v>0</v>
      </c>
      <c r="R214" s="4" t="n">
        <v>548.38</v>
      </c>
      <c r="S214" s="4" t="n">
        <v>887.88</v>
      </c>
      <c r="T214" s="6" t="n">
        <f aca="false">IFERROR(R214/S214-1,"")</f>
        <v>-0.382371491643015</v>
      </c>
      <c r="U214" s="7" t="n">
        <v>114</v>
      </c>
      <c r="V214" s="8" t="n">
        <v>0.009</v>
      </c>
      <c r="W214" s="4" t="n">
        <f aca="false">R214*K214</f>
        <v>59.3782969708703</v>
      </c>
      <c r="X214" s="4" t="n">
        <f aca="false">R214*V214</f>
        <v>4.93542</v>
      </c>
      <c r="Y214" s="4" t="n">
        <f aca="false">X214-W214</f>
        <v>-54.4428769708703</v>
      </c>
      <c r="Z214" s="3"/>
      <c r="AA214" s="3" t="s">
        <v>31</v>
      </c>
    </row>
    <row r="215" customFormat="false" ht="15" hidden="false" customHeight="false" outlineLevel="0" collapsed="false">
      <c r="A215" s="9" t="s">
        <v>419</v>
      </c>
      <c r="B215" s="3" t="s">
        <v>442</v>
      </c>
      <c r="C215" s="3" t="s">
        <v>29</v>
      </c>
      <c r="D215" s="3" t="s">
        <v>30</v>
      </c>
      <c r="E215" s="4" t="n">
        <v>2943.96</v>
      </c>
      <c r="F215" s="5" t="n">
        <f aca="false">IFERROR(E215/规则参数!$B$8,0)</f>
        <v>9.00971636285375E-005</v>
      </c>
      <c r="G215" s="4" t="n">
        <v>685.56</v>
      </c>
      <c r="H215" s="5" t="n">
        <f aca="false">IFERROR(G215/规则参数!$B$9,0)</f>
        <v>0.000152376748207068</v>
      </c>
      <c r="I215" s="4" t="n">
        <v>559.4</v>
      </c>
      <c r="J215" s="5" t="n">
        <f aca="false">IFERROR(I215/规则参数!$B$10,0)</f>
        <v>0.000115537028158338</v>
      </c>
      <c r="K215" s="6" t="n">
        <f aca="false">IFERROR(I215/E215,0)</f>
        <v>0.190016168697944</v>
      </c>
      <c r="L215" s="6" t="n">
        <f aca="false">IFERROR(G215/E215,0)</f>
        <v>0.232870011820813</v>
      </c>
      <c r="M215" s="6" t="n">
        <f aca="false">K215+L215</f>
        <v>0.422886180518757</v>
      </c>
      <c r="N215" s="4" t="n">
        <v>559.51</v>
      </c>
      <c r="O215" s="4" t="n">
        <v>-0.11</v>
      </c>
      <c r="P215" s="4" t="n">
        <v>0</v>
      </c>
      <c r="Q215" s="4" t="n">
        <v>0</v>
      </c>
      <c r="R215" s="4" t="n">
        <v>0</v>
      </c>
      <c r="S215" s="4" t="n">
        <v>0</v>
      </c>
      <c r="T215" s="6" t="str">
        <f aca="false">IFERROR(R215/S215-1,"")</f>
        <v/>
      </c>
      <c r="U215" s="7" t="n">
        <v>0</v>
      </c>
      <c r="V215" s="8" t="n">
        <v>0.15</v>
      </c>
      <c r="W215" s="4" t="n">
        <f aca="false">R215*K215</f>
        <v>0</v>
      </c>
      <c r="X215" s="4" t="n">
        <f aca="false">R215*V215</f>
        <v>0</v>
      </c>
      <c r="Y215" s="4" t="n">
        <f aca="false">X215-W215</f>
        <v>0</v>
      </c>
      <c r="Z215" s="3"/>
      <c r="AA215" s="3" t="s">
        <v>31</v>
      </c>
    </row>
    <row r="216" customFormat="false" ht="15" hidden="false" customHeight="false" outlineLevel="0" collapsed="false">
      <c r="A216" s="3" t="s">
        <v>327</v>
      </c>
      <c r="B216" s="3" t="s">
        <v>443</v>
      </c>
      <c r="C216" s="3" t="s">
        <v>29</v>
      </c>
      <c r="D216" s="3" t="s">
        <v>30</v>
      </c>
      <c r="E216" s="4" t="n">
        <v>8144.41</v>
      </c>
      <c r="F216" s="5" t="n">
        <f aca="false">IFERROR(E216/规则参数!$B$8,0)</f>
        <v>0.000249252109549008</v>
      </c>
      <c r="G216" s="4" t="n">
        <v>1616.28</v>
      </c>
      <c r="H216" s="5" t="n">
        <f aca="false">IFERROR(G216/规则参数!$B$9,0)</f>
        <v>0.000359244253737265</v>
      </c>
      <c r="I216" s="4" t="n">
        <v>549.52</v>
      </c>
      <c r="J216" s="5" t="n">
        <f aca="false">IFERROR(I216/规则参数!$B$10,0)</f>
        <v>0.0001134964385298</v>
      </c>
      <c r="K216" s="6" t="n">
        <f aca="false">IFERROR(I216/E216,0)</f>
        <v>0.0674720452433019</v>
      </c>
      <c r="L216" s="6" t="n">
        <f aca="false">IFERROR(G216/E216,0)</f>
        <v>0.198452681041352</v>
      </c>
      <c r="M216" s="6" t="n">
        <f aca="false">K216+L216</f>
        <v>0.265924726284654</v>
      </c>
      <c r="N216" s="4" t="n">
        <v>551.08</v>
      </c>
      <c r="O216" s="4" t="n">
        <v>-11.58</v>
      </c>
      <c r="P216" s="4" t="n">
        <v>10.02</v>
      </c>
      <c r="Q216" s="4" t="n">
        <v>0</v>
      </c>
      <c r="R216" s="4" t="n">
        <v>173.94</v>
      </c>
      <c r="S216" s="4" t="n">
        <v>289.4</v>
      </c>
      <c r="T216" s="6" t="n">
        <f aca="false">IFERROR(R216/S216-1,"")</f>
        <v>-0.398963372494817</v>
      </c>
      <c r="U216" s="7" t="n">
        <v>0</v>
      </c>
      <c r="V216" s="8" t="n">
        <v>0.0675</v>
      </c>
      <c r="W216" s="4" t="n">
        <f aca="false">R216*K216</f>
        <v>11.7360875496199</v>
      </c>
      <c r="X216" s="4" t="n">
        <f aca="false">R216*V216</f>
        <v>11.74095</v>
      </c>
      <c r="Y216" s="4" t="n">
        <f aca="false">X216-W216</f>
        <v>0.00486245038007738</v>
      </c>
      <c r="Z216" s="3"/>
      <c r="AA216" s="3" t="s">
        <v>31</v>
      </c>
    </row>
    <row r="217" customFormat="false" ht="15" hidden="false" customHeight="false" outlineLevel="0" collapsed="false">
      <c r="A217" s="9" t="s">
        <v>419</v>
      </c>
      <c r="B217" s="9" t="s">
        <v>444</v>
      </c>
      <c r="C217" s="3" t="s">
        <v>29</v>
      </c>
      <c r="D217" s="3" t="s">
        <v>30</v>
      </c>
      <c r="E217" s="4" t="n">
        <v>6278.7</v>
      </c>
      <c r="F217" s="5" t="n">
        <f aca="false">IFERROR(E217/规则参数!$B$8,0)</f>
        <v>0.000192153786489795</v>
      </c>
      <c r="G217" s="4" t="n">
        <v>2348.96</v>
      </c>
      <c r="H217" s="5" t="n">
        <f aca="false">IFERROR(G217/规则参数!$B$9,0)</f>
        <v>0.000522094180623831</v>
      </c>
      <c r="I217" s="4" t="n">
        <v>543.8</v>
      </c>
      <c r="J217" s="5" t="n">
        <f aca="false">IFERROR(I217/规则参数!$B$10,0)</f>
        <v>0.00011231504453433</v>
      </c>
      <c r="K217" s="6" t="n">
        <f aca="false">IFERROR(I217/E217,0)</f>
        <v>0.0866102855686687</v>
      </c>
      <c r="L217" s="6" t="n">
        <f aca="false">IFERROR(G217/E217,0)</f>
        <v>0.374115660885215</v>
      </c>
      <c r="M217" s="6" t="n">
        <f aca="false">K217+L217</f>
        <v>0.460725946453884</v>
      </c>
      <c r="N217" s="4" t="n">
        <v>543.8</v>
      </c>
      <c r="O217" s="4" t="n">
        <v>-0.1</v>
      </c>
      <c r="P217" s="4" t="n">
        <v>0.1</v>
      </c>
      <c r="Q217" s="4" t="n">
        <v>0</v>
      </c>
      <c r="R217" s="4" t="n">
        <v>0</v>
      </c>
      <c r="S217" s="4" t="n">
        <v>0</v>
      </c>
      <c r="T217" s="6" t="str">
        <f aca="false">IFERROR(R217/S217-1,"")</f>
        <v/>
      </c>
      <c r="U217" s="7" t="n">
        <v>0</v>
      </c>
      <c r="V217" s="8" t="n">
        <v>0.0866</v>
      </c>
      <c r="W217" s="4" t="n">
        <f aca="false">R217*K217</f>
        <v>0</v>
      </c>
      <c r="X217" s="4" t="n">
        <f aca="false">R217*V217</f>
        <v>0</v>
      </c>
      <c r="Y217" s="4" t="n">
        <f aca="false">X217-W217</f>
        <v>0</v>
      </c>
      <c r="Z217" s="3"/>
      <c r="AA217" s="3" t="s">
        <v>31</v>
      </c>
    </row>
    <row r="218" customFormat="false" ht="15" hidden="false" customHeight="false" outlineLevel="0" collapsed="false">
      <c r="A218" s="3" t="s">
        <v>160</v>
      </c>
      <c r="B218" s="3" t="s">
        <v>445</v>
      </c>
      <c r="C218" s="3" t="s">
        <v>34</v>
      </c>
      <c r="D218" s="3" t="s">
        <v>85</v>
      </c>
      <c r="E218" s="4" t="n">
        <v>4946.45</v>
      </c>
      <c r="F218" s="5" t="n">
        <f aca="false">IFERROR(E218/规则参数!$B$8,0)</f>
        <v>0.000151381511647706</v>
      </c>
      <c r="G218" s="4" t="n">
        <v>-957.3</v>
      </c>
      <c r="H218" s="5" t="n">
        <f aca="false">IFERROR(G218/规则参数!$B$9,0)</f>
        <v>-0.000212775338494991</v>
      </c>
      <c r="I218" s="4" t="n">
        <v>542.19</v>
      </c>
      <c r="J218" s="5" t="n">
        <f aca="false">IFERROR(I218/规则参数!$B$10,0)</f>
        <v>0.000111982519301339</v>
      </c>
      <c r="K218" s="6" t="n">
        <f aca="false">IFERROR(I218/E218,0)</f>
        <v>0.109611943919377</v>
      </c>
      <c r="L218" s="6" t="n">
        <f aca="false">IFERROR(G218/E218,0)</f>
        <v>-0.193532735598257</v>
      </c>
      <c r="M218" s="6" t="n">
        <f aca="false">K218+L218</f>
        <v>-0.0839207916788808</v>
      </c>
      <c r="N218" s="4" t="n">
        <v>541.3</v>
      </c>
      <c r="O218" s="4" t="n">
        <v>0</v>
      </c>
      <c r="P218" s="4" t="n">
        <v>0.89</v>
      </c>
      <c r="Q218" s="4" t="n">
        <v>0</v>
      </c>
      <c r="R218" s="4" t="n">
        <v>4946.45</v>
      </c>
      <c r="S218" s="4" t="n">
        <v>0</v>
      </c>
      <c r="T218" s="6" t="str">
        <f aca="false">IFERROR(R218/S218-1,"")</f>
        <v/>
      </c>
      <c r="U218" s="7" t="n">
        <v>218</v>
      </c>
      <c r="V218" s="8" t="n">
        <v>0</v>
      </c>
      <c r="W218" s="4" t="n">
        <f aca="false">R218*K218</f>
        <v>542.19</v>
      </c>
      <c r="X218" s="4" t="n">
        <f aca="false">R218*V218</f>
        <v>0</v>
      </c>
      <c r="Y218" s="4" t="n">
        <f aca="false">X218-W218</f>
        <v>-542.19</v>
      </c>
      <c r="Z218" s="3" t="s">
        <v>86</v>
      </c>
      <c r="AA218" s="3" t="s">
        <v>446</v>
      </c>
    </row>
    <row r="219" customFormat="false" ht="15" hidden="false" customHeight="false" outlineLevel="0" collapsed="false">
      <c r="A219" s="3" t="s">
        <v>184</v>
      </c>
      <c r="B219" s="3" t="s">
        <v>447</v>
      </c>
      <c r="C219" s="3" t="s">
        <v>34</v>
      </c>
      <c r="D219" s="3" t="s">
        <v>30</v>
      </c>
      <c r="E219" s="4" t="n">
        <v>18955.44</v>
      </c>
      <c r="F219" s="5" t="n">
        <f aca="false">IFERROR(E219/规则参数!$B$8,0)</f>
        <v>0.000580113649414708</v>
      </c>
      <c r="G219" s="4" t="n">
        <v>3760.57</v>
      </c>
      <c r="H219" s="5" t="n">
        <f aca="false">IFERROR(G219/规则参数!$B$9,0)</f>
        <v>0.000835847231467782</v>
      </c>
      <c r="I219" s="4" t="n">
        <v>537.93</v>
      </c>
      <c r="J219" s="5" t="n">
        <f aca="false">IFERROR(I219/规则参数!$B$10,0)</f>
        <v>0.000111102669927091</v>
      </c>
      <c r="K219" s="6" t="n">
        <f aca="false">IFERROR(I219/E219,0)</f>
        <v>0.0283786606905458</v>
      </c>
      <c r="L219" s="6" t="n">
        <f aca="false">IFERROR(G219/E219,0)</f>
        <v>0.198390013631971</v>
      </c>
      <c r="M219" s="6" t="n">
        <f aca="false">K219+L219</f>
        <v>0.226768674322516</v>
      </c>
      <c r="N219" s="4" t="n">
        <v>536.83</v>
      </c>
      <c r="O219" s="4" t="n">
        <v>0</v>
      </c>
      <c r="P219" s="4" t="n">
        <v>1.1</v>
      </c>
      <c r="Q219" s="4" t="n">
        <v>0</v>
      </c>
      <c r="R219" s="4" t="n">
        <v>899.07</v>
      </c>
      <c r="S219" s="4" t="n">
        <v>1026.69</v>
      </c>
      <c r="T219" s="6" t="n">
        <f aca="false">IFERROR(R219/S219-1,"")</f>
        <v>-0.124302369751337</v>
      </c>
      <c r="U219" s="7" t="n">
        <v>173</v>
      </c>
      <c r="V219" s="8" t="n">
        <v>0.0284</v>
      </c>
      <c r="W219" s="4" t="n">
        <f aca="false">R219*K219</f>
        <v>25.514402467049</v>
      </c>
      <c r="X219" s="4" t="n">
        <f aca="false">R219*V219</f>
        <v>25.533588</v>
      </c>
      <c r="Y219" s="4" t="n">
        <f aca="false">X219-W219</f>
        <v>0.0191855329509636</v>
      </c>
      <c r="Z219" s="3"/>
      <c r="AA219" s="3" t="s">
        <v>31</v>
      </c>
    </row>
    <row r="220" customFormat="false" ht="15" hidden="false" customHeight="false" outlineLevel="0" collapsed="false">
      <c r="A220" s="3" t="s">
        <v>169</v>
      </c>
      <c r="B220" s="3" t="s">
        <v>448</v>
      </c>
      <c r="C220" s="3" t="s">
        <v>29</v>
      </c>
      <c r="D220" s="3" t="s">
        <v>30</v>
      </c>
      <c r="E220" s="4" t="n">
        <v>5040.63</v>
      </c>
      <c r="F220" s="5" t="n">
        <f aca="false">IFERROR(E220/规则参数!$B$8,0)</f>
        <v>0.000154263803143016</v>
      </c>
      <c r="G220" s="4" t="n">
        <v>935.58</v>
      </c>
      <c r="H220" s="5" t="n">
        <f aca="false">IFERROR(G220/规则参数!$B$9,0)</f>
        <v>0.000207947718781096</v>
      </c>
      <c r="I220" s="4" t="n">
        <v>492.37</v>
      </c>
      <c r="J220" s="5" t="n">
        <f aca="false">IFERROR(I220/规则参数!$B$10,0)</f>
        <v>0.000101692825445693</v>
      </c>
      <c r="K220" s="6" t="n">
        <f aca="false">IFERROR(I220/E220,0)</f>
        <v>0.0976802502861745</v>
      </c>
      <c r="L220" s="6" t="n">
        <f aca="false">IFERROR(G220/E220,0)</f>
        <v>0.185607751412026</v>
      </c>
      <c r="M220" s="6" t="n">
        <f aca="false">K220+L220</f>
        <v>0.2832880016982</v>
      </c>
      <c r="N220" s="4" t="n">
        <v>490.01</v>
      </c>
      <c r="O220" s="4" t="n">
        <v>2.84</v>
      </c>
      <c r="P220" s="4" t="n">
        <v>-0.48</v>
      </c>
      <c r="Q220" s="4" t="n">
        <v>0</v>
      </c>
      <c r="R220" s="4" t="n">
        <v>0</v>
      </c>
      <c r="S220" s="4" t="n">
        <v>0</v>
      </c>
      <c r="T220" s="6" t="str">
        <f aca="false">IFERROR(R220/S220-1,"")</f>
        <v/>
      </c>
      <c r="U220" s="7" t="n">
        <v>0</v>
      </c>
      <c r="V220" s="8" t="n">
        <v>0.0977</v>
      </c>
      <c r="W220" s="4" t="n">
        <f aca="false">R220*K220</f>
        <v>0</v>
      </c>
      <c r="X220" s="4" t="n">
        <f aca="false">R220*V220</f>
        <v>0</v>
      </c>
      <c r="Y220" s="4" t="n">
        <f aca="false">X220-W220</f>
        <v>0</v>
      </c>
      <c r="Z220" s="3"/>
      <c r="AA220" s="3" t="s">
        <v>31</v>
      </c>
    </row>
    <row r="221" customFormat="false" ht="15" hidden="false" customHeight="false" outlineLevel="0" collapsed="false">
      <c r="A221" s="9" t="s">
        <v>419</v>
      </c>
      <c r="B221" s="9" t="s">
        <v>449</v>
      </c>
      <c r="C221" s="3" t="s">
        <v>29</v>
      </c>
      <c r="D221" s="3" t="s">
        <v>30</v>
      </c>
      <c r="E221" s="4" t="n">
        <v>4932.13</v>
      </c>
      <c r="F221" s="5" t="n">
        <f aca="false">IFERROR(E221/规则参数!$B$8,0)</f>
        <v>0.000150943261337524</v>
      </c>
      <c r="G221" s="4" t="n">
        <v>1528.32</v>
      </c>
      <c r="H221" s="5" t="n">
        <f aca="false">IFERROR(G221/规则参数!$B$9,0)</f>
        <v>0.000339693727492598</v>
      </c>
      <c r="I221" s="4" t="n">
        <v>465.46</v>
      </c>
      <c r="J221" s="5" t="n">
        <f aca="false">IFERROR(I221/规则参数!$B$10,0)</f>
        <v>9.61349036942795E-005</v>
      </c>
      <c r="K221" s="6" t="n">
        <f aca="false">IFERROR(I221/E221,0)</f>
        <v>0.0943730193648586</v>
      </c>
      <c r="L221" s="6" t="n">
        <f aca="false">IFERROR(G221/E221,0)</f>
        <v>0.309870177793367</v>
      </c>
      <c r="M221" s="6" t="n">
        <f aca="false">K221+L221</f>
        <v>0.404243197158226</v>
      </c>
      <c r="N221" s="4" t="n">
        <v>465.25</v>
      </c>
      <c r="O221" s="4" t="n">
        <v>-0.13</v>
      </c>
      <c r="P221" s="4" t="n">
        <v>0.34</v>
      </c>
      <c r="Q221" s="4" t="n">
        <v>0</v>
      </c>
      <c r="R221" s="4" t="n">
        <v>0</v>
      </c>
      <c r="S221" s="4" t="n">
        <v>0</v>
      </c>
      <c r="T221" s="6" t="str">
        <f aca="false">IFERROR(R221/S221-1,"")</f>
        <v/>
      </c>
      <c r="U221" s="7" t="n">
        <v>0</v>
      </c>
      <c r="V221" s="8" t="n">
        <v>0.0944</v>
      </c>
      <c r="W221" s="4" t="n">
        <f aca="false">R221*K221</f>
        <v>0</v>
      </c>
      <c r="X221" s="4" t="n">
        <f aca="false">R221*V221</f>
        <v>0</v>
      </c>
      <c r="Y221" s="4" t="n">
        <f aca="false">X221-W221</f>
        <v>0</v>
      </c>
      <c r="Z221" s="3"/>
      <c r="AA221" s="3" t="s">
        <v>31</v>
      </c>
    </row>
    <row r="222" customFormat="false" ht="15" hidden="false" customHeight="false" outlineLevel="0" collapsed="false">
      <c r="A222" s="9" t="s">
        <v>419</v>
      </c>
      <c r="B222" s="3" t="s">
        <v>450</v>
      </c>
      <c r="C222" s="3" t="s">
        <v>34</v>
      </c>
      <c r="D222" s="3" t="s">
        <v>30</v>
      </c>
      <c r="E222" s="4" t="n">
        <v>12479.47</v>
      </c>
      <c r="F222" s="5" t="n">
        <f aca="false">IFERROR(E222/规则参数!$B$8,0)</f>
        <v>0.000381922597653305</v>
      </c>
      <c r="G222" s="4" t="n">
        <v>4094.93</v>
      </c>
      <c r="H222" s="5" t="n">
        <f aca="false">IFERROR(G222/规则参数!$B$9,0)</f>
        <v>0.000910164125000828</v>
      </c>
      <c r="I222" s="4" t="n">
        <v>436.85</v>
      </c>
      <c r="J222" s="5" t="n">
        <f aca="false">IFERROR(I222/规则参数!$B$10,0)</f>
        <v>9.02258683428136E-005</v>
      </c>
      <c r="K222" s="6" t="n">
        <f aca="false">IFERROR(I222/E222,0)</f>
        <v>0.0350054930217389</v>
      </c>
      <c r="L222" s="6" t="n">
        <f aca="false">IFERROR(G222/E222,0)</f>
        <v>0.32813332617491</v>
      </c>
      <c r="M222" s="6" t="n">
        <f aca="false">K222+L222</f>
        <v>0.363138819196649</v>
      </c>
      <c r="N222" s="4" t="n">
        <v>436.87</v>
      </c>
      <c r="O222" s="4" t="n">
        <v>-0.05</v>
      </c>
      <c r="P222" s="4" t="n">
        <v>0.03</v>
      </c>
      <c r="Q222" s="4" t="n">
        <v>0</v>
      </c>
      <c r="R222" s="4" t="n">
        <v>713.32</v>
      </c>
      <c r="S222" s="4" t="n">
        <v>600.39</v>
      </c>
      <c r="T222" s="6" t="n">
        <f aca="false">IFERROR(R222/S222-1,"")</f>
        <v>0.18809440530322</v>
      </c>
      <c r="U222" s="7" t="n">
        <v>121</v>
      </c>
      <c r="V222" s="8" t="n">
        <v>0.035</v>
      </c>
      <c r="W222" s="4" t="n">
        <f aca="false">R222*K222</f>
        <v>24.9701182822668</v>
      </c>
      <c r="X222" s="4" t="n">
        <f aca="false">R222*V222</f>
        <v>24.9662</v>
      </c>
      <c r="Y222" s="4" t="n">
        <f aca="false">X222-W222</f>
        <v>-0.00391828226679536</v>
      </c>
      <c r="Z222" s="3"/>
      <c r="AA222" s="3" t="s">
        <v>31</v>
      </c>
    </row>
    <row r="223" customFormat="false" ht="15" hidden="false" customHeight="false" outlineLevel="0" collapsed="false">
      <c r="A223" s="9" t="s">
        <v>419</v>
      </c>
      <c r="B223" s="3" t="s">
        <v>451</v>
      </c>
      <c r="C223" s="3" t="s">
        <v>34</v>
      </c>
      <c r="D223" s="3" t="s">
        <v>30</v>
      </c>
      <c r="E223" s="4" t="n">
        <v>10767.53</v>
      </c>
      <c r="F223" s="5" t="n">
        <f aca="false">IFERROR(E223/规则参数!$B$8,0)</f>
        <v>0.00032953026273631</v>
      </c>
      <c r="G223" s="4" t="n">
        <v>2355.39</v>
      </c>
      <c r="H223" s="5" t="n">
        <f aca="false">IFERROR(G223/规则参数!$B$9,0)</f>
        <v>0.000523523351653313</v>
      </c>
      <c r="I223" s="4" t="n">
        <v>434.6</v>
      </c>
      <c r="J223" s="5" t="n">
        <f aca="false">IFERROR(I223/规则参数!$B$10,0)</f>
        <v>8.9761159166274E-005</v>
      </c>
      <c r="K223" s="6" t="n">
        <f aca="false">IFERROR(I223/E223,0)</f>
        <v>0.0403620886127088</v>
      </c>
      <c r="L223" s="6" t="n">
        <f aca="false">IFERROR(G223/E223,0)</f>
        <v>0.218749332483866</v>
      </c>
      <c r="M223" s="6" t="n">
        <f aca="false">K223+L223</f>
        <v>0.259111421096575</v>
      </c>
      <c r="N223" s="4" t="n">
        <v>434.64</v>
      </c>
      <c r="O223" s="4" t="n">
        <v>-0.04</v>
      </c>
      <c r="P223" s="4" t="n">
        <v>0</v>
      </c>
      <c r="Q223" s="4" t="n">
        <v>0</v>
      </c>
      <c r="R223" s="4" t="n">
        <v>321.95</v>
      </c>
      <c r="S223" s="4" t="n">
        <v>683.56</v>
      </c>
      <c r="T223" s="6" t="n">
        <f aca="false">IFERROR(R223/S223-1,"")</f>
        <v>-0.52900988940254</v>
      </c>
      <c r="U223" s="7" t="n">
        <v>153</v>
      </c>
      <c r="V223" s="8" t="n">
        <v>0.0404</v>
      </c>
      <c r="W223" s="4" t="n">
        <f aca="false">R223*K223</f>
        <v>12.9945744288616</v>
      </c>
      <c r="X223" s="4" t="n">
        <f aca="false">R223*V223</f>
        <v>13.00678</v>
      </c>
      <c r="Y223" s="4" t="n">
        <f aca="false">X223-W223</f>
        <v>0.0122055711384128</v>
      </c>
      <c r="Z223" s="3"/>
      <c r="AA223" s="3" t="s">
        <v>31</v>
      </c>
    </row>
    <row r="224" customFormat="false" ht="15" hidden="false" customHeight="false" outlineLevel="0" collapsed="false">
      <c r="A224" s="3" t="s">
        <v>196</v>
      </c>
      <c r="B224" s="3" t="s">
        <v>452</v>
      </c>
      <c r="C224" s="3" t="s">
        <v>29</v>
      </c>
      <c r="D224" s="3" t="s">
        <v>30</v>
      </c>
      <c r="E224" s="4" t="n">
        <v>3626.27</v>
      </c>
      <c r="F224" s="5" t="n">
        <f aca="false">IFERROR(E224/规则参数!$B$8,0)</f>
        <v>0.000110978627953932</v>
      </c>
      <c r="G224" s="4" t="n">
        <v>56.71</v>
      </c>
      <c r="H224" s="5" t="n">
        <f aca="false">IFERROR(G224/规则参数!$B$9,0)</f>
        <v>1.26047105881656E-005</v>
      </c>
      <c r="I224" s="4" t="n">
        <v>427.6</v>
      </c>
      <c r="J224" s="5" t="n">
        <f aca="false">IFERROR(I224/规则参数!$B$10,0)</f>
        <v>8.83153972837063E-005</v>
      </c>
      <c r="K224" s="6" t="n">
        <f aca="false">IFERROR(I224/E224,0)</f>
        <v>0.117917308970375</v>
      </c>
      <c r="L224" s="6" t="n">
        <f aca="false">IFERROR(G224/E224,0)</f>
        <v>0.0156386590077407</v>
      </c>
      <c r="M224" s="6" t="n">
        <f aca="false">K224+L224</f>
        <v>0.133555967978115</v>
      </c>
      <c r="N224" s="4" t="n">
        <v>427.6</v>
      </c>
      <c r="O224" s="4" t="n">
        <v>0</v>
      </c>
      <c r="P224" s="4" t="n">
        <v>0</v>
      </c>
      <c r="Q224" s="4" t="n">
        <v>0</v>
      </c>
      <c r="R224" s="4" t="n">
        <v>79.98</v>
      </c>
      <c r="S224" s="4" t="n">
        <v>79.98</v>
      </c>
      <c r="T224" s="6" t="n">
        <f aca="false">IFERROR(R224/S224-1,"")</f>
        <v>0</v>
      </c>
      <c r="U224" s="7" t="n">
        <v>21</v>
      </c>
      <c r="V224" s="8" t="n">
        <v>0.0836</v>
      </c>
      <c r="W224" s="4" t="n">
        <f aca="false">R224*K224</f>
        <v>9.43102637145056</v>
      </c>
      <c r="X224" s="4" t="n">
        <f aca="false">R224*V224</f>
        <v>6.686328</v>
      </c>
      <c r="Y224" s="4" t="n">
        <f aca="false">X224-W224</f>
        <v>-2.74469837145056</v>
      </c>
      <c r="Z224" s="3"/>
      <c r="AA224" s="3" t="s">
        <v>31</v>
      </c>
    </row>
    <row r="225" customFormat="false" ht="15" hidden="false" customHeight="false" outlineLevel="0" collapsed="false">
      <c r="A225" s="3" t="s">
        <v>415</v>
      </c>
      <c r="B225" s="3" t="s">
        <v>453</v>
      </c>
      <c r="C225" s="3" t="s">
        <v>29</v>
      </c>
      <c r="D225" s="3" t="s">
        <v>85</v>
      </c>
      <c r="E225" s="4" t="n">
        <v>3713.56</v>
      </c>
      <c r="F225" s="5" t="n">
        <f aca="false">IFERROR(E225/规则参数!$B$8,0)</f>
        <v>0.000113650057393576</v>
      </c>
      <c r="G225" s="4" t="n">
        <v>-443.3</v>
      </c>
      <c r="H225" s="5" t="n">
        <f aca="false">IFERROR(G225/规则参数!$B$9,0)</f>
        <v>-9.85305625768614E-005</v>
      </c>
      <c r="I225" s="4" t="n">
        <v>411.34</v>
      </c>
      <c r="J225" s="5" t="n">
        <f aca="false">IFERROR(I225/规则参数!$B$10,0)</f>
        <v>8.49570989679133E-005</v>
      </c>
      <c r="K225" s="6" t="n">
        <f aca="false">IFERROR(I225/E225,0)</f>
        <v>0.110767026788311</v>
      </c>
      <c r="L225" s="6" t="n">
        <f aca="false">IFERROR(G225/E225,0)</f>
        <v>-0.11937332371094</v>
      </c>
      <c r="M225" s="6" t="n">
        <f aca="false">K225+L225</f>
        <v>-0.00860629692262951</v>
      </c>
      <c r="N225" s="4" t="n">
        <v>411.23</v>
      </c>
      <c r="O225" s="4" t="n">
        <v>0</v>
      </c>
      <c r="P225" s="4" t="n">
        <v>0</v>
      </c>
      <c r="Q225" s="4" t="n">
        <v>0.11</v>
      </c>
      <c r="R225" s="4" t="n">
        <v>0</v>
      </c>
      <c r="S225" s="4" t="n">
        <v>0</v>
      </c>
      <c r="T225" s="6" t="str">
        <f aca="false">IFERROR(R225/S225-1,"")</f>
        <v/>
      </c>
      <c r="U225" s="7" t="n">
        <v>0</v>
      </c>
      <c r="V225" s="8" t="n">
        <v>0</v>
      </c>
      <c r="W225" s="4" t="n">
        <f aca="false">R225*K225</f>
        <v>0</v>
      </c>
      <c r="X225" s="4" t="n">
        <f aca="false">R225*V225</f>
        <v>0</v>
      </c>
      <c r="Y225" s="4" t="n">
        <f aca="false">X225-W225</f>
        <v>0</v>
      </c>
      <c r="Z225" s="3" t="s">
        <v>86</v>
      </c>
      <c r="AA225" s="3" t="s">
        <v>454</v>
      </c>
    </row>
    <row r="226" customFormat="false" ht="15" hidden="false" customHeight="false" outlineLevel="0" collapsed="false">
      <c r="A226" s="3" t="s">
        <v>64</v>
      </c>
      <c r="B226" s="3" t="s">
        <v>455</v>
      </c>
      <c r="C226" s="3" t="s">
        <v>96</v>
      </c>
      <c r="D226" s="3" t="s">
        <v>456</v>
      </c>
      <c r="E226" s="4" t="n">
        <v>599.96</v>
      </c>
      <c r="F226" s="5" t="n">
        <f aca="false">IFERROR(E226/规则参数!$B$8,0)</f>
        <v>1.83612190011336E-005</v>
      </c>
      <c r="G226" s="4" t="n">
        <v>-413.11</v>
      </c>
      <c r="H226" s="5" t="n">
        <f aca="false">IFERROR(G226/规则参数!$B$9,0)</f>
        <v>-9.18203489874289E-005</v>
      </c>
      <c r="I226" s="4" t="n">
        <v>389.35</v>
      </c>
      <c r="J226" s="5" t="n">
        <f aca="false">IFERROR(I226/规则参数!$B$10,0)</f>
        <v>8.04153412825329E-005</v>
      </c>
      <c r="K226" s="6" t="n">
        <f aca="false">IFERROR(I226/E226,0)</f>
        <v>0.648959930662044</v>
      </c>
      <c r="L226" s="6" t="n">
        <f aca="false">IFERROR(G226/E226,0)</f>
        <v>-0.688562570838056</v>
      </c>
      <c r="M226" s="6" t="n">
        <f aca="false">K226+L226</f>
        <v>-0.0396026401760117</v>
      </c>
      <c r="N226" s="4" t="n">
        <v>389.35</v>
      </c>
      <c r="O226" s="4" t="n">
        <v>0</v>
      </c>
      <c r="P226" s="4" t="n">
        <v>0</v>
      </c>
      <c r="Q226" s="4" t="n">
        <v>0</v>
      </c>
      <c r="R226" s="4" t="n">
        <v>299.98</v>
      </c>
      <c r="S226" s="4" t="n">
        <v>299.98</v>
      </c>
      <c r="T226" s="6" t="n">
        <f aca="false">IFERROR(R226/S226-1,"")</f>
        <v>0</v>
      </c>
      <c r="U226" s="7" t="n">
        <v>0</v>
      </c>
      <c r="V226" s="8" t="n">
        <v>0</v>
      </c>
      <c r="W226" s="4" t="n">
        <f aca="false">R226*K226</f>
        <v>194.675</v>
      </c>
      <c r="X226" s="4" t="n">
        <f aca="false">R226*V226</f>
        <v>0</v>
      </c>
      <c r="Y226" s="4" t="n">
        <f aca="false">X226-W226</f>
        <v>-194.675</v>
      </c>
      <c r="Z226" s="3" t="s">
        <v>457</v>
      </c>
      <c r="AA226" s="3" t="s">
        <v>458</v>
      </c>
    </row>
    <row r="227" customFormat="false" ht="15" hidden="false" customHeight="false" outlineLevel="0" collapsed="false">
      <c r="A227" s="3" t="s">
        <v>321</v>
      </c>
      <c r="B227" s="3" t="s">
        <v>459</v>
      </c>
      <c r="C227" s="3" t="s">
        <v>34</v>
      </c>
      <c r="D227" s="3" t="s">
        <v>30</v>
      </c>
      <c r="E227" s="4" t="n">
        <v>3808.85</v>
      </c>
      <c r="F227" s="5" t="n">
        <f aca="false">IFERROR(E227/规则参数!$B$8,0)</f>
        <v>0.00011656631940874</v>
      </c>
      <c r="G227" s="4" t="n">
        <v>613.47</v>
      </c>
      <c r="H227" s="5" t="n">
        <f aca="false">IFERROR(G227/规则参数!$B$9,0)</f>
        <v>0.000136353584985399</v>
      </c>
      <c r="I227" s="4" t="n">
        <v>359.17</v>
      </c>
      <c r="J227" s="5" t="n">
        <f aca="false">IFERROR(I227/规则参数!$B$10,0)</f>
        <v>7.41820421945482E-005</v>
      </c>
      <c r="K227" s="6" t="n">
        <f aca="false">IFERROR(I227/E227,0)</f>
        <v>0.0942988041009754</v>
      </c>
      <c r="L227" s="6" t="n">
        <f aca="false">IFERROR(G227/E227,0)</f>
        <v>0.161064363259252</v>
      </c>
      <c r="M227" s="6" t="n">
        <f aca="false">K227+L227</f>
        <v>0.255363167360227</v>
      </c>
      <c r="N227" s="4" t="n">
        <v>7.64</v>
      </c>
      <c r="O227" s="4" t="n">
        <v>0</v>
      </c>
      <c r="P227" s="4" t="n">
        <v>1.22</v>
      </c>
      <c r="Q227" s="4" t="n">
        <v>350.31</v>
      </c>
      <c r="R227" s="4" t="n">
        <v>572.72</v>
      </c>
      <c r="S227" s="4" t="n">
        <v>248.03</v>
      </c>
      <c r="T227" s="6" t="n">
        <f aca="false">IFERROR(R227/S227-1,"")</f>
        <v>1.30907551505866</v>
      </c>
      <c r="U227" s="7" t="n">
        <v>55</v>
      </c>
      <c r="V227" s="8" t="n">
        <v>0.0943</v>
      </c>
      <c r="W227" s="4" t="n">
        <f aca="false">R227*K227</f>
        <v>54.0068110847106</v>
      </c>
      <c r="X227" s="4" t="n">
        <f aca="false">R227*V227</f>
        <v>54.007496</v>
      </c>
      <c r="Y227" s="4" t="n">
        <f aca="false">X227-W227</f>
        <v>0.000684915289383525</v>
      </c>
      <c r="Z227" s="3"/>
      <c r="AA227" s="3" t="s">
        <v>31</v>
      </c>
    </row>
    <row r="228" customFormat="false" ht="15" hidden="false" customHeight="false" outlineLevel="0" collapsed="false">
      <c r="A228" s="3" t="s">
        <v>321</v>
      </c>
      <c r="B228" s="9" t="s">
        <v>460</v>
      </c>
      <c r="C228" s="3" t="s">
        <v>34</v>
      </c>
      <c r="D228" s="3" t="s">
        <v>30</v>
      </c>
      <c r="E228" s="4" t="n">
        <v>5539.67</v>
      </c>
      <c r="F228" s="5" t="n">
        <f aca="false">IFERROR(E228/规则参数!$B$8,0)</f>
        <v>0.000169536459203963</v>
      </c>
      <c r="G228" s="4" t="n">
        <v>1465.46</v>
      </c>
      <c r="H228" s="5" t="n">
        <f aca="false">IFERROR(G228/规则参数!$B$9,0)</f>
        <v>0.000325722080383233</v>
      </c>
      <c r="I228" s="4" t="n">
        <v>336.84</v>
      </c>
      <c r="J228" s="5" t="n">
        <f aca="false">IFERROR(I228/规则参数!$B$10,0)</f>
        <v>6.95700617891572E-005</v>
      </c>
      <c r="K228" s="6" t="n">
        <f aca="false">IFERROR(I228/E228,0)</f>
        <v>0.0608050660057368</v>
      </c>
      <c r="L228" s="6" t="n">
        <f aca="false">IFERROR(G228/E228,0)</f>
        <v>0.264539223455549</v>
      </c>
      <c r="M228" s="6" t="n">
        <f aca="false">K228+L228</f>
        <v>0.325344289461286</v>
      </c>
      <c r="N228" s="4" t="n">
        <v>9.08</v>
      </c>
      <c r="O228" s="4" t="n">
        <v>0</v>
      </c>
      <c r="P228" s="4" t="n">
        <v>2.34</v>
      </c>
      <c r="Q228" s="4" t="n">
        <v>325.42</v>
      </c>
      <c r="R228" s="4" t="n">
        <v>550.34</v>
      </c>
      <c r="S228" s="4" t="n">
        <v>232.44</v>
      </c>
      <c r="T228" s="6" t="n">
        <f aca="false">IFERROR(R228/S228-1,"")</f>
        <v>1.36766477370504</v>
      </c>
      <c r="U228" s="7" t="n">
        <v>48</v>
      </c>
      <c r="V228" s="8" t="n">
        <v>0.0608</v>
      </c>
      <c r="W228" s="4" t="n">
        <f aca="false">R228*K228</f>
        <v>33.4634600255972</v>
      </c>
      <c r="X228" s="4" t="n">
        <f aca="false">R228*V228</f>
        <v>33.460672</v>
      </c>
      <c r="Y228" s="4" t="n">
        <f aca="false">X228-W228</f>
        <v>-0.00278802559719082</v>
      </c>
      <c r="Z228" s="3"/>
      <c r="AA228" s="3" t="s">
        <v>31</v>
      </c>
    </row>
    <row r="229" customFormat="false" ht="15" hidden="false" customHeight="false" outlineLevel="0" collapsed="false">
      <c r="A229" s="3" t="s">
        <v>39</v>
      </c>
      <c r="B229" s="3" t="s">
        <v>461</v>
      </c>
      <c r="C229" s="3" t="s">
        <v>29</v>
      </c>
      <c r="D229" s="3" t="s">
        <v>46</v>
      </c>
      <c r="E229" s="4" t="n">
        <v>1626.09</v>
      </c>
      <c r="F229" s="5" t="n">
        <f aca="false">IFERROR(E229/规则参数!$B$8,0)</f>
        <v>4.9764975340945E-005</v>
      </c>
      <c r="G229" s="4" t="n">
        <v>263.77</v>
      </c>
      <c r="H229" s="5" t="n">
        <f aca="false">IFERROR(G229/规则参数!$B$9,0)</f>
        <v>5.86271294628891E-005</v>
      </c>
      <c r="I229" s="4" t="n">
        <v>328.91</v>
      </c>
      <c r="J229" s="5" t="n">
        <f aca="false">IFERROR(I229/规则参数!$B$10,0)</f>
        <v>6.79322201136198E-005</v>
      </c>
      <c r="K229" s="6" t="n">
        <f aca="false">IFERROR(I229/E229,0)</f>
        <v>0.202270477033867</v>
      </c>
      <c r="L229" s="6" t="n">
        <f aca="false">IFERROR(G229/E229,0)</f>
        <v>0.162211193722365</v>
      </c>
      <c r="M229" s="6" t="n">
        <f aca="false">K229+L229</f>
        <v>0.364481670756231</v>
      </c>
      <c r="N229" s="4" t="n">
        <v>328.91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6" t="str">
        <f aca="false">IFERROR(R229/S229-1,"")</f>
        <v/>
      </c>
      <c r="U229" s="7" t="n">
        <v>0</v>
      </c>
      <c r="V229" s="8" t="n">
        <v>0.15</v>
      </c>
      <c r="W229" s="4" t="n">
        <f aca="false">R229*K229</f>
        <v>0</v>
      </c>
      <c r="X229" s="4" t="n">
        <f aca="false">R229*V229</f>
        <v>0</v>
      </c>
      <c r="Y229" s="4" t="n">
        <f aca="false">X229-W229</f>
        <v>0</v>
      </c>
      <c r="Z229" s="3" t="s">
        <v>69</v>
      </c>
      <c r="AA229" s="3" t="s">
        <v>462</v>
      </c>
    </row>
    <row r="230" customFormat="false" ht="15" hidden="false" customHeight="false" outlineLevel="0" collapsed="false">
      <c r="A230" s="9" t="s">
        <v>419</v>
      </c>
      <c r="B230" s="9" t="s">
        <v>463</v>
      </c>
      <c r="C230" s="3" t="s">
        <v>34</v>
      </c>
      <c r="D230" s="3" t="s">
        <v>30</v>
      </c>
      <c r="E230" s="4" t="n">
        <v>10528.07</v>
      </c>
      <c r="F230" s="5" t="n">
        <f aca="false">IFERROR(E230/规则参数!$B$8,0)</f>
        <v>0.000322201811669553</v>
      </c>
      <c r="G230" s="4" t="n">
        <v>2837.97</v>
      </c>
      <c r="H230" s="5" t="n">
        <f aca="false">IFERROR(G230/规则参数!$B$9,0)</f>
        <v>0.00063078452667777</v>
      </c>
      <c r="I230" s="4" t="n">
        <v>309.03</v>
      </c>
      <c r="J230" s="5" t="n">
        <f aca="false">IFERROR(I230/规则参数!$B$10,0)</f>
        <v>6.38262563671276E-005</v>
      </c>
      <c r="K230" s="6" t="n">
        <f aca="false">IFERROR(I230/E230,0)</f>
        <v>0.0293529583294944</v>
      </c>
      <c r="L230" s="6" t="n">
        <f aca="false">IFERROR(G230/E230,0)</f>
        <v>0.269562227454795</v>
      </c>
      <c r="M230" s="6" t="n">
        <f aca="false">K230+L230</f>
        <v>0.298915185784289</v>
      </c>
      <c r="N230" s="4" t="n">
        <v>309.19</v>
      </c>
      <c r="O230" s="4" t="n">
        <v>-0.16</v>
      </c>
      <c r="P230" s="4" t="n">
        <v>0</v>
      </c>
      <c r="Q230" s="4" t="n">
        <v>0</v>
      </c>
      <c r="R230" s="4" t="n">
        <v>894.48</v>
      </c>
      <c r="S230" s="4" t="n">
        <v>1079.78</v>
      </c>
      <c r="T230" s="6" t="n">
        <f aca="false">IFERROR(R230/S230-1,"")</f>
        <v>-0.171609031469373</v>
      </c>
      <c r="U230" s="7" t="n">
        <v>1914</v>
      </c>
      <c r="V230" s="8" t="n">
        <v>0.0294</v>
      </c>
      <c r="W230" s="4" t="n">
        <f aca="false">R230*K230</f>
        <v>26.2556341665661</v>
      </c>
      <c r="X230" s="4" t="n">
        <f aca="false">R230*V230</f>
        <v>26.297712</v>
      </c>
      <c r="Y230" s="4" t="n">
        <f aca="false">X230-W230</f>
        <v>0.0420778334338579</v>
      </c>
      <c r="Z230" s="3"/>
      <c r="AA230" s="3" t="s">
        <v>31</v>
      </c>
    </row>
    <row r="231" customFormat="false" ht="15" hidden="false" customHeight="false" outlineLevel="0" collapsed="false">
      <c r="A231" s="3" t="s">
        <v>64</v>
      </c>
      <c r="B231" s="3" t="s">
        <v>464</v>
      </c>
      <c r="C231" s="3" t="s">
        <v>96</v>
      </c>
      <c r="D231" s="3" t="s">
        <v>85</v>
      </c>
      <c r="E231" s="4" t="n">
        <v>2566.44</v>
      </c>
      <c r="F231" s="5" t="n">
        <f aca="false">IFERROR(E231/规则参数!$B$8,0)</f>
        <v>7.85435143897416E-005</v>
      </c>
      <c r="G231" s="4" t="n">
        <v>-1021.42</v>
      </c>
      <c r="H231" s="5" t="n">
        <f aca="false">IFERROR(G231/规则参数!$B$9,0)</f>
        <v>-0.000227027040891626</v>
      </c>
      <c r="I231" s="4" t="n">
        <v>307.69</v>
      </c>
      <c r="J231" s="5" t="n">
        <f aca="false">IFERROR(I231/规则参数!$B$10,0)</f>
        <v>6.35494962353218E-005</v>
      </c>
      <c r="K231" s="6" t="n">
        <f aca="false">IFERROR(I231/E231,0)</f>
        <v>0.119889808450616</v>
      </c>
      <c r="L231" s="6" t="n">
        <f aca="false">IFERROR(G231/E231,0)</f>
        <v>-0.397990991412229</v>
      </c>
      <c r="M231" s="6" t="n">
        <f aca="false">K231+L231</f>
        <v>-0.278101182961612</v>
      </c>
      <c r="N231" s="4" t="n">
        <v>307.69</v>
      </c>
      <c r="O231" s="4" t="n">
        <v>0</v>
      </c>
      <c r="P231" s="4" t="n">
        <v>0</v>
      </c>
      <c r="Q231" s="4" t="n">
        <v>0</v>
      </c>
      <c r="R231" s="4" t="n">
        <v>940.64</v>
      </c>
      <c r="S231" s="4" t="n">
        <v>450</v>
      </c>
      <c r="T231" s="6" t="n">
        <f aca="false">IFERROR(R231/S231-1,"")</f>
        <v>1.09031111111111</v>
      </c>
      <c r="U231" s="7" t="n">
        <v>113</v>
      </c>
      <c r="V231" s="8" t="n">
        <v>0</v>
      </c>
      <c r="W231" s="4" t="n">
        <f aca="false">R231*K231</f>
        <v>112.773149420988</v>
      </c>
      <c r="X231" s="4" t="n">
        <f aca="false">R231*V231</f>
        <v>0</v>
      </c>
      <c r="Y231" s="4" t="n">
        <f aca="false">X231-W231</f>
        <v>-112.773149420988</v>
      </c>
      <c r="Z231" s="3" t="s">
        <v>156</v>
      </c>
      <c r="AA231" s="3" t="s">
        <v>465</v>
      </c>
    </row>
    <row r="232" customFormat="false" ht="15" hidden="false" customHeight="false" outlineLevel="0" collapsed="false">
      <c r="A232" s="3" t="s">
        <v>321</v>
      </c>
      <c r="B232" s="3" t="s">
        <v>466</v>
      </c>
      <c r="C232" s="3" t="s">
        <v>34</v>
      </c>
      <c r="D232" s="3" t="s">
        <v>30</v>
      </c>
      <c r="E232" s="4" t="n">
        <v>11665.85</v>
      </c>
      <c r="F232" s="5" t="n">
        <f aca="false">IFERROR(E232/规则参数!$B$8,0)</f>
        <v>0.000357022512641467</v>
      </c>
      <c r="G232" s="4" t="n">
        <v>692.17</v>
      </c>
      <c r="H232" s="5" t="n">
        <f aca="false">IFERROR(G232/规则参数!$B$9,0)</f>
        <v>0.000153845927134731</v>
      </c>
      <c r="I232" s="4" t="n">
        <v>285.77</v>
      </c>
      <c r="J232" s="5" t="n">
        <f aca="false">IFERROR(I232/规则参数!$B$10,0)</f>
        <v>5.90221961687669E-005</v>
      </c>
      <c r="K232" s="6" t="n">
        <f aca="false">IFERROR(I232/E232,0)</f>
        <v>0.0244962861686032</v>
      </c>
      <c r="L232" s="6" t="n">
        <f aca="false">IFERROR(G232/E232,0)</f>
        <v>0.0593330104535889</v>
      </c>
      <c r="M232" s="6" t="n">
        <f aca="false">K232+L232</f>
        <v>0.0838292966221921</v>
      </c>
      <c r="N232" s="4" t="n">
        <v>285.77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30.2</v>
      </c>
      <c r="T232" s="6" t="n">
        <f aca="false">IFERROR(R232/S232-1,"")</f>
        <v>-1</v>
      </c>
      <c r="U232" s="7" t="n">
        <v>0</v>
      </c>
      <c r="V232" s="8" t="n">
        <v>0</v>
      </c>
      <c r="W232" s="4" t="n">
        <f aca="false">R232*K232</f>
        <v>0</v>
      </c>
      <c r="X232" s="4" t="n">
        <f aca="false">R232*V232</f>
        <v>0</v>
      </c>
      <c r="Y232" s="4" t="n">
        <f aca="false">X232-W232</f>
        <v>0</v>
      </c>
      <c r="Z232" s="3"/>
      <c r="AA232" s="3" t="s">
        <v>31</v>
      </c>
    </row>
    <row r="233" customFormat="false" ht="15" hidden="false" customHeight="false" outlineLevel="0" collapsed="false">
      <c r="A233" s="3" t="s">
        <v>424</v>
      </c>
      <c r="B233" s="3" t="s">
        <v>467</v>
      </c>
      <c r="C233" s="3" t="s">
        <v>29</v>
      </c>
      <c r="D233" s="3" t="s">
        <v>30</v>
      </c>
      <c r="E233" s="4" t="n">
        <v>2705.15</v>
      </c>
      <c r="F233" s="5" t="n">
        <f aca="false">IFERROR(E233/规则参数!$B$8,0)</f>
        <v>8.27886052085416E-005</v>
      </c>
      <c r="G233" s="4" t="n">
        <v>491.08</v>
      </c>
      <c r="H233" s="5" t="n">
        <f aca="false">IFERROR(G233/规则参数!$B$9,0)</f>
        <v>0.000109150436883025</v>
      </c>
      <c r="I233" s="4" t="n">
        <v>272.97</v>
      </c>
      <c r="J233" s="5" t="n">
        <f aca="false">IFERROR(I233/规则参数!$B$10,0)</f>
        <v>5.6378517297786E-005</v>
      </c>
      <c r="K233" s="6" t="n">
        <f aca="false">IFERROR(I233/E233,0)</f>
        <v>0.100907528233185</v>
      </c>
      <c r="L233" s="6" t="n">
        <f aca="false">IFERROR(G233/E233,0)</f>
        <v>0.181535219858418</v>
      </c>
      <c r="M233" s="6" t="n">
        <f aca="false">K233+L233</f>
        <v>0.282442748091603</v>
      </c>
      <c r="N233" s="4" t="n">
        <v>271.25</v>
      </c>
      <c r="O233" s="4" t="n">
        <v>0</v>
      </c>
      <c r="P233" s="4" t="n">
        <v>1.72</v>
      </c>
      <c r="Q233" s="4" t="n">
        <v>0</v>
      </c>
      <c r="R233" s="4" t="n">
        <v>0</v>
      </c>
      <c r="S233" s="4" t="n">
        <v>0</v>
      </c>
      <c r="T233" s="6" t="str">
        <f aca="false">IFERROR(R233/S233-1,"")</f>
        <v/>
      </c>
      <c r="U233" s="7" t="n">
        <v>0</v>
      </c>
      <c r="V233" s="8" t="n">
        <v>0.1009</v>
      </c>
      <c r="W233" s="4" t="n">
        <f aca="false">R233*K233</f>
        <v>0</v>
      </c>
      <c r="X233" s="4" t="n">
        <f aca="false">R233*V233</f>
        <v>0</v>
      </c>
      <c r="Y233" s="4" t="n">
        <f aca="false">X233-W233</f>
        <v>0</v>
      </c>
      <c r="Z233" s="3"/>
      <c r="AA233" s="3" t="s">
        <v>31</v>
      </c>
    </row>
    <row r="234" customFormat="false" ht="15" hidden="false" customHeight="false" outlineLevel="0" collapsed="false">
      <c r="A234" s="3" t="s">
        <v>217</v>
      </c>
      <c r="B234" s="3" t="s">
        <v>468</v>
      </c>
      <c r="C234" s="3" t="s">
        <v>29</v>
      </c>
      <c r="D234" s="3" t="s">
        <v>30</v>
      </c>
      <c r="E234" s="4" t="n">
        <v>8606.27</v>
      </c>
      <c r="F234" s="5" t="n">
        <f aca="false">IFERROR(E234/规则参数!$B$8,0)</f>
        <v>0.000263386906215225</v>
      </c>
      <c r="G234" s="4" t="n">
        <v>2641.09</v>
      </c>
      <c r="H234" s="5" t="n">
        <f aca="false">IFERROR(G234/规则参数!$B$9,0)</f>
        <v>0.000587024776711308</v>
      </c>
      <c r="I234" s="4" t="n">
        <v>272.9</v>
      </c>
      <c r="J234" s="5" t="n">
        <f aca="false">IFERROR(I234/规则参数!$B$10,0)</f>
        <v>5.63640596789603E-005</v>
      </c>
      <c r="K234" s="6" t="n">
        <f aca="false">IFERROR(I234/E234,0)</f>
        <v>0.0317094397456738</v>
      </c>
      <c r="L234" s="6" t="n">
        <f aca="false">IFERROR(G234/E234,0)</f>
        <v>0.306879751622945</v>
      </c>
      <c r="M234" s="6" t="n">
        <f aca="false">K234+L234</f>
        <v>0.338589191368619</v>
      </c>
      <c r="N234" s="4" t="n">
        <v>272.9</v>
      </c>
      <c r="O234" s="4" t="n">
        <v>0</v>
      </c>
      <c r="P234" s="4" t="n">
        <v>0</v>
      </c>
      <c r="Q234" s="4" t="n">
        <v>0</v>
      </c>
      <c r="R234" s="4" t="n">
        <v>505.9</v>
      </c>
      <c r="S234" s="4" t="n">
        <v>417.93</v>
      </c>
      <c r="T234" s="6" t="n">
        <f aca="false">IFERROR(R234/S234-1,"")</f>
        <v>0.210489794941737</v>
      </c>
      <c r="U234" s="7" t="n">
        <v>0</v>
      </c>
      <c r="V234" s="8" t="n">
        <v>0.0317</v>
      </c>
      <c r="W234" s="4" t="n">
        <f aca="false">R234*K234</f>
        <v>16.0418055673364</v>
      </c>
      <c r="X234" s="4" t="n">
        <f aca="false">R234*V234</f>
        <v>16.03703</v>
      </c>
      <c r="Y234" s="4" t="n">
        <f aca="false">X234-W234</f>
        <v>-0.00477556733637385</v>
      </c>
      <c r="Z234" s="3"/>
      <c r="AA234" s="3" t="s">
        <v>31</v>
      </c>
    </row>
    <row r="235" customFormat="false" ht="15" hidden="false" customHeight="false" outlineLevel="0" collapsed="false">
      <c r="A235" s="3" t="s">
        <v>50</v>
      </c>
      <c r="B235" s="3" t="s">
        <v>469</v>
      </c>
      <c r="C235" s="3" t="s">
        <v>29</v>
      </c>
      <c r="D235" s="3" t="s">
        <v>85</v>
      </c>
      <c r="E235" s="4" t="n">
        <v>1033.85</v>
      </c>
      <c r="F235" s="5" t="n">
        <f aca="false">IFERROR(E235/规则参数!$B$8,0)</f>
        <v>3.16400197751883E-005</v>
      </c>
      <c r="G235" s="4" t="n">
        <v>-198.73</v>
      </c>
      <c r="H235" s="5" t="n">
        <f aca="false">IFERROR(G235/规则参数!$B$9,0)</f>
        <v>-4.41709422533266E-005</v>
      </c>
      <c r="I235" s="4" t="n">
        <v>249.17</v>
      </c>
      <c r="J235" s="5" t="n">
        <f aca="false">IFERROR(I235/规则参数!$B$10,0)</f>
        <v>5.14629268970559E-005</v>
      </c>
      <c r="K235" s="6" t="n">
        <f aca="false">IFERROR(I235/E235,0)</f>
        <v>0.241011752188422</v>
      </c>
      <c r="L235" s="6" t="n">
        <f aca="false">IFERROR(G235/E235,0)</f>
        <v>-0.192223243217101</v>
      </c>
      <c r="M235" s="6" t="n">
        <f aca="false">K235+L235</f>
        <v>0.0487885089713208</v>
      </c>
      <c r="N235" s="4" t="n">
        <v>229.42</v>
      </c>
      <c r="O235" s="4" t="n">
        <v>-0.16</v>
      </c>
      <c r="P235" s="4" t="n">
        <v>19.91</v>
      </c>
      <c r="Q235" s="4" t="n">
        <v>0</v>
      </c>
      <c r="R235" s="4" t="n">
        <v>0</v>
      </c>
      <c r="S235" s="4" t="n">
        <v>0</v>
      </c>
      <c r="T235" s="6" t="str">
        <f aca="false">IFERROR(R235/S235-1,"")</f>
        <v/>
      </c>
      <c r="U235" s="7" t="n">
        <v>0</v>
      </c>
      <c r="V235" s="8" t="n">
        <v>0</v>
      </c>
      <c r="W235" s="4" t="n">
        <f aca="false">R235*K235</f>
        <v>0</v>
      </c>
      <c r="X235" s="4" t="n">
        <f aca="false">R235*V235</f>
        <v>0</v>
      </c>
      <c r="Y235" s="4" t="n">
        <f aca="false">X235-W235</f>
        <v>0</v>
      </c>
      <c r="Z235" s="3" t="s">
        <v>86</v>
      </c>
      <c r="AA235" s="3" t="s">
        <v>470</v>
      </c>
    </row>
    <row r="236" customFormat="false" ht="15" hidden="false" customHeight="false" outlineLevel="0" collapsed="false">
      <c r="A236" s="3" t="s">
        <v>75</v>
      </c>
      <c r="B236" s="3" t="s">
        <v>471</v>
      </c>
      <c r="C236" s="3" t="s">
        <v>34</v>
      </c>
      <c r="D236" s="3" t="s">
        <v>456</v>
      </c>
      <c r="E236" s="4" t="n">
        <v>854.85</v>
      </c>
      <c r="F236" s="5" t="n">
        <f aca="false">IFERROR(E236/规则参数!$B$8,0)</f>
        <v>2.6161890897925E-005</v>
      </c>
      <c r="G236" s="4" t="n">
        <v>-128.89</v>
      </c>
      <c r="H236" s="5" t="n">
        <f aca="false">IFERROR(G236/规则参数!$B$9,0)</f>
        <v>-2.86478777589255E-005</v>
      </c>
      <c r="I236" s="4" t="n">
        <v>232.68</v>
      </c>
      <c r="J236" s="5" t="n">
        <f aca="false">IFERROR(I236/规则参数!$B$10,0)</f>
        <v>4.805712497655E-005</v>
      </c>
      <c r="K236" s="6" t="n">
        <f aca="false">IFERROR(I236/E236,0)</f>
        <v>0.272188103175996</v>
      </c>
      <c r="L236" s="6" t="n">
        <f aca="false">IFERROR(G236/E236,0)</f>
        <v>-0.150774989764286</v>
      </c>
      <c r="M236" s="6" t="n">
        <f aca="false">K236+L236</f>
        <v>0.12141311341171</v>
      </c>
      <c r="N236" s="4" t="n">
        <v>232.68</v>
      </c>
      <c r="O236" s="4" t="n">
        <v>0</v>
      </c>
      <c r="P236" s="4" t="n">
        <v>0</v>
      </c>
      <c r="Q236" s="4" t="n">
        <v>0</v>
      </c>
      <c r="R236" s="4" t="n">
        <v>854.85</v>
      </c>
      <c r="S236" s="4" t="n">
        <v>0</v>
      </c>
      <c r="T236" s="6" t="str">
        <f aca="false">IFERROR(R236/S236-1,"")</f>
        <v/>
      </c>
      <c r="U236" s="7" t="n">
        <v>136</v>
      </c>
      <c r="V236" s="8" t="n">
        <v>0</v>
      </c>
      <c r="W236" s="4" t="n">
        <f aca="false">R236*K236</f>
        <v>232.68</v>
      </c>
      <c r="X236" s="4" t="n">
        <f aca="false">R236*V236</f>
        <v>0</v>
      </c>
      <c r="Y236" s="4" t="n">
        <f aca="false">X236-W236</f>
        <v>-232.68</v>
      </c>
      <c r="Z236" s="3" t="s">
        <v>457</v>
      </c>
      <c r="AA236" s="3" t="s">
        <v>458</v>
      </c>
    </row>
    <row r="237" customFormat="false" ht="15" hidden="false" customHeight="false" outlineLevel="0" collapsed="false">
      <c r="A237" s="3" t="s">
        <v>39</v>
      </c>
      <c r="B237" s="3" t="s">
        <v>472</v>
      </c>
      <c r="C237" s="3" t="s">
        <v>96</v>
      </c>
      <c r="D237" s="3" t="s">
        <v>456</v>
      </c>
      <c r="E237" s="4" t="n">
        <v>607.16</v>
      </c>
      <c r="F237" s="5" t="n">
        <f aca="false">IFERROR(E237/规则参数!$B$8,0)</f>
        <v>1.85815683191018E-005</v>
      </c>
      <c r="G237" s="4" t="n">
        <v>36.48</v>
      </c>
      <c r="H237" s="5" t="n">
        <f aca="false">IFERROR(G237/规则参数!$B$9,0)</f>
        <v>8.10826736477308E-006</v>
      </c>
      <c r="I237" s="4" t="n">
        <v>224.01</v>
      </c>
      <c r="J237" s="5" t="n">
        <f aca="false">IFERROR(I237/规则参数!$B$10,0)</f>
        <v>4.6266445616284E-005</v>
      </c>
      <c r="K237" s="6" t="n">
        <f aca="false">IFERROR(I237/E237,0)</f>
        <v>0.368947229725278</v>
      </c>
      <c r="L237" s="6" t="n">
        <f aca="false">IFERROR(G237/E237,0)</f>
        <v>0.0600830094209105</v>
      </c>
      <c r="M237" s="6" t="n">
        <f aca="false">K237+L237</f>
        <v>0.429030239146189</v>
      </c>
      <c r="N237" s="4" t="n">
        <v>223.79</v>
      </c>
      <c r="O237" s="4" t="n">
        <v>0.22</v>
      </c>
      <c r="P237" s="4" t="n">
        <v>0</v>
      </c>
      <c r="Q237" s="4" t="n">
        <v>0</v>
      </c>
      <c r="R237" s="4" t="n">
        <v>607.16</v>
      </c>
      <c r="S237" s="4" t="n">
        <v>0</v>
      </c>
      <c r="T237" s="6" t="str">
        <f aca="false">IFERROR(R237/S237-1,"")</f>
        <v/>
      </c>
      <c r="U237" s="7" t="n">
        <v>223</v>
      </c>
      <c r="V237" s="8" t="n">
        <v>0</v>
      </c>
      <c r="W237" s="4" t="n">
        <f aca="false">R237*K237</f>
        <v>224.01</v>
      </c>
      <c r="X237" s="4" t="n">
        <f aca="false">R237*V237</f>
        <v>0</v>
      </c>
      <c r="Y237" s="4" t="n">
        <f aca="false">X237-W237</f>
        <v>-224.01</v>
      </c>
      <c r="Z237" s="3" t="s">
        <v>457</v>
      </c>
      <c r="AA237" s="3" t="s">
        <v>458</v>
      </c>
    </row>
    <row r="238" customFormat="false" ht="15" hidden="false" customHeight="false" outlineLevel="0" collapsed="false">
      <c r="A238" s="3" t="s">
        <v>64</v>
      </c>
      <c r="B238" s="3" t="s">
        <v>473</v>
      </c>
      <c r="C238" s="3" t="s">
        <v>96</v>
      </c>
      <c r="D238" s="3" t="s">
        <v>456</v>
      </c>
      <c r="E238" s="4" t="n">
        <v>603.77</v>
      </c>
      <c r="F238" s="5" t="n">
        <f aca="false">IFERROR(E238/规则参数!$B$8,0)</f>
        <v>1.84778205152251E-005</v>
      </c>
      <c r="G238" s="4" t="n">
        <v>-269.49</v>
      </c>
      <c r="H238" s="5" t="n">
        <f aca="false">IFERROR(G238/规则参数!$B$9,0)</f>
        <v>-5.98984915606551E-005</v>
      </c>
      <c r="I238" s="4" t="n">
        <v>221.96</v>
      </c>
      <c r="J238" s="5" t="n">
        <f aca="false">IFERROR(I238/规则参数!$B$10,0)</f>
        <v>4.58430439221035E-005</v>
      </c>
      <c r="K238" s="6" t="n">
        <f aca="false">IFERROR(I238/E238,0)</f>
        <v>0.367623432764132</v>
      </c>
      <c r="L238" s="6" t="n">
        <f aca="false">IFERROR(G238/E238,0)</f>
        <v>-0.446345462676185</v>
      </c>
      <c r="M238" s="6" t="n">
        <f aca="false">K238+L238</f>
        <v>-0.0787220299120526</v>
      </c>
      <c r="N238" s="4" t="n">
        <v>221.96</v>
      </c>
      <c r="O238" s="4" t="n">
        <v>0</v>
      </c>
      <c r="P238" s="4" t="n">
        <v>0</v>
      </c>
      <c r="Q238" s="4" t="n">
        <v>0</v>
      </c>
      <c r="R238" s="4" t="n">
        <v>443.85</v>
      </c>
      <c r="S238" s="4" t="n">
        <v>159.92</v>
      </c>
      <c r="T238" s="6" t="n">
        <f aca="false">IFERROR(R238/S238-1,"")</f>
        <v>1.77545022511256</v>
      </c>
      <c r="U238" s="7" t="n">
        <v>21</v>
      </c>
      <c r="V238" s="8" t="n">
        <v>0</v>
      </c>
      <c r="W238" s="4" t="n">
        <f aca="false">R238*K238</f>
        <v>163.16966063236</v>
      </c>
      <c r="X238" s="4" t="n">
        <f aca="false">R238*V238</f>
        <v>0</v>
      </c>
      <c r="Y238" s="4" t="n">
        <f aca="false">X238-W238</f>
        <v>-163.16966063236</v>
      </c>
      <c r="Z238" s="3" t="s">
        <v>457</v>
      </c>
      <c r="AA238" s="3" t="s">
        <v>458</v>
      </c>
    </row>
    <row r="239" customFormat="false" ht="15" hidden="false" customHeight="false" outlineLevel="0" collapsed="false">
      <c r="A239" s="9" t="s">
        <v>419</v>
      </c>
      <c r="B239" s="3" t="s">
        <v>474</v>
      </c>
      <c r="C239" s="3" t="s">
        <v>29</v>
      </c>
      <c r="D239" s="9" t="s">
        <v>194</v>
      </c>
      <c r="E239" s="4" t="n">
        <v>232.26</v>
      </c>
      <c r="F239" s="5" t="n">
        <f aca="false">IFERROR(E239/规则参数!$B$8,0)</f>
        <v>7.10810174878874E-006</v>
      </c>
      <c r="G239" s="4" t="n">
        <v>-58.33</v>
      </c>
      <c r="H239" s="5" t="n">
        <f aca="false">IFERROR(G239/规则参数!$B$9,0)</f>
        <v>-1.29647816717986E-005</v>
      </c>
      <c r="I239" s="4" t="n">
        <v>171.98</v>
      </c>
      <c r="J239" s="5" t="n">
        <f aca="false">IFERROR(I239/规则参数!$B$10,0)</f>
        <v>3.55203040805702E-005</v>
      </c>
      <c r="K239" s="6" t="n">
        <f aca="false">IFERROR(I239/E239,0)</f>
        <v>0.740463273917162</v>
      </c>
      <c r="L239" s="6" t="n">
        <f aca="false">IFERROR(G239/E239,0)</f>
        <v>-0.2511409627142</v>
      </c>
      <c r="M239" s="6" t="n">
        <f aca="false">K239+L239</f>
        <v>0.489322311202962</v>
      </c>
      <c r="N239" s="4" t="n">
        <v>171.98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6" t="str">
        <f aca="false">IFERROR(R239/S239-1,"")</f>
        <v/>
      </c>
      <c r="U239" s="7" t="n">
        <v>0</v>
      </c>
      <c r="V239" s="8" t="n">
        <v>0.15</v>
      </c>
      <c r="W239" s="4" t="n">
        <f aca="false">R239*K239</f>
        <v>0</v>
      </c>
      <c r="X239" s="4" t="n">
        <f aca="false">R239*V239</f>
        <v>0</v>
      </c>
      <c r="Y239" s="4" t="n">
        <f aca="false">X239-W239</f>
        <v>0</v>
      </c>
      <c r="Z239" s="3" t="s">
        <v>475</v>
      </c>
      <c r="AA239" s="3" t="s">
        <v>31</v>
      </c>
    </row>
    <row r="240" customFormat="false" ht="15" hidden="false" customHeight="false" outlineLevel="0" collapsed="false">
      <c r="A240" s="3" t="s">
        <v>37</v>
      </c>
      <c r="B240" s="3" t="s">
        <v>476</v>
      </c>
      <c r="C240" s="3" t="s">
        <v>96</v>
      </c>
      <c r="D240" s="9" t="s">
        <v>194</v>
      </c>
      <c r="E240" s="4" t="n">
        <v>529.93</v>
      </c>
      <c r="F240" s="5" t="n">
        <f aca="false">IFERROR(E240/规则参数!$B$8,0)</f>
        <v>1.62180158431741E-005</v>
      </c>
      <c r="G240" s="4" t="n">
        <v>23.78</v>
      </c>
      <c r="H240" s="5" t="n">
        <f aca="false">IFERROR(G240/规则参数!$B$9,0)</f>
        <v>5.28548788197105E-006</v>
      </c>
      <c r="I240" s="4" t="n">
        <v>161.85</v>
      </c>
      <c r="J240" s="5" t="n">
        <f aca="false">IFERROR(I240/规则参数!$B$10,0)</f>
        <v>3.34280800990829E-005</v>
      </c>
      <c r="K240" s="6" t="n">
        <f aca="false">IFERROR(I240/E240,0)</f>
        <v>0.30541769667692</v>
      </c>
      <c r="L240" s="6" t="n">
        <f aca="false">IFERROR(G240/E240,0)</f>
        <v>0.0448738512633744</v>
      </c>
      <c r="M240" s="6" t="n">
        <f aca="false">K240+L240</f>
        <v>0.350291547940294</v>
      </c>
      <c r="N240" s="4" t="n">
        <v>161.85</v>
      </c>
      <c r="O240" s="4" t="n">
        <v>0</v>
      </c>
      <c r="P240" s="4" t="n">
        <v>0</v>
      </c>
      <c r="Q240" s="4" t="n">
        <v>0</v>
      </c>
      <c r="R240" s="4" t="n">
        <v>611.3</v>
      </c>
      <c r="S240" s="4" t="n">
        <v>0</v>
      </c>
      <c r="T240" s="6" t="str">
        <f aca="false">IFERROR(R240/S240-1,"")</f>
        <v/>
      </c>
      <c r="U240" s="7" t="n">
        <v>512</v>
      </c>
      <c r="V240" s="8" t="n">
        <v>0.25</v>
      </c>
      <c r="W240" s="4" t="n">
        <f aca="false">R240*K240</f>
        <v>186.701837978601</v>
      </c>
      <c r="X240" s="4" t="n">
        <f aca="false">R240*V240</f>
        <v>152.825</v>
      </c>
      <c r="Y240" s="4" t="n">
        <f aca="false">X240-W240</f>
        <v>-33.8768379786009</v>
      </c>
      <c r="Z240" s="3" t="s">
        <v>475</v>
      </c>
      <c r="AA240" s="3" t="s">
        <v>31</v>
      </c>
    </row>
    <row r="241" customFormat="false" ht="15" hidden="false" customHeight="false" outlineLevel="0" collapsed="false">
      <c r="A241" s="3" t="s">
        <v>27</v>
      </c>
      <c r="B241" s="3" t="s">
        <v>477</v>
      </c>
      <c r="C241" s="3" t="s">
        <v>34</v>
      </c>
      <c r="D241" s="9" t="s">
        <v>194</v>
      </c>
      <c r="E241" s="4" t="n">
        <v>0</v>
      </c>
      <c r="F241" s="5" t="n">
        <f aca="false">IFERROR(E241/规则参数!$B$8,0)</f>
        <v>0</v>
      </c>
      <c r="G241" s="4" t="n">
        <v>-404.48</v>
      </c>
      <c r="H241" s="5" t="n">
        <f aca="false">IFERROR(G241/规则参数!$B$9,0)</f>
        <v>-8.99021925357296E-005</v>
      </c>
      <c r="I241" s="4" t="n">
        <v>125.83</v>
      </c>
      <c r="J241" s="5" t="n">
        <f aca="false">IFERROR(I241/规则参数!$B$10,0)</f>
        <v>2.59886025262132E-005</v>
      </c>
      <c r="K241" s="6" t="n">
        <f aca="false">IFERROR(I241/E241,0)</f>
        <v>0</v>
      </c>
      <c r="L241" s="6" t="n">
        <f aca="false">IFERROR(G241/E241,0)</f>
        <v>0</v>
      </c>
      <c r="M241" s="6" t="n">
        <f aca="false">K241+L241</f>
        <v>0</v>
      </c>
      <c r="N241" s="4" t="n">
        <v>19.19</v>
      </c>
      <c r="O241" s="4" t="n">
        <v>106.64</v>
      </c>
      <c r="P241" s="4" t="n">
        <v>0</v>
      </c>
      <c r="Q241" s="4" t="n">
        <v>0</v>
      </c>
      <c r="R241" s="4" t="n">
        <v>0</v>
      </c>
      <c r="S241" s="4" t="n">
        <v>0</v>
      </c>
      <c r="T241" s="6" t="str">
        <f aca="false">IFERROR(R241/S241-1,"")</f>
        <v/>
      </c>
      <c r="U241" s="7" t="n">
        <v>0</v>
      </c>
      <c r="V241" s="8"/>
      <c r="W241" s="4" t="n">
        <f aca="false">R241*K241</f>
        <v>0</v>
      </c>
      <c r="X241" s="4" t="n">
        <f aca="false">R241*V241</f>
        <v>0</v>
      </c>
      <c r="Y241" s="4" t="n">
        <f aca="false">X241-W241</f>
        <v>0</v>
      </c>
      <c r="Z241" s="3" t="s">
        <v>475</v>
      </c>
      <c r="AA241" s="3" t="s">
        <v>31</v>
      </c>
    </row>
    <row r="242" customFormat="false" ht="15" hidden="false" customHeight="false" outlineLevel="0" collapsed="false">
      <c r="A242" s="3" t="s">
        <v>321</v>
      </c>
      <c r="B242" s="3" t="s">
        <v>478</v>
      </c>
      <c r="C242" s="3" t="s">
        <v>34</v>
      </c>
      <c r="D242" s="9" t="s">
        <v>194</v>
      </c>
      <c r="E242" s="4" t="n">
        <v>215.97</v>
      </c>
      <c r="F242" s="5" t="n">
        <f aca="false">IFERROR(E242/规则参数!$B$8,0)</f>
        <v>6.60956141688584E-006</v>
      </c>
      <c r="G242" s="4" t="n">
        <v>-67.85</v>
      </c>
      <c r="H242" s="5" t="n">
        <f aca="false">IFERROR(G242/规则参数!$B$9,0)</f>
        <v>-1.50807549533951E-005</v>
      </c>
      <c r="I242" s="4" t="n">
        <v>123.38</v>
      </c>
      <c r="J242" s="5" t="n">
        <f aca="false">IFERROR(I242/规则参数!$B$10,0)</f>
        <v>2.54825858673145E-005</v>
      </c>
      <c r="K242" s="6" t="n">
        <f aca="false">IFERROR(I242/E242,0)</f>
        <v>0.571283048571561</v>
      </c>
      <c r="L242" s="6" t="n">
        <f aca="false">IFERROR(G242/E242,0)</f>
        <v>-0.314164004259851</v>
      </c>
      <c r="M242" s="6" t="n">
        <f aca="false">K242+L242</f>
        <v>0.25711904431171</v>
      </c>
      <c r="N242" s="4" t="n">
        <v>123.38</v>
      </c>
      <c r="O242" s="4" t="n">
        <v>0</v>
      </c>
      <c r="P242" s="4" t="n">
        <v>0</v>
      </c>
      <c r="Q242" s="4" t="n">
        <v>0</v>
      </c>
      <c r="R242" s="4" t="n">
        <v>0</v>
      </c>
      <c r="S242" s="4" t="n">
        <v>0</v>
      </c>
      <c r="T242" s="6" t="str">
        <f aca="false">IFERROR(R242/S242-1,"")</f>
        <v/>
      </c>
      <c r="U242" s="7" t="n">
        <v>0</v>
      </c>
      <c r="V242" s="8" t="n">
        <v>0.1571</v>
      </c>
      <c r="W242" s="4" t="n">
        <f aca="false">R242*K242</f>
        <v>0</v>
      </c>
      <c r="X242" s="4" t="n">
        <f aca="false">R242*V242</f>
        <v>0</v>
      </c>
      <c r="Y242" s="4" t="n">
        <f aca="false">X242-W242</f>
        <v>0</v>
      </c>
      <c r="Z242" s="3" t="s">
        <v>475</v>
      </c>
      <c r="AA242" s="3" t="s">
        <v>31</v>
      </c>
    </row>
    <row r="243" customFormat="false" ht="15" hidden="false" customHeight="false" outlineLevel="0" collapsed="false">
      <c r="A243" s="3" t="s">
        <v>39</v>
      </c>
      <c r="B243" s="3" t="s">
        <v>479</v>
      </c>
      <c r="C243" s="3" t="s">
        <v>34</v>
      </c>
      <c r="D243" s="9" t="s">
        <v>194</v>
      </c>
      <c r="E243" s="4" t="n">
        <v>395.63</v>
      </c>
      <c r="F243" s="5" t="n">
        <f aca="false">IFERROR(E243/规则参数!$B$8,0)</f>
        <v>1.21078889816296E-005</v>
      </c>
      <c r="G243" s="4" t="n">
        <v>-197.47</v>
      </c>
      <c r="H243" s="5" t="n">
        <f aca="false">IFERROR(G243/规则参数!$B$9,0)</f>
        <v>-4.38908869660565E-005</v>
      </c>
      <c r="I243" s="4" t="n">
        <v>114.74</v>
      </c>
      <c r="J243" s="5" t="n">
        <f aca="false">IFERROR(I243/规则参数!$B$10,0)</f>
        <v>2.36981026294024E-005</v>
      </c>
      <c r="K243" s="6" t="n">
        <f aca="false">IFERROR(I243/E243,0)</f>
        <v>0.29001845158355</v>
      </c>
      <c r="L243" s="6" t="n">
        <f aca="false">IFERROR(G243/E243,0)</f>
        <v>-0.499127973106185</v>
      </c>
      <c r="M243" s="6" t="n">
        <f aca="false">K243+L243</f>
        <v>-0.209109521522635</v>
      </c>
      <c r="N243" s="4" t="n">
        <v>0</v>
      </c>
      <c r="O243" s="4" t="n">
        <v>76.57</v>
      </c>
      <c r="P243" s="4" t="n">
        <v>38.17</v>
      </c>
      <c r="Q243" s="4" t="n">
        <v>0</v>
      </c>
      <c r="R243" s="4" t="n">
        <v>0</v>
      </c>
      <c r="S243" s="4" t="n">
        <v>0</v>
      </c>
      <c r="T243" s="6" t="str">
        <f aca="false">IFERROR(R243/S243-1,"")</f>
        <v/>
      </c>
      <c r="U243" s="7" t="n">
        <v>0</v>
      </c>
      <c r="V243" s="8" t="n">
        <v>0</v>
      </c>
      <c r="W243" s="4" t="n">
        <f aca="false">R243*K243</f>
        <v>0</v>
      </c>
      <c r="X243" s="4" t="n">
        <f aca="false">R243*V243</f>
        <v>0</v>
      </c>
      <c r="Y243" s="4" t="n">
        <f aca="false">X243-W243</f>
        <v>0</v>
      </c>
      <c r="Z243" s="3" t="s">
        <v>475</v>
      </c>
      <c r="AA243" s="3" t="s">
        <v>31</v>
      </c>
    </row>
    <row r="244" customFormat="false" ht="15" hidden="false" customHeight="false" outlineLevel="0" collapsed="false">
      <c r="A244" s="3" t="s">
        <v>179</v>
      </c>
      <c r="B244" s="9" t="s">
        <v>480</v>
      </c>
      <c r="C244" s="3" t="s">
        <v>29</v>
      </c>
      <c r="D244" s="9" t="s">
        <v>194</v>
      </c>
      <c r="E244" s="4" t="n">
        <v>659.89</v>
      </c>
      <c r="F244" s="5" t="n">
        <f aca="false">IFERROR(E244/规则参数!$B$8,0)</f>
        <v>2.01953210324989E-005</v>
      </c>
      <c r="G244" s="4" t="n">
        <v>65.23</v>
      </c>
      <c r="H244" s="5" t="n">
        <f aca="false">IFERROR(G244/规则参数!$B$9,0)</f>
        <v>1.44984177687541E-005</v>
      </c>
      <c r="I244" s="4" t="n">
        <v>102.69</v>
      </c>
      <c r="J244" s="5" t="n">
        <f aca="false">IFERROR(I244/规则参数!$B$10,0)</f>
        <v>2.1209326817268E-005</v>
      </c>
      <c r="K244" s="6" t="n">
        <f aca="false">IFERROR(I244/E244,0)</f>
        <v>0.155616845231781</v>
      </c>
      <c r="L244" s="6" t="n">
        <f aca="false">IFERROR(G244/E244,0)</f>
        <v>0.0988498083013836</v>
      </c>
      <c r="M244" s="6" t="n">
        <f aca="false">K244+L244</f>
        <v>0.254466653533165</v>
      </c>
      <c r="N244" s="4" t="n">
        <v>102.69</v>
      </c>
      <c r="O244" s="4" t="n">
        <v>0</v>
      </c>
      <c r="P244" s="4" t="n">
        <v>0</v>
      </c>
      <c r="Q244" s="4" t="n">
        <v>0</v>
      </c>
      <c r="R244" s="4" t="n">
        <v>0</v>
      </c>
      <c r="S244" s="4" t="n">
        <v>0</v>
      </c>
      <c r="T244" s="6" t="str">
        <f aca="false">IFERROR(R244/S244-1,"")</f>
        <v/>
      </c>
      <c r="U244" s="7" t="n">
        <v>0</v>
      </c>
      <c r="V244" s="8" t="n">
        <v>0.15</v>
      </c>
      <c r="W244" s="4" t="n">
        <f aca="false">R244*K244</f>
        <v>0</v>
      </c>
      <c r="X244" s="4" t="n">
        <f aca="false">R244*V244</f>
        <v>0</v>
      </c>
      <c r="Y244" s="4" t="n">
        <f aca="false">X244-W244</f>
        <v>0</v>
      </c>
      <c r="Z244" s="3" t="s">
        <v>475</v>
      </c>
      <c r="AA244" s="3" t="s">
        <v>31</v>
      </c>
    </row>
    <row r="245" customFormat="false" ht="15" hidden="false" customHeight="false" outlineLevel="0" collapsed="false">
      <c r="A245" s="3" t="s">
        <v>223</v>
      </c>
      <c r="B245" s="3" t="s">
        <v>481</v>
      </c>
      <c r="C245" s="3" t="s">
        <v>34</v>
      </c>
      <c r="D245" s="9" t="s">
        <v>194</v>
      </c>
      <c r="E245" s="4" t="n">
        <v>5078.17</v>
      </c>
      <c r="F245" s="5" t="n">
        <f aca="false">IFERROR(E245/规则参数!$B$8,0)</f>
        <v>0.000155412680003645</v>
      </c>
      <c r="G245" s="4" t="n">
        <v>776.94</v>
      </c>
      <c r="H245" s="5" t="n">
        <f aca="false">IFERROR(G245/规则参数!$B$9,0)</f>
        <v>0.000172687424517182</v>
      </c>
      <c r="I245" s="4" t="n">
        <v>95.93</v>
      </c>
      <c r="J245" s="5" t="n">
        <f aca="false">IFERROR(I245/规则参数!$B$10,0)</f>
        <v>1.98131339135312E-005</v>
      </c>
      <c r="K245" s="6" t="n">
        <f aca="false">IFERROR(I245/E245,0)</f>
        <v>0.0188906633688908</v>
      </c>
      <c r="L245" s="6" t="n">
        <f aca="false">IFERROR(G245/E245,0)</f>
        <v>0.152996059604149</v>
      </c>
      <c r="M245" s="6" t="n">
        <f aca="false">K245+L245</f>
        <v>0.17188672297304</v>
      </c>
      <c r="N245" s="4" t="n">
        <v>85.99</v>
      </c>
      <c r="O245" s="4" t="n">
        <v>9.94</v>
      </c>
      <c r="P245" s="4" t="n">
        <v>0</v>
      </c>
      <c r="Q245" s="4" t="n">
        <v>0</v>
      </c>
      <c r="R245" s="4" t="n">
        <v>0</v>
      </c>
      <c r="S245" s="4" t="n">
        <v>0</v>
      </c>
      <c r="T245" s="6" t="str">
        <f aca="false">IFERROR(R245/S245-1,"")</f>
        <v/>
      </c>
      <c r="U245" s="7" t="n">
        <v>0</v>
      </c>
      <c r="V245" s="8" t="n">
        <v>0.0189</v>
      </c>
      <c r="W245" s="4" t="n">
        <f aca="false">R245*K245</f>
        <v>0</v>
      </c>
      <c r="X245" s="4" t="n">
        <f aca="false">R245*V245</f>
        <v>0</v>
      </c>
      <c r="Y245" s="4" t="n">
        <f aca="false">X245-W245</f>
        <v>0</v>
      </c>
      <c r="Z245" s="3" t="s">
        <v>475</v>
      </c>
      <c r="AA245" s="3" t="s">
        <v>31</v>
      </c>
    </row>
    <row r="246" customFormat="false" ht="15" hidden="false" customHeight="false" outlineLevel="0" collapsed="false">
      <c r="A246" s="3" t="s">
        <v>39</v>
      </c>
      <c r="B246" s="3" t="s">
        <v>482</v>
      </c>
      <c r="C246" s="3" t="s">
        <v>34</v>
      </c>
      <c r="D246" s="9" t="s">
        <v>194</v>
      </c>
      <c r="E246" s="4" t="n">
        <v>789.3</v>
      </c>
      <c r="F246" s="5" t="n">
        <f aca="false">IFERROR(E246/规则参数!$B$8,0)</f>
        <v>2.41557939822568E-005</v>
      </c>
      <c r="G246" s="4" t="n">
        <v>-358.76</v>
      </c>
      <c r="H246" s="5" t="n">
        <f aca="false">IFERROR(G246/规则参数!$B$9,0)</f>
        <v>-7.97401863976422E-005</v>
      </c>
      <c r="I246" s="4" t="n">
        <v>80.92</v>
      </c>
      <c r="J246" s="5" t="n">
        <f aca="false">IFERROR(I246/规则参数!$B$10,0)</f>
        <v>1.67130073624825E-005</v>
      </c>
      <c r="K246" s="6" t="n">
        <f aca="false">IFERROR(I246/E246,0)</f>
        <v>0.10252122133536</v>
      </c>
      <c r="L246" s="6" t="n">
        <f aca="false">IFERROR(G246/E246,0)</f>
        <v>-0.454529329785886</v>
      </c>
      <c r="M246" s="6" t="n">
        <f aca="false">K246+L246</f>
        <v>-0.352008108450526</v>
      </c>
      <c r="N246" s="4" t="n">
        <v>0</v>
      </c>
      <c r="O246" s="4" t="n">
        <v>0</v>
      </c>
      <c r="P246" s="4" t="n">
        <v>80.92</v>
      </c>
      <c r="Q246" s="4" t="n">
        <v>0</v>
      </c>
      <c r="R246" s="4" t="n">
        <v>0</v>
      </c>
      <c r="S246" s="4" t="n">
        <v>0</v>
      </c>
      <c r="T246" s="6" t="str">
        <f aca="false">IFERROR(R246/S246-1,"")</f>
        <v/>
      </c>
      <c r="U246" s="7" t="n">
        <v>0</v>
      </c>
      <c r="V246" s="8" t="n">
        <v>0</v>
      </c>
      <c r="W246" s="4" t="n">
        <f aca="false">R246*K246</f>
        <v>0</v>
      </c>
      <c r="X246" s="4" t="n">
        <f aca="false">R246*V246</f>
        <v>0</v>
      </c>
      <c r="Y246" s="4" t="n">
        <f aca="false">X246-W246</f>
        <v>0</v>
      </c>
      <c r="Z246" s="3" t="s">
        <v>475</v>
      </c>
      <c r="AA246" s="3" t="s">
        <v>31</v>
      </c>
    </row>
    <row r="247" customFormat="false" ht="15" hidden="false" customHeight="false" outlineLevel="0" collapsed="false">
      <c r="A247" s="3" t="s">
        <v>39</v>
      </c>
      <c r="B247" s="3" t="s">
        <v>483</v>
      </c>
      <c r="C247" s="3" t="s">
        <v>34</v>
      </c>
      <c r="D247" s="9" t="s">
        <v>194</v>
      </c>
      <c r="E247" s="4" t="n">
        <v>74.57</v>
      </c>
      <c r="F247" s="5" t="n">
        <f aca="false">IFERROR(E247/规则参数!$B$8,0)</f>
        <v>2.28214564456719E-006</v>
      </c>
      <c r="G247" s="4" t="n">
        <v>-123.86</v>
      </c>
      <c r="H247" s="5" t="n">
        <f aca="false">IFERROR(G247/规则参数!$B$9,0)</f>
        <v>-2.75298792708551E-005</v>
      </c>
      <c r="I247" s="4" t="n">
        <v>73.56</v>
      </c>
      <c r="J247" s="5" t="n">
        <f aca="false">IFERROR(I247/规则参数!$B$10,0)</f>
        <v>1.51928920116685E-005</v>
      </c>
      <c r="K247" s="6" t="n">
        <f aca="false">IFERROR(I247/E247,0)</f>
        <v>0.986455679227572</v>
      </c>
      <c r="L247" s="6" t="n">
        <f aca="false">IFERROR(G247/E247,0)</f>
        <v>-1.66098967413169</v>
      </c>
      <c r="M247" s="6" t="n">
        <f aca="false">K247+L247</f>
        <v>-0.674533994904117</v>
      </c>
      <c r="N247" s="4" t="n">
        <v>0</v>
      </c>
      <c r="O247" s="4" t="n">
        <v>42.88</v>
      </c>
      <c r="P247" s="4" t="n">
        <v>30.68</v>
      </c>
      <c r="Q247" s="4" t="n">
        <v>0</v>
      </c>
      <c r="R247" s="4" t="n">
        <v>0</v>
      </c>
      <c r="S247" s="4" t="n">
        <v>0</v>
      </c>
      <c r="T247" s="6" t="str">
        <f aca="false">IFERROR(R247/S247-1,"")</f>
        <v/>
      </c>
      <c r="U247" s="7" t="n">
        <v>0</v>
      </c>
      <c r="V247" s="8" t="n">
        <v>0</v>
      </c>
      <c r="W247" s="4" t="n">
        <f aca="false">R247*K247</f>
        <v>0</v>
      </c>
      <c r="X247" s="4" t="n">
        <f aca="false">R247*V247</f>
        <v>0</v>
      </c>
      <c r="Y247" s="4" t="n">
        <f aca="false">X247-W247</f>
        <v>0</v>
      </c>
      <c r="Z247" s="3" t="s">
        <v>475</v>
      </c>
      <c r="AA247" s="3" t="s">
        <v>31</v>
      </c>
    </row>
    <row r="248" customFormat="false" ht="15" hidden="false" customHeight="false" outlineLevel="0" collapsed="false">
      <c r="A248" s="3" t="s">
        <v>39</v>
      </c>
      <c r="B248" s="3" t="s">
        <v>484</v>
      </c>
      <c r="C248" s="3" t="s">
        <v>34</v>
      </c>
      <c r="D248" s="9" t="s">
        <v>194</v>
      </c>
      <c r="E248" s="4" t="n">
        <v>2452.35</v>
      </c>
      <c r="F248" s="5" t="n">
        <f aca="false">IFERROR(E248/规则参数!$B$8,0)</f>
        <v>7.50518958221049E-005</v>
      </c>
      <c r="G248" s="4" t="n">
        <v>184.57</v>
      </c>
      <c r="H248" s="5" t="n">
        <f aca="false">IFERROR(G248/规则参数!$B$9,0)</f>
        <v>4.10236542630528E-005</v>
      </c>
      <c r="I248" s="4" t="n">
        <v>66.58</v>
      </c>
      <c r="J248" s="5" t="n">
        <f aca="false">IFERROR(I248/规则参数!$B$10,0)</f>
        <v>1.37512608773367E-005</v>
      </c>
      <c r="K248" s="6" t="n">
        <f aca="false">IFERROR(I248/E248,0)</f>
        <v>0.0271494688767917</v>
      </c>
      <c r="L248" s="6" t="n">
        <f aca="false">IFERROR(G248/E248,0)</f>
        <v>0.0752625033131486</v>
      </c>
      <c r="M248" s="6" t="n">
        <f aca="false">K248+L248</f>
        <v>0.10241197218994</v>
      </c>
      <c r="N248" s="4" t="n">
        <v>11.97</v>
      </c>
      <c r="O248" s="4" t="n">
        <v>18.66</v>
      </c>
      <c r="P248" s="4" t="n">
        <v>35.95</v>
      </c>
      <c r="Q248" s="4" t="n">
        <v>0</v>
      </c>
      <c r="R248" s="4" t="n">
        <v>29.99</v>
      </c>
      <c r="S248" s="4" t="n">
        <v>29.99</v>
      </c>
      <c r="T248" s="6" t="n">
        <f aca="false">IFERROR(R248/S248-1,"")</f>
        <v>0</v>
      </c>
      <c r="U248" s="7" t="n">
        <v>0</v>
      </c>
      <c r="V248" s="8" t="n">
        <v>0.0024</v>
      </c>
      <c r="W248" s="4" t="n">
        <f aca="false">R248*K248</f>
        <v>0.814212571614982</v>
      </c>
      <c r="X248" s="4" t="n">
        <f aca="false">R248*V248</f>
        <v>0.071976</v>
      </c>
      <c r="Y248" s="4" t="n">
        <f aca="false">X248-W248</f>
        <v>-0.742236571614982</v>
      </c>
      <c r="Z248" s="3" t="s">
        <v>475</v>
      </c>
      <c r="AA248" s="3" t="s">
        <v>31</v>
      </c>
    </row>
    <row r="249" customFormat="false" ht="15" hidden="false" customHeight="false" outlineLevel="0" collapsed="false">
      <c r="A249" s="3" t="s">
        <v>39</v>
      </c>
      <c r="B249" s="3" t="s">
        <v>485</v>
      </c>
      <c r="C249" s="3" t="s">
        <v>34</v>
      </c>
      <c r="D249" s="9" t="s">
        <v>194</v>
      </c>
      <c r="E249" s="4" t="n">
        <v>0</v>
      </c>
      <c r="F249" s="5" t="n">
        <f aca="false">IFERROR(E249/规则参数!$B$8,0)</f>
        <v>0</v>
      </c>
      <c r="G249" s="4" t="n">
        <v>-56.34</v>
      </c>
      <c r="H249" s="5" t="n">
        <f aca="false">IFERROR(G249/规则参数!$B$9,0)</f>
        <v>-1.25224721307926E-005</v>
      </c>
      <c r="I249" s="4" t="n">
        <v>54.92</v>
      </c>
      <c r="J249" s="5" t="n">
        <f aca="false">IFERROR(I249/规则参数!$B$10,0)</f>
        <v>1.13430346558025E-005</v>
      </c>
      <c r="K249" s="6" t="n">
        <f aca="false">IFERROR(I249/E249,0)</f>
        <v>0</v>
      </c>
      <c r="L249" s="6" t="n">
        <f aca="false">IFERROR(G249/E249,0)</f>
        <v>0</v>
      </c>
      <c r="M249" s="6" t="n">
        <f aca="false">K249+L249</f>
        <v>0</v>
      </c>
      <c r="N249" s="4" t="n">
        <v>0</v>
      </c>
      <c r="O249" s="4" t="n">
        <v>54.92</v>
      </c>
      <c r="P249" s="4" t="n">
        <v>0</v>
      </c>
      <c r="Q249" s="4" t="n">
        <v>0</v>
      </c>
      <c r="R249" s="4" t="n">
        <v>0</v>
      </c>
      <c r="S249" s="4" t="n">
        <v>0</v>
      </c>
      <c r="T249" s="6" t="str">
        <f aca="false">IFERROR(R249/S249-1,"")</f>
        <v/>
      </c>
      <c r="U249" s="7" t="n">
        <v>0</v>
      </c>
      <c r="V249" s="8"/>
      <c r="W249" s="4" t="n">
        <f aca="false">R249*K249</f>
        <v>0</v>
      </c>
      <c r="X249" s="4" t="n">
        <f aca="false">R249*V249</f>
        <v>0</v>
      </c>
      <c r="Y249" s="4" t="n">
        <f aca="false">X249-W249</f>
        <v>0</v>
      </c>
      <c r="Z249" s="3" t="s">
        <v>475</v>
      </c>
      <c r="AA249" s="3" t="s">
        <v>31</v>
      </c>
    </row>
    <row r="250" customFormat="false" ht="15" hidden="false" customHeight="false" outlineLevel="0" collapsed="false">
      <c r="A250" s="3" t="s">
        <v>486</v>
      </c>
      <c r="B250" s="3" t="s">
        <v>487</v>
      </c>
      <c r="C250" s="3" t="s">
        <v>29</v>
      </c>
      <c r="D250" s="9" t="s">
        <v>194</v>
      </c>
      <c r="E250" s="4" t="n">
        <v>1661.08</v>
      </c>
      <c r="F250" s="5" t="n">
        <f aca="false">IFERROR(E250/规则参数!$B$8,0)</f>
        <v>5.08358118181263E-005</v>
      </c>
      <c r="G250" s="4" t="n">
        <v>65.51</v>
      </c>
      <c r="H250" s="5" t="n">
        <f aca="false">IFERROR(G250/规则参数!$B$9,0)</f>
        <v>1.45606522770363E-005</v>
      </c>
      <c r="I250" s="4" t="n">
        <v>52.26</v>
      </c>
      <c r="J250" s="5" t="n">
        <f aca="false">IFERROR(I250/规则参数!$B$10,0)</f>
        <v>1.07936451404268E-005</v>
      </c>
      <c r="K250" s="6" t="n">
        <f aca="false">IFERROR(I250/E250,0)</f>
        <v>0.0314614588099309</v>
      </c>
      <c r="L250" s="6" t="n">
        <f aca="false">IFERROR(G250/E250,0)</f>
        <v>0.0394381968357936</v>
      </c>
      <c r="M250" s="6" t="n">
        <f aca="false">K250+L250</f>
        <v>0.0708996556457245</v>
      </c>
      <c r="N250" s="4" t="n">
        <v>52.26</v>
      </c>
      <c r="O250" s="4" t="n">
        <v>0</v>
      </c>
      <c r="P250" s="4" t="n">
        <v>0</v>
      </c>
      <c r="Q250" s="4" t="n">
        <v>0</v>
      </c>
      <c r="R250" s="4" t="n">
        <v>0</v>
      </c>
      <c r="S250" s="4" t="n">
        <v>0</v>
      </c>
      <c r="T250" s="6" t="str">
        <f aca="false">IFERROR(R250/S250-1,"")</f>
        <v/>
      </c>
      <c r="U250" s="7" t="n">
        <v>0</v>
      </c>
      <c r="V250" s="8" t="n">
        <v>0.0209</v>
      </c>
      <c r="W250" s="4" t="n">
        <f aca="false">R250*K250</f>
        <v>0</v>
      </c>
      <c r="X250" s="4" t="n">
        <f aca="false">R250*V250</f>
        <v>0</v>
      </c>
      <c r="Y250" s="4" t="n">
        <f aca="false">X250-W250</f>
        <v>0</v>
      </c>
      <c r="Z250" s="3" t="s">
        <v>475</v>
      </c>
      <c r="AA250" s="3" t="s">
        <v>31</v>
      </c>
    </row>
    <row r="251" customFormat="false" ht="15" hidden="false" customHeight="false" outlineLevel="0" collapsed="false">
      <c r="A251" s="3" t="s">
        <v>244</v>
      </c>
      <c r="B251" s="9" t="s">
        <v>488</v>
      </c>
      <c r="C251" s="3" t="s">
        <v>34</v>
      </c>
      <c r="D251" s="9" t="s">
        <v>194</v>
      </c>
      <c r="E251" s="4" t="n">
        <v>6288.11</v>
      </c>
      <c r="F251" s="5" t="n">
        <f aca="false">IFERROR(E251/规则参数!$B$8,0)</f>
        <v>0.000192441770806751</v>
      </c>
      <c r="G251" s="4" t="n">
        <v>1348.12</v>
      </c>
      <c r="H251" s="5" t="n">
        <f aca="false">IFERROR(G251/规则参数!$B$9,0)</f>
        <v>0.000299641376090951</v>
      </c>
      <c r="I251" s="4" t="n">
        <v>49.7</v>
      </c>
      <c r="J251" s="5" t="n">
        <f aca="false">IFERROR(I251/规则参数!$B$10,0)</f>
        <v>1.02649093662306E-005</v>
      </c>
      <c r="K251" s="6" t="n">
        <f aca="false">IFERROR(I251/E251,0)</f>
        <v>0.0079038057540342</v>
      </c>
      <c r="L251" s="6" t="n">
        <f aca="false">IFERROR(G251/E251,0)</f>
        <v>0.214391923805404</v>
      </c>
      <c r="M251" s="6" t="n">
        <f aca="false">K251+L251</f>
        <v>0.222295729559438</v>
      </c>
      <c r="N251" s="4" t="n">
        <v>42.82</v>
      </c>
      <c r="O251" s="4" t="n">
        <v>-0.32</v>
      </c>
      <c r="P251" s="4" t="n">
        <v>7.2</v>
      </c>
      <c r="Q251" s="4" t="n">
        <v>0</v>
      </c>
      <c r="R251" s="4" t="n">
        <v>574.75</v>
      </c>
      <c r="S251" s="4" t="n">
        <v>392.34</v>
      </c>
      <c r="T251" s="6" t="n">
        <f aca="false">IFERROR(R251/S251-1,"")</f>
        <v>0.464928378447265</v>
      </c>
      <c r="U251" s="7" t="n">
        <v>170</v>
      </c>
      <c r="V251" s="8" t="n">
        <v>0.0079</v>
      </c>
      <c r="W251" s="4" t="n">
        <f aca="false">R251*K251</f>
        <v>4.54271235713116</v>
      </c>
      <c r="X251" s="4" t="n">
        <f aca="false">R251*V251</f>
        <v>4.540525</v>
      </c>
      <c r="Y251" s="4" t="n">
        <f aca="false">X251-W251</f>
        <v>-0.00218735713115681</v>
      </c>
      <c r="Z251" s="3" t="s">
        <v>475</v>
      </c>
      <c r="AA251" s="3" t="s">
        <v>31</v>
      </c>
    </row>
    <row r="252" customFormat="false" ht="15" hidden="false" customHeight="false" outlineLevel="0" collapsed="false">
      <c r="A252" s="3" t="s">
        <v>50</v>
      </c>
      <c r="B252" s="3" t="s">
        <v>489</v>
      </c>
      <c r="C252" s="3" t="s">
        <v>29</v>
      </c>
      <c r="D252" s="9" t="s">
        <v>194</v>
      </c>
      <c r="E252" s="4" t="n">
        <v>755.79</v>
      </c>
      <c r="F252" s="5" t="n">
        <f aca="false">IFERROR(E252/规则参数!$B$8,0)</f>
        <v>2.31302515315467E-005</v>
      </c>
      <c r="G252" s="4" t="n">
        <v>-184.14</v>
      </c>
      <c r="H252" s="5" t="n">
        <f aca="false">IFERROR(G252/规则参数!$B$9,0)</f>
        <v>-4.09280798396194E-005</v>
      </c>
      <c r="I252" s="4" t="n">
        <v>45.73</v>
      </c>
      <c r="J252" s="5" t="n">
        <f aca="false">IFERROR(I252/规则参数!$B$10,0)</f>
        <v>9.44495584140292E-006</v>
      </c>
      <c r="K252" s="6" t="n">
        <f aca="false">IFERROR(I252/E252,0)</f>
        <v>0.0605062252742164</v>
      </c>
      <c r="L252" s="6" t="n">
        <f aca="false">IFERROR(G252/E252,0)</f>
        <v>-0.243639106100901</v>
      </c>
      <c r="M252" s="6" t="n">
        <f aca="false">K252+L252</f>
        <v>-0.183132880826685</v>
      </c>
      <c r="N252" s="4" t="n">
        <v>45.73</v>
      </c>
      <c r="O252" s="4" t="n">
        <v>0</v>
      </c>
      <c r="P252" s="4" t="n">
        <v>0</v>
      </c>
      <c r="Q252" s="4" t="n">
        <v>0</v>
      </c>
      <c r="R252" s="4" t="n">
        <v>0</v>
      </c>
      <c r="S252" s="4" t="n">
        <v>0</v>
      </c>
      <c r="T252" s="6" t="str">
        <f aca="false">IFERROR(R252/S252-1,"")</f>
        <v/>
      </c>
      <c r="U252" s="7" t="n">
        <v>0</v>
      </c>
      <c r="V252" s="8" t="n">
        <v>0</v>
      </c>
      <c r="W252" s="4" t="n">
        <f aca="false">R252*K252</f>
        <v>0</v>
      </c>
      <c r="X252" s="4" t="n">
        <f aca="false">R252*V252</f>
        <v>0</v>
      </c>
      <c r="Y252" s="4" t="n">
        <f aca="false">X252-W252</f>
        <v>0</v>
      </c>
      <c r="Z252" s="3" t="s">
        <v>475</v>
      </c>
      <c r="AA252" s="3" t="s">
        <v>31</v>
      </c>
    </row>
    <row r="253" customFormat="false" ht="15" hidden="false" customHeight="false" outlineLevel="0" collapsed="false">
      <c r="A253" s="9" t="s">
        <v>419</v>
      </c>
      <c r="B253" s="9" t="s">
        <v>490</v>
      </c>
      <c r="C253" s="3" t="s">
        <v>29</v>
      </c>
      <c r="D253" s="9" t="s">
        <v>194</v>
      </c>
      <c r="E253" s="4" t="n">
        <v>48.05</v>
      </c>
      <c r="F253" s="5" t="n">
        <f aca="false">IFERROR(E253/规则参数!$B$8,0)</f>
        <v>1.4705256567179E-006</v>
      </c>
      <c r="G253" s="4" t="n">
        <v>1.08</v>
      </c>
      <c r="H253" s="5" t="n">
        <f aca="false">IFERROR(G253/规则参数!$B$9,0)</f>
        <v>2.40047389088677E-007</v>
      </c>
      <c r="I253" s="4" t="n">
        <v>36.65</v>
      </c>
      <c r="J253" s="5" t="n">
        <f aca="false">IFERROR(I253/规则参数!$B$10,0)</f>
        <v>7.56959614230083E-006</v>
      </c>
      <c r="K253" s="6" t="n">
        <f aca="false">IFERROR(I253/E253,0)</f>
        <v>0.762747138397503</v>
      </c>
      <c r="L253" s="6" t="n">
        <f aca="false">IFERROR(G253/E253,0)</f>
        <v>0.0224765868886577</v>
      </c>
      <c r="M253" s="6" t="n">
        <f aca="false">K253+L253</f>
        <v>0.78522372528616</v>
      </c>
      <c r="N253" s="4" t="n">
        <v>36.67</v>
      </c>
      <c r="O253" s="4" t="n">
        <v>-0.02</v>
      </c>
      <c r="P253" s="4" t="n">
        <v>0</v>
      </c>
      <c r="Q253" s="4" t="n">
        <v>0</v>
      </c>
      <c r="R253" s="4" t="n">
        <v>0</v>
      </c>
      <c r="S253" s="4" t="n">
        <v>0</v>
      </c>
      <c r="T253" s="6" t="str">
        <f aca="false">IFERROR(R253/S253-1,"")</f>
        <v/>
      </c>
      <c r="U253" s="7" t="n">
        <v>0</v>
      </c>
      <c r="V253" s="8" t="n">
        <v>0.15</v>
      </c>
      <c r="W253" s="4" t="n">
        <f aca="false">R253*K253</f>
        <v>0</v>
      </c>
      <c r="X253" s="4" t="n">
        <f aca="false">R253*V253</f>
        <v>0</v>
      </c>
      <c r="Y253" s="4" t="n">
        <f aca="false">X253-W253</f>
        <v>0</v>
      </c>
      <c r="Z253" s="3" t="s">
        <v>475</v>
      </c>
      <c r="AA253" s="3" t="s">
        <v>31</v>
      </c>
    </row>
    <row r="254" customFormat="false" ht="15" hidden="false" customHeight="false" outlineLevel="0" collapsed="false">
      <c r="A254" s="9" t="s">
        <v>346</v>
      </c>
      <c r="B254" s="3" t="s">
        <v>491</v>
      </c>
      <c r="C254" s="3" t="s">
        <v>29</v>
      </c>
      <c r="D254" s="9" t="s">
        <v>194</v>
      </c>
      <c r="E254" s="4" t="n">
        <v>523.66</v>
      </c>
      <c r="F254" s="5" t="n">
        <f aca="false">IFERROR(E254/规则参数!$B$8,0)</f>
        <v>1.60261283121102E-005</v>
      </c>
      <c r="G254" s="4" t="n">
        <v>124</v>
      </c>
      <c r="H254" s="5" t="n">
        <f aca="false">IFERROR(G254/规则参数!$B$9,0)</f>
        <v>2.75609965249962E-005</v>
      </c>
      <c r="I254" s="4" t="n">
        <v>36.1</v>
      </c>
      <c r="J254" s="5" t="n">
        <f aca="false">IFERROR(I254/规则参数!$B$10,0)</f>
        <v>7.45600056581337E-006</v>
      </c>
      <c r="K254" s="6" t="n">
        <f aca="false">IFERROR(I254/E254,0)</f>
        <v>0.0689378604437994</v>
      </c>
      <c r="L254" s="6" t="n">
        <f aca="false">IFERROR(G254/E254,0)</f>
        <v>0.236794866898369</v>
      </c>
      <c r="M254" s="6" t="n">
        <f aca="false">K254+L254</f>
        <v>0.305732727342169</v>
      </c>
      <c r="N254" s="4" t="n">
        <v>36.14</v>
      </c>
      <c r="O254" s="4" t="n">
        <v>0</v>
      </c>
      <c r="P254" s="4" t="n">
        <v>-0.04</v>
      </c>
      <c r="Q254" s="4" t="n">
        <v>0</v>
      </c>
      <c r="R254" s="4" t="n">
        <v>15.98</v>
      </c>
      <c r="S254" s="4" t="n">
        <v>26.97</v>
      </c>
      <c r="T254" s="6" t="n">
        <f aca="false">IFERROR(R254/S254-1,"")</f>
        <v>-0.407489803485354</v>
      </c>
      <c r="U254" s="7" t="n">
        <v>0</v>
      </c>
      <c r="V254" s="8" t="n">
        <v>0.0689</v>
      </c>
      <c r="W254" s="4" t="n">
        <f aca="false">R254*K254</f>
        <v>1.10162700989191</v>
      </c>
      <c r="X254" s="4" t="n">
        <f aca="false">R254*V254</f>
        <v>1.101022</v>
      </c>
      <c r="Y254" s="4" t="n">
        <f aca="false">X254-W254</f>
        <v>-0.000605009891914587</v>
      </c>
      <c r="Z254" s="3" t="s">
        <v>475</v>
      </c>
      <c r="AA254" s="3" t="s">
        <v>31</v>
      </c>
    </row>
    <row r="255" customFormat="false" ht="15" hidden="false" customHeight="false" outlineLevel="0" collapsed="false">
      <c r="A255" s="3" t="s">
        <v>486</v>
      </c>
      <c r="B255" s="3" t="s">
        <v>492</v>
      </c>
      <c r="C255" s="3" t="s">
        <v>29</v>
      </c>
      <c r="D255" s="9" t="s">
        <v>194</v>
      </c>
      <c r="E255" s="4" t="n">
        <v>2535.06</v>
      </c>
      <c r="F255" s="5" t="n">
        <f aca="false">IFERROR(E255/规则参数!$B$8,0)</f>
        <v>7.75831586122638E-005</v>
      </c>
      <c r="G255" s="4" t="n">
        <v>218.03</v>
      </c>
      <c r="H255" s="5" t="n">
        <f aca="false">IFERROR(G255/规则参数!$B$9,0)</f>
        <v>4.84606780027816E-005</v>
      </c>
      <c r="I255" s="4" t="n">
        <v>35.59</v>
      </c>
      <c r="J255" s="5" t="n">
        <f aca="false">IFERROR(I255/规则参数!$B$10,0)</f>
        <v>7.35066648579773E-006</v>
      </c>
      <c r="K255" s="6" t="n">
        <f aca="false">IFERROR(I255/E255,0)</f>
        <v>0.0140391154449993</v>
      </c>
      <c r="L255" s="6" t="n">
        <f aca="false">IFERROR(G255/E255,0)</f>
        <v>0.0860058539048385</v>
      </c>
      <c r="M255" s="6" t="n">
        <f aca="false">K255+L255</f>
        <v>0.100044969349838</v>
      </c>
      <c r="N255" s="4" t="n">
        <v>35.59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6" t="str">
        <f aca="false">IFERROR(R255/S255-1,"")</f>
        <v/>
      </c>
      <c r="U255" s="7" t="n">
        <v>0</v>
      </c>
      <c r="V255" s="8" t="n">
        <v>0.014</v>
      </c>
      <c r="W255" s="4" t="n">
        <f aca="false">R255*K255</f>
        <v>0</v>
      </c>
      <c r="X255" s="4" t="n">
        <f aca="false">R255*V255</f>
        <v>0</v>
      </c>
      <c r="Y255" s="4" t="n">
        <f aca="false">X255-W255</f>
        <v>0</v>
      </c>
      <c r="Z255" s="3" t="s">
        <v>475</v>
      </c>
      <c r="AA255" s="3" t="s">
        <v>31</v>
      </c>
    </row>
    <row r="256" customFormat="false" ht="15" hidden="false" customHeight="false" outlineLevel="0" collapsed="false">
      <c r="A256" s="3" t="s">
        <v>53</v>
      </c>
      <c r="B256" s="3" t="s">
        <v>493</v>
      </c>
      <c r="C256" s="3" t="s">
        <v>34</v>
      </c>
      <c r="D256" s="9" t="s">
        <v>194</v>
      </c>
      <c r="E256" s="4" t="n">
        <v>332.36</v>
      </c>
      <c r="F256" s="5" t="n">
        <f aca="false">IFERROR(E256/规则参数!$B$8,0)</f>
        <v>1.01715693499846E-005</v>
      </c>
      <c r="G256" s="4" t="n">
        <v>-307.18</v>
      </c>
      <c r="H256" s="5" t="n">
        <f aca="false">IFERROR(G256/规则参数!$B$9,0)</f>
        <v>-6.82757009076479E-005</v>
      </c>
      <c r="I256" s="4" t="n">
        <v>30.08</v>
      </c>
      <c r="J256" s="5" t="n">
        <f aca="false">IFERROR(I256/规则参数!$B$10,0)</f>
        <v>6.21264534680516E-006</v>
      </c>
      <c r="K256" s="6" t="n">
        <f aca="false">IFERROR(I256/E256,0)</f>
        <v>0.0905042724756288</v>
      </c>
      <c r="L256" s="6" t="n">
        <f aca="false">IFERROR(G256/E256,0)</f>
        <v>-0.92423877722951</v>
      </c>
      <c r="M256" s="6" t="n">
        <f aca="false">K256+L256</f>
        <v>-0.833734504753881</v>
      </c>
      <c r="N256" s="4" t="n">
        <v>30.08</v>
      </c>
      <c r="O256" s="4" t="n">
        <v>0</v>
      </c>
      <c r="P256" s="4" t="n">
        <v>0</v>
      </c>
      <c r="Q256" s="4" t="n">
        <v>0</v>
      </c>
      <c r="R256" s="4" t="n">
        <v>0</v>
      </c>
      <c r="S256" s="4" t="n">
        <v>0</v>
      </c>
      <c r="T256" s="6" t="str">
        <f aca="false">IFERROR(R256/S256-1,"")</f>
        <v/>
      </c>
      <c r="U256" s="7" t="n">
        <v>0</v>
      </c>
      <c r="V256" s="8" t="n">
        <v>0</v>
      </c>
      <c r="W256" s="4" t="n">
        <f aca="false">R256*K256</f>
        <v>0</v>
      </c>
      <c r="X256" s="4" t="n">
        <f aca="false">R256*V256</f>
        <v>0</v>
      </c>
      <c r="Y256" s="4" t="n">
        <f aca="false">X256-W256</f>
        <v>0</v>
      </c>
      <c r="Z256" s="3" t="s">
        <v>475</v>
      </c>
      <c r="AA256" s="3" t="s">
        <v>31</v>
      </c>
    </row>
    <row r="257" customFormat="false" ht="15" hidden="false" customHeight="false" outlineLevel="0" collapsed="false">
      <c r="A257" s="3" t="s">
        <v>44</v>
      </c>
      <c r="B257" s="3" t="s">
        <v>494</v>
      </c>
      <c r="C257" s="3" t="s">
        <v>34</v>
      </c>
      <c r="D257" s="9" t="s">
        <v>194</v>
      </c>
      <c r="E257" s="4" t="n">
        <v>0</v>
      </c>
      <c r="F257" s="5" t="n">
        <f aca="false">IFERROR(E257/规则参数!$B$8,0)</f>
        <v>0</v>
      </c>
      <c r="G257" s="4" t="n">
        <v>-4056.61</v>
      </c>
      <c r="H257" s="5" t="n">
        <f aca="false">IFERROR(G257/规则参数!$B$9,0)</f>
        <v>-0.0009016468880102</v>
      </c>
      <c r="I257" s="4" t="n">
        <v>27.62</v>
      </c>
      <c r="J257" s="5" t="n">
        <f aca="false">IFERROR(I257/规则参数!$B$10,0)</f>
        <v>5.70456331378851E-006</v>
      </c>
      <c r="K257" s="6" t="n">
        <f aca="false">IFERROR(I257/E257,0)</f>
        <v>0</v>
      </c>
      <c r="L257" s="6" t="n">
        <f aca="false">IFERROR(G257/E257,0)</f>
        <v>0</v>
      </c>
      <c r="M257" s="6" t="n">
        <f aca="false">K257+L257</f>
        <v>0</v>
      </c>
      <c r="N257" s="4" t="n">
        <v>0.88</v>
      </c>
      <c r="O257" s="4" t="n">
        <v>26.59</v>
      </c>
      <c r="P257" s="4" t="n">
        <v>0.15</v>
      </c>
      <c r="Q257" s="4" t="n">
        <v>0</v>
      </c>
      <c r="R257" s="4" t="n">
        <v>0</v>
      </c>
      <c r="S257" s="4" t="n">
        <v>0</v>
      </c>
      <c r="T257" s="6" t="str">
        <f aca="false">IFERROR(R257/S257-1,"")</f>
        <v/>
      </c>
      <c r="U257" s="7" t="n">
        <v>0</v>
      </c>
      <c r="V257" s="8"/>
      <c r="W257" s="4" t="n">
        <f aca="false">R257*K257</f>
        <v>0</v>
      </c>
      <c r="X257" s="4" t="n">
        <f aca="false">R257*V257</f>
        <v>0</v>
      </c>
      <c r="Y257" s="4" t="n">
        <f aca="false">X257-W257</f>
        <v>0</v>
      </c>
      <c r="Z257" s="3" t="s">
        <v>475</v>
      </c>
      <c r="AA257" s="3" t="s">
        <v>31</v>
      </c>
    </row>
    <row r="258" customFormat="false" ht="15" hidden="false" customHeight="false" outlineLevel="0" collapsed="false">
      <c r="A258" s="3" t="s">
        <v>495</v>
      </c>
      <c r="B258" s="3" t="s">
        <v>496</v>
      </c>
      <c r="C258" s="3" t="s">
        <v>29</v>
      </c>
      <c r="D258" s="9" t="s">
        <v>194</v>
      </c>
      <c r="E258" s="4" t="n">
        <v>83.97</v>
      </c>
      <c r="F258" s="5" t="n">
        <f aca="false">IFERROR(E258/规则参数!$B$8,0)</f>
        <v>2.56982392080337E-006</v>
      </c>
      <c r="G258" s="4" t="n">
        <v>-37.99</v>
      </c>
      <c r="H258" s="5" t="n">
        <f aca="false">IFERROR(G258/规则参数!$B$9,0)</f>
        <v>-8.44388917729521E-006</v>
      </c>
      <c r="I258" s="4" t="n">
        <v>26.36</v>
      </c>
      <c r="J258" s="5" t="n">
        <f aca="false">IFERROR(I258/规则参数!$B$10,0)</f>
        <v>5.44432617492633E-006</v>
      </c>
      <c r="K258" s="6" t="n">
        <f aca="false">IFERROR(I258/E258,0)</f>
        <v>0.313921638680481</v>
      </c>
      <c r="L258" s="6" t="n">
        <f aca="false">IFERROR(G258/E258,0)</f>
        <v>-0.452423484577825</v>
      </c>
      <c r="M258" s="6" t="n">
        <f aca="false">K258+L258</f>
        <v>-0.138501845897344</v>
      </c>
      <c r="N258" s="4" t="n">
        <v>26.36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6" t="str">
        <f aca="false">IFERROR(R258/S258-1,"")</f>
        <v/>
      </c>
      <c r="U258" s="7" t="n">
        <v>0</v>
      </c>
      <c r="V258" s="8" t="n">
        <v>0</v>
      </c>
      <c r="W258" s="4" t="n">
        <f aca="false">R258*K258</f>
        <v>0</v>
      </c>
      <c r="X258" s="4" t="n">
        <f aca="false">R258*V258</f>
        <v>0</v>
      </c>
      <c r="Y258" s="4" t="n">
        <f aca="false">X258-W258</f>
        <v>0</v>
      </c>
      <c r="Z258" s="3" t="s">
        <v>475</v>
      </c>
      <c r="AA258" s="3" t="s">
        <v>31</v>
      </c>
    </row>
    <row r="259" customFormat="false" ht="15" hidden="false" customHeight="false" outlineLevel="0" collapsed="false">
      <c r="A259" s="3" t="s">
        <v>144</v>
      </c>
      <c r="B259" s="3" t="s">
        <v>497</v>
      </c>
      <c r="C259" s="3" t="s">
        <v>34</v>
      </c>
      <c r="D259" s="9" t="s">
        <v>194</v>
      </c>
      <c r="E259" s="4" t="n">
        <v>0</v>
      </c>
      <c r="F259" s="5" t="n">
        <f aca="false">IFERROR(E259/规则参数!$B$8,0)</f>
        <v>0</v>
      </c>
      <c r="G259" s="4" t="n">
        <v>-24.34</v>
      </c>
      <c r="H259" s="5" t="n">
        <f aca="false">IFERROR(G259/规则参数!$B$9,0)</f>
        <v>-5.40995689853555E-006</v>
      </c>
      <c r="I259" s="4" t="n">
        <v>24.34</v>
      </c>
      <c r="J259" s="5" t="n">
        <f aca="false">IFERROR(I259/规则参数!$B$10,0)</f>
        <v>5.02712060309965E-006</v>
      </c>
      <c r="K259" s="6" t="n">
        <f aca="false">IFERROR(I259/E259,0)</f>
        <v>0</v>
      </c>
      <c r="L259" s="6" t="n">
        <f aca="false">IFERROR(G259/E259,0)</f>
        <v>0</v>
      </c>
      <c r="M259" s="6" t="n">
        <f aca="false">K259+L259</f>
        <v>0</v>
      </c>
      <c r="N259" s="4" t="n">
        <v>24.34</v>
      </c>
      <c r="O259" s="4" t="n">
        <v>0</v>
      </c>
      <c r="P259" s="4" t="n">
        <v>0</v>
      </c>
      <c r="Q259" s="4" t="n">
        <v>0</v>
      </c>
      <c r="R259" s="4" t="n">
        <v>0</v>
      </c>
      <c r="S259" s="4" t="n">
        <v>0</v>
      </c>
      <c r="T259" s="6" t="str">
        <f aca="false">IFERROR(R259/S259-1,"")</f>
        <v/>
      </c>
      <c r="U259" s="7" t="n">
        <v>0</v>
      </c>
      <c r="V259" s="8"/>
      <c r="W259" s="4" t="n">
        <f aca="false">R259*K259</f>
        <v>0</v>
      </c>
      <c r="X259" s="4" t="n">
        <f aca="false">R259*V259</f>
        <v>0</v>
      </c>
      <c r="Y259" s="4" t="n">
        <f aca="false">X259-W259</f>
        <v>0</v>
      </c>
      <c r="Z259" s="3" t="s">
        <v>475</v>
      </c>
      <c r="AA259" s="3" t="s">
        <v>31</v>
      </c>
    </row>
    <row r="260" customFormat="false" ht="15" hidden="false" customHeight="false" outlineLevel="0" collapsed="false">
      <c r="A260" s="3" t="s">
        <v>39</v>
      </c>
      <c r="B260" s="3" t="s">
        <v>498</v>
      </c>
      <c r="C260" s="3" t="s">
        <v>29</v>
      </c>
      <c r="D260" s="9" t="s">
        <v>194</v>
      </c>
      <c r="E260" s="4" t="n">
        <v>6117.66</v>
      </c>
      <c r="F260" s="5" t="n">
        <f aca="false">IFERROR(E260/规则参数!$B$8,0)</f>
        <v>0.000187225306744575</v>
      </c>
      <c r="G260" s="4" t="n">
        <v>1987.29</v>
      </c>
      <c r="H260" s="5" t="n">
        <f aca="false">IFERROR(G260/规则参数!$B$9,0)</f>
        <v>0.000441707199872256</v>
      </c>
      <c r="I260" s="4" t="n">
        <v>21.44</v>
      </c>
      <c r="J260" s="5" t="n">
        <f aca="false">IFERROR(I260/规则参数!$B$10,0)</f>
        <v>4.42816210889304E-006</v>
      </c>
      <c r="K260" s="6" t="n">
        <f aca="false">IFERROR(I260/E260,0)</f>
        <v>0.0035046079710216</v>
      </c>
      <c r="L260" s="6" t="n">
        <f aca="false">IFERROR(G260/E260,0)</f>
        <v>0.324844793597552</v>
      </c>
      <c r="M260" s="6" t="n">
        <f aca="false">K260+L260</f>
        <v>0.328349401568574</v>
      </c>
      <c r="N260" s="4" t="n">
        <v>0</v>
      </c>
      <c r="O260" s="4" t="n">
        <v>17.32</v>
      </c>
      <c r="P260" s="4" t="n">
        <v>4.12</v>
      </c>
      <c r="Q260" s="4" t="n">
        <v>0</v>
      </c>
      <c r="R260" s="4" t="n">
        <v>0</v>
      </c>
      <c r="S260" s="4" t="n">
        <v>0</v>
      </c>
      <c r="T260" s="6" t="str">
        <f aca="false">IFERROR(R260/S260-1,"")</f>
        <v/>
      </c>
      <c r="U260" s="7" t="n">
        <v>0</v>
      </c>
      <c r="V260" s="8" t="n">
        <v>0.0035</v>
      </c>
      <c r="W260" s="4" t="n">
        <f aca="false">R260*K260</f>
        <v>0</v>
      </c>
      <c r="X260" s="4" t="n">
        <f aca="false">R260*V260</f>
        <v>0</v>
      </c>
      <c r="Y260" s="4" t="n">
        <f aca="false">X260-W260</f>
        <v>0</v>
      </c>
      <c r="Z260" s="3" t="s">
        <v>475</v>
      </c>
      <c r="AA260" s="3" t="s">
        <v>31</v>
      </c>
    </row>
    <row r="261" customFormat="false" ht="15" hidden="false" customHeight="false" outlineLevel="0" collapsed="false">
      <c r="A261" s="3" t="s">
        <v>39</v>
      </c>
      <c r="B261" s="3" t="s">
        <v>499</v>
      </c>
      <c r="C261" s="3" t="s">
        <v>29</v>
      </c>
      <c r="D261" s="9" t="s">
        <v>194</v>
      </c>
      <c r="E261" s="4" t="n">
        <v>534.15</v>
      </c>
      <c r="F261" s="5" t="n">
        <f aca="false">IFERROR(E261/规则参数!$B$8,0)</f>
        <v>1.6347165026761E-005</v>
      </c>
      <c r="G261" s="4" t="n">
        <v>174.91</v>
      </c>
      <c r="H261" s="5" t="n">
        <f aca="false">IFERROR(G261/规则参数!$B$9,0)</f>
        <v>3.88765637273152E-005</v>
      </c>
      <c r="I261" s="4" t="n">
        <v>14.61</v>
      </c>
      <c r="J261" s="5" t="n">
        <f aca="false">IFERROR(I261/规则参数!$B$10,0)</f>
        <v>3.01751158633056E-006</v>
      </c>
      <c r="K261" s="6" t="n">
        <f aca="false">IFERROR(I261/E261,0)</f>
        <v>0.0273518674529627</v>
      </c>
      <c r="L261" s="6" t="n">
        <f aca="false">IFERROR(G261/E261,0)</f>
        <v>0.327454834784237</v>
      </c>
      <c r="M261" s="6" t="n">
        <f aca="false">K261+L261</f>
        <v>0.354806702237199</v>
      </c>
      <c r="N261" s="4" t="n">
        <v>0</v>
      </c>
      <c r="O261" s="4" t="n">
        <v>8.85</v>
      </c>
      <c r="P261" s="4" t="n">
        <v>5.76</v>
      </c>
      <c r="Q261" s="4" t="n">
        <v>0</v>
      </c>
      <c r="R261" s="4" t="n">
        <v>0</v>
      </c>
      <c r="S261" s="4" t="n">
        <v>0</v>
      </c>
      <c r="T261" s="6" t="str">
        <f aca="false">IFERROR(R261/S261-1,"")</f>
        <v/>
      </c>
      <c r="U261" s="7" t="n">
        <v>0</v>
      </c>
      <c r="V261" s="8" t="n">
        <v>0.0274</v>
      </c>
      <c r="W261" s="4" t="n">
        <f aca="false">R261*K261</f>
        <v>0</v>
      </c>
      <c r="X261" s="4" t="n">
        <f aca="false">R261*V261</f>
        <v>0</v>
      </c>
      <c r="Y261" s="4" t="n">
        <f aca="false">X261-W261</f>
        <v>0</v>
      </c>
      <c r="Z261" s="3" t="s">
        <v>475</v>
      </c>
      <c r="AA261" s="3" t="s">
        <v>31</v>
      </c>
    </row>
    <row r="262" customFormat="false" ht="15" hidden="false" customHeight="false" outlineLevel="0" collapsed="false">
      <c r="A262" s="3" t="s">
        <v>67</v>
      </c>
      <c r="B262" s="3" t="s">
        <v>500</v>
      </c>
      <c r="C262" s="3" t="s">
        <v>29</v>
      </c>
      <c r="D262" s="9" t="s">
        <v>194</v>
      </c>
      <c r="E262" s="4" t="n">
        <v>1539.08</v>
      </c>
      <c r="F262" s="5" t="n">
        <f aca="false">IFERROR(E262/规则参数!$B$8,0)</f>
        <v>4.7102115041444E-005</v>
      </c>
      <c r="G262" s="4" t="n">
        <v>147.16</v>
      </c>
      <c r="H262" s="5" t="n">
        <f aca="false">IFERROR(G262/规则参数!$B$9,0)</f>
        <v>3.27086794243423E-005</v>
      </c>
      <c r="I262" s="4" t="n">
        <v>13.16</v>
      </c>
      <c r="J262" s="5" t="n">
        <f aca="false">IFERROR(I262/规则参数!$B$10,0)</f>
        <v>2.71803233922726E-006</v>
      </c>
      <c r="K262" s="6" t="n">
        <f aca="false">IFERROR(I262/E262,0)</f>
        <v>0.00855056267380513</v>
      </c>
      <c r="L262" s="6" t="n">
        <f aca="false">IFERROR(G262/E262,0)</f>
        <v>0.0956155625438574</v>
      </c>
      <c r="M262" s="6" t="n">
        <f aca="false">K262+L262</f>
        <v>0.104166125217663</v>
      </c>
      <c r="N262" s="4" t="n">
        <v>0</v>
      </c>
      <c r="O262" s="4" t="n">
        <v>-0.01</v>
      </c>
      <c r="P262" s="4" t="n">
        <v>13.17</v>
      </c>
      <c r="Q262" s="4" t="n">
        <v>0</v>
      </c>
      <c r="R262" s="4" t="n">
        <v>0</v>
      </c>
      <c r="S262" s="4" t="n">
        <v>0</v>
      </c>
      <c r="T262" s="6" t="str">
        <f aca="false">IFERROR(R262/S262-1,"")</f>
        <v/>
      </c>
      <c r="U262" s="7" t="n">
        <v>0</v>
      </c>
      <c r="V262" s="8" t="n">
        <v>0.0086</v>
      </c>
      <c r="W262" s="4" t="n">
        <f aca="false">R262*K262</f>
        <v>0</v>
      </c>
      <c r="X262" s="4" t="n">
        <f aca="false">R262*V262</f>
        <v>0</v>
      </c>
      <c r="Y262" s="4" t="n">
        <f aca="false">X262-W262</f>
        <v>0</v>
      </c>
      <c r="Z262" s="3" t="s">
        <v>475</v>
      </c>
      <c r="AA262" s="3" t="s">
        <v>31</v>
      </c>
    </row>
    <row r="263" customFormat="false" ht="15" hidden="false" customHeight="false" outlineLevel="0" collapsed="false">
      <c r="A263" s="3" t="s">
        <v>39</v>
      </c>
      <c r="B263" s="3" t="s">
        <v>501</v>
      </c>
      <c r="C263" s="3" t="s">
        <v>34</v>
      </c>
      <c r="D263" s="9" t="s">
        <v>194</v>
      </c>
      <c r="E263" s="4" t="n">
        <v>0</v>
      </c>
      <c r="F263" s="5" t="n">
        <f aca="false">IFERROR(E263/规则参数!$B$8,0)</f>
        <v>0</v>
      </c>
      <c r="G263" s="4" t="n">
        <v>-11.95</v>
      </c>
      <c r="H263" s="5" t="n">
        <f aca="false">IFERROR(G263/规则参数!$B$9,0)</f>
        <v>-2.65607990704601E-006</v>
      </c>
      <c r="I263" s="4" t="n">
        <v>11.88</v>
      </c>
      <c r="J263" s="5" t="n">
        <f aca="false">IFERROR(I263/规则参数!$B$10,0)</f>
        <v>2.45366445212916E-006</v>
      </c>
      <c r="K263" s="6" t="n">
        <f aca="false">IFERROR(I263/E263,0)</f>
        <v>0</v>
      </c>
      <c r="L263" s="6" t="n">
        <f aca="false">IFERROR(G263/E263,0)</f>
        <v>0</v>
      </c>
      <c r="M263" s="6" t="n">
        <f aca="false">K263+L263</f>
        <v>0</v>
      </c>
      <c r="N263" s="4" t="n">
        <v>0</v>
      </c>
      <c r="O263" s="4" t="n">
        <v>0</v>
      </c>
      <c r="P263" s="4" t="n">
        <v>11.88</v>
      </c>
      <c r="Q263" s="4" t="n">
        <v>0</v>
      </c>
      <c r="R263" s="4" t="n">
        <v>0</v>
      </c>
      <c r="S263" s="4" t="n">
        <v>0</v>
      </c>
      <c r="T263" s="6" t="str">
        <f aca="false">IFERROR(R263/S263-1,"")</f>
        <v/>
      </c>
      <c r="U263" s="7" t="n">
        <v>0</v>
      </c>
      <c r="V263" s="8"/>
      <c r="W263" s="4" t="n">
        <f aca="false">R263*K263</f>
        <v>0</v>
      </c>
      <c r="X263" s="4" t="n">
        <f aca="false">R263*V263</f>
        <v>0</v>
      </c>
      <c r="Y263" s="4" t="n">
        <f aca="false">X263-W263</f>
        <v>0</v>
      </c>
      <c r="Z263" s="3" t="s">
        <v>475</v>
      </c>
      <c r="AA263" s="3" t="s">
        <v>31</v>
      </c>
    </row>
    <row r="264" customFormat="false" ht="15" hidden="false" customHeight="false" outlineLevel="0" collapsed="false">
      <c r="A264" s="9" t="s">
        <v>419</v>
      </c>
      <c r="B264" s="9" t="s">
        <v>502</v>
      </c>
      <c r="C264" s="3" t="s">
        <v>34</v>
      </c>
      <c r="D264" s="9" t="s">
        <v>194</v>
      </c>
      <c r="E264" s="4" t="n">
        <v>1989.6</v>
      </c>
      <c r="F264" s="5" t="n">
        <f aca="false">IFERROR(E264/规则参数!$B$8,0)</f>
        <v>6.08898615318612E-005</v>
      </c>
      <c r="G264" s="4" t="n">
        <v>768.19</v>
      </c>
      <c r="H264" s="5" t="n">
        <f aca="false">IFERROR(G264/规则参数!$B$9,0)</f>
        <v>0.000170742596133362</v>
      </c>
      <c r="I264" s="4" t="n">
        <v>10.22</v>
      </c>
      <c r="J264" s="5" t="n">
        <f aca="false">IFERROR(I264/规则参数!$B$10,0)</f>
        <v>2.11081234854883E-006</v>
      </c>
      <c r="K264" s="6" t="n">
        <f aca="false">IFERROR(I264/E264,0)</f>
        <v>0.00513671089666265</v>
      </c>
      <c r="L264" s="6" t="n">
        <f aca="false">IFERROR(G264/E264,0)</f>
        <v>0.386102734217933</v>
      </c>
      <c r="M264" s="6" t="n">
        <f aca="false">K264+L264</f>
        <v>0.391239445114596</v>
      </c>
      <c r="N264" s="4" t="n">
        <v>10.22</v>
      </c>
      <c r="O264" s="4" t="n">
        <v>0</v>
      </c>
      <c r="P264" s="4" t="n">
        <v>0</v>
      </c>
      <c r="Q264" s="4" t="n">
        <v>0</v>
      </c>
      <c r="R264" s="4" t="n">
        <v>136.16</v>
      </c>
      <c r="S264" s="4" t="n">
        <v>218.67</v>
      </c>
      <c r="T264" s="6" t="n">
        <f aca="false">IFERROR(R264/S264-1,"")</f>
        <v>-0.377326565143824</v>
      </c>
      <c r="U264" s="7" t="n">
        <v>29</v>
      </c>
      <c r="V264" s="8" t="n">
        <v>0.0051</v>
      </c>
      <c r="W264" s="4" t="n">
        <f aca="false">R264*K264</f>
        <v>0.699414555689586</v>
      </c>
      <c r="X264" s="4" t="n">
        <f aca="false">R264*V264</f>
        <v>0.694416</v>
      </c>
      <c r="Y264" s="4" t="n">
        <f aca="false">X264-W264</f>
        <v>-0.00499855568958585</v>
      </c>
      <c r="Z264" s="3" t="s">
        <v>475</v>
      </c>
      <c r="AA264" s="3" t="s">
        <v>31</v>
      </c>
    </row>
    <row r="265" customFormat="false" ht="15" hidden="false" customHeight="false" outlineLevel="0" collapsed="false">
      <c r="A265" s="3" t="s">
        <v>179</v>
      </c>
      <c r="B265" s="3" t="s">
        <v>503</v>
      </c>
      <c r="C265" s="3" t="s">
        <v>29</v>
      </c>
      <c r="D265" s="9" t="s">
        <v>194</v>
      </c>
      <c r="E265" s="4" t="n">
        <v>329.97</v>
      </c>
      <c r="F265" s="5" t="n">
        <f aca="false">IFERROR(E265/规则参数!$B$8,0)</f>
        <v>1.0098425618048E-005</v>
      </c>
      <c r="G265" s="4" t="n">
        <v>103.64</v>
      </c>
      <c r="H265" s="5" t="n">
        <f aca="false">IFERROR(G265/规则参数!$B$9,0)</f>
        <v>2.30356587084726E-005</v>
      </c>
      <c r="I265" s="4" t="n">
        <v>7.32</v>
      </c>
      <c r="J265" s="5" t="n">
        <f aca="false">IFERROR(I265/规则参数!$B$10,0)</f>
        <v>1.51185385434221E-006</v>
      </c>
      <c r="K265" s="6" t="n">
        <f aca="false">IFERROR(I265/E265,0)</f>
        <v>0.0221838348940813</v>
      </c>
      <c r="L265" s="6" t="n">
        <f aca="false">IFERROR(G265/E265,0)</f>
        <v>0.314089159620572</v>
      </c>
      <c r="M265" s="6" t="n">
        <f aca="false">K265+L265</f>
        <v>0.336272994514653</v>
      </c>
      <c r="N265" s="4" t="n">
        <v>0</v>
      </c>
      <c r="O265" s="4" t="n">
        <v>0</v>
      </c>
      <c r="P265" s="4" t="n">
        <v>0</v>
      </c>
      <c r="Q265" s="4" t="n">
        <v>7.32</v>
      </c>
      <c r="R265" s="4" t="n">
        <v>0</v>
      </c>
      <c r="S265" s="4" t="n">
        <v>0</v>
      </c>
      <c r="T265" s="6" t="str">
        <f aca="false">IFERROR(R265/S265-1,"")</f>
        <v/>
      </c>
      <c r="U265" s="7" t="n">
        <v>0</v>
      </c>
      <c r="V265" s="8" t="n">
        <v>0.0222</v>
      </c>
      <c r="W265" s="4" t="n">
        <f aca="false">R265*K265</f>
        <v>0</v>
      </c>
      <c r="X265" s="4" t="n">
        <f aca="false">R265*V265</f>
        <v>0</v>
      </c>
      <c r="Y265" s="4" t="n">
        <f aca="false">X265-W265</f>
        <v>0</v>
      </c>
      <c r="Z265" s="3" t="s">
        <v>475</v>
      </c>
      <c r="AA265" s="3" t="s">
        <v>31</v>
      </c>
    </row>
    <row r="266" customFormat="false" ht="15" hidden="false" customHeight="false" outlineLevel="0" collapsed="false">
      <c r="A266" s="3" t="s">
        <v>370</v>
      </c>
      <c r="B266" s="3" t="s">
        <v>504</v>
      </c>
      <c r="C266" s="3" t="s">
        <v>34</v>
      </c>
      <c r="D266" s="9" t="s">
        <v>194</v>
      </c>
      <c r="E266" s="4" t="n">
        <v>4085.91</v>
      </c>
      <c r="F266" s="5" t="n">
        <f aca="false">IFERROR(E266/规则参数!$B$8,0)</f>
        <v>0.000125045483580442</v>
      </c>
      <c r="G266" s="4" t="n">
        <v>1138.71</v>
      </c>
      <c r="H266" s="5" t="n">
        <f aca="false">IFERROR(G266/规则参数!$B$9,0)</f>
        <v>0.000253096631878858</v>
      </c>
      <c r="I266" s="4" t="n">
        <v>6.61</v>
      </c>
      <c r="J266" s="5" t="n">
        <f aca="false">IFERROR(I266/规则参数!$B$10,0)</f>
        <v>1.36521229196749E-006</v>
      </c>
      <c r="K266" s="6" t="n">
        <f aca="false">IFERROR(I266/E266,0)</f>
        <v>0.00161775467398939</v>
      </c>
      <c r="L266" s="6" t="n">
        <f aca="false">IFERROR(G266/E266,0)</f>
        <v>0.278691894828814</v>
      </c>
      <c r="M266" s="6" t="n">
        <f aca="false">K266+L266</f>
        <v>0.280309649502804</v>
      </c>
      <c r="N266" s="4" t="n">
        <v>0</v>
      </c>
      <c r="O266" s="4" t="n">
        <v>-0.65</v>
      </c>
      <c r="P266" s="4" t="n">
        <v>7.26</v>
      </c>
      <c r="Q266" s="4" t="n">
        <v>0</v>
      </c>
      <c r="R266" s="4" t="n">
        <v>0</v>
      </c>
      <c r="S266" s="4" t="n">
        <v>336.98</v>
      </c>
      <c r="T266" s="6" t="n">
        <f aca="false">IFERROR(R266/S266-1,"")</f>
        <v>-1</v>
      </c>
      <c r="U266" s="7" t="n">
        <v>0</v>
      </c>
      <c r="V266" s="8" t="n">
        <v>0.0016</v>
      </c>
      <c r="W266" s="4" t="n">
        <f aca="false">R266*K266</f>
        <v>0</v>
      </c>
      <c r="X266" s="4" t="n">
        <f aca="false">R266*V266</f>
        <v>0</v>
      </c>
      <c r="Y266" s="4" t="n">
        <f aca="false">X266-W266</f>
        <v>0</v>
      </c>
      <c r="Z266" s="3" t="s">
        <v>475</v>
      </c>
      <c r="AA266" s="3" t="s">
        <v>31</v>
      </c>
    </row>
    <row r="267" customFormat="false" ht="15" hidden="false" customHeight="false" outlineLevel="0" collapsed="false">
      <c r="A267" s="3" t="s">
        <v>39</v>
      </c>
      <c r="B267" s="3" t="s">
        <v>505</v>
      </c>
      <c r="C267" s="3" t="s">
        <v>34</v>
      </c>
      <c r="D267" s="9" t="s">
        <v>194</v>
      </c>
      <c r="E267" s="4" t="n">
        <v>25</v>
      </c>
      <c r="F267" s="5" t="n">
        <f aca="false">IFERROR(E267/规则参数!$B$8,0)</f>
        <v>7.65101798500468E-007</v>
      </c>
      <c r="G267" s="4" t="n">
        <v>-3.83</v>
      </c>
      <c r="H267" s="5" t="n">
        <f aca="false">IFERROR(G267/规则参数!$B$9,0)</f>
        <v>-8.5127916686077E-007</v>
      </c>
      <c r="I267" s="4" t="n">
        <v>4.92</v>
      </c>
      <c r="J267" s="5" t="n">
        <f aca="false">IFERROR(I267/规则参数!$B$10,0)</f>
        <v>1.01616406603329E-006</v>
      </c>
      <c r="K267" s="6" t="n">
        <f aca="false">IFERROR(I267/E267,0)</f>
        <v>0.1968</v>
      </c>
      <c r="L267" s="6" t="n">
        <f aca="false">IFERROR(G267/E267,0)</f>
        <v>-0.1532</v>
      </c>
      <c r="M267" s="6" t="n">
        <f aca="false">K267+L267</f>
        <v>0.0436</v>
      </c>
      <c r="N267" s="4" t="n">
        <v>0</v>
      </c>
      <c r="O267" s="4" t="n">
        <v>0</v>
      </c>
      <c r="P267" s="4" t="n">
        <v>4.92</v>
      </c>
      <c r="Q267" s="4" t="n">
        <v>0</v>
      </c>
      <c r="R267" s="4" t="n">
        <v>0</v>
      </c>
      <c r="S267" s="4" t="n">
        <v>0</v>
      </c>
      <c r="T267" s="6" t="str">
        <f aca="false">IFERROR(R267/S267-1,"")</f>
        <v/>
      </c>
      <c r="U267" s="7" t="n">
        <v>0</v>
      </c>
      <c r="V267" s="8" t="n">
        <v>0</v>
      </c>
      <c r="W267" s="4" t="n">
        <f aca="false">R267*K267</f>
        <v>0</v>
      </c>
      <c r="X267" s="4" t="n">
        <f aca="false">R267*V267</f>
        <v>0</v>
      </c>
      <c r="Y267" s="4" t="n">
        <f aca="false">X267-W267</f>
        <v>0</v>
      </c>
      <c r="Z267" s="3" t="s">
        <v>475</v>
      </c>
      <c r="AA267" s="3" t="s">
        <v>31</v>
      </c>
    </row>
    <row r="268" customFormat="false" ht="15" hidden="false" customHeight="false" outlineLevel="0" collapsed="false">
      <c r="A268" s="3" t="s">
        <v>171</v>
      </c>
      <c r="B268" s="3" t="s">
        <v>506</v>
      </c>
      <c r="C268" s="3" t="s">
        <v>29</v>
      </c>
      <c r="D268" s="9" t="s">
        <v>194</v>
      </c>
      <c r="E268" s="4" t="n">
        <v>434.62</v>
      </c>
      <c r="F268" s="5" t="n">
        <f aca="false">IFERROR(E268/规则参数!$B$8,0)</f>
        <v>1.33011417465709E-005</v>
      </c>
      <c r="G268" s="4" t="n">
        <v>29.71</v>
      </c>
      <c r="H268" s="5" t="n">
        <f aca="false">IFERROR(G268/规则参数!$B$9,0)</f>
        <v>6.60352586094869E-006</v>
      </c>
      <c r="I268" s="4" t="n">
        <v>2.62</v>
      </c>
      <c r="J268" s="5" t="n">
        <f aca="false">IFERROR(I268/规则参数!$B$10,0)</f>
        <v>5.41128018903907E-007</v>
      </c>
      <c r="K268" s="6" t="n">
        <f aca="false">IFERROR(I268/E268,0)</f>
        <v>0.00602825456720814</v>
      </c>
      <c r="L268" s="6" t="n">
        <f aca="false">IFERROR(G268/E268,0)</f>
        <v>0.0683585661037228</v>
      </c>
      <c r="M268" s="6" t="n">
        <f aca="false">K268+L268</f>
        <v>0.0743868206709309</v>
      </c>
      <c r="N268" s="4" t="n">
        <v>0</v>
      </c>
      <c r="O268" s="4" t="n">
        <v>-0.07</v>
      </c>
      <c r="P268" s="4" t="n">
        <v>2.69</v>
      </c>
      <c r="Q268" s="4" t="n">
        <v>0</v>
      </c>
      <c r="R268" s="4" t="n">
        <v>17.99</v>
      </c>
      <c r="S268" s="4" t="n">
        <v>17.63</v>
      </c>
      <c r="T268" s="6" t="n">
        <f aca="false">IFERROR(R268/S268-1,"")</f>
        <v>0.0204197390811116</v>
      </c>
      <c r="U268" s="7" t="n">
        <v>0</v>
      </c>
      <c r="V268" s="8" t="n">
        <v>0.006</v>
      </c>
      <c r="W268" s="4" t="n">
        <f aca="false">R268*K268</f>
        <v>0.108448299664074</v>
      </c>
      <c r="X268" s="4" t="n">
        <f aca="false">R268*V268</f>
        <v>0.10794</v>
      </c>
      <c r="Y268" s="4" t="n">
        <f aca="false">X268-W268</f>
        <v>-0.000508299664074355</v>
      </c>
      <c r="Z268" s="3" t="s">
        <v>475</v>
      </c>
      <c r="AA268" s="3" t="s">
        <v>31</v>
      </c>
    </row>
    <row r="269" customFormat="false" ht="15" hidden="false" customHeight="false" outlineLevel="0" collapsed="false">
      <c r="A269" s="3" t="s">
        <v>386</v>
      </c>
      <c r="B269" s="9" t="s">
        <v>507</v>
      </c>
      <c r="C269" s="3" t="s">
        <v>29</v>
      </c>
      <c r="D269" s="9" t="s">
        <v>194</v>
      </c>
      <c r="E269" s="4" t="n">
        <v>39.43</v>
      </c>
      <c r="F269" s="5" t="n">
        <f aca="false">IFERROR(E269/规则参数!$B$8,0)</f>
        <v>1.20671855659494E-006</v>
      </c>
      <c r="G269" s="4" t="n">
        <v>-6.54</v>
      </c>
      <c r="H269" s="5" t="n">
        <f aca="false">IFERROR(G269/规则参数!$B$9,0)</f>
        <v>-1.45362030059254E-006</v>
      </c>
      <c r="I269" s="4" t="n">
        <v>1.68</v>
      </c>
      <c r="J269" s="5" t="n">
        <f aca="false">IFERROR(I269/规则参数!$B$10,0)</f>
        <v>3.46982851816246E-007</v>
      </c>
      <c r="K269" s="6" t="n">
        <f aca="false">IFERROR(I269/E269,0)</f>
        <v>0.0426071519147857</v>
      </c>
      <c r="L269" s="6" t="n">
        <f aca="false">IFERROR(G269/E269,0)</f>
        <v>-0.165863555668273</v>
      </c>
      <c r="M269" s="6" t="n">
        <f aca="false">K269+L269</f>
        <v>-0.123256403753487</v>
      </c>
      <c r="N269" s="4" t="n">
        <v>0</v>
      </c>
      <c r="O269" s="4" t="n">
        <v>0</v>
      </c>
      <c r="P269" s="4" t="n">
        <v>1.68</v>
      </c>
      <c r="Q269" s="4" t="n">
        <v>0</v>
      </c>
      <c r="R269" s="4" t="n">
        <v>0</v>
      </c>
      <c r="S269" s="4" t="n">
        <v>0</v>
      </c>
      <c r="T269" s="6" t="str">
        <f aca="false">IFERROR(R269/S269-1,"")</f>
        <v/>
      </c>
      <c r="U269" s="7" t="n">
        <v>0</v>
      </c>
      <c r="V269" s="8" t="n">
        <v>0</v>
      </c>
      <c r="W269" s="4" t="n">
        <f aca="false">R269*K269</f>
        <v>0</v>
      </c>
      <c r="X269" s="4" t="n">
        <f aca="false">R269*V269</f>
        <v>0</v>
      </c>
      <c r="Y269" s="4" t="n">
        <f aca="false">X269-W269</f>
        <v>0</v>
      </c>
      <c r="Z269" s="3" t="s">
        <v>475</v>
      </c>
      <c r="AA269" s="3" t="s">
        <v>31</v>
      </c>
    </row>
    <row r="270" customFormat="false" ht="15" hidden="false" customHeight="false" outlineLevel="0" collapsed="false">
      <c r="A270" s="3" t="s">
        <v>495</v>
      </c>
      <c r="B270" s="3" t="s">
        <v>508</v>
      </c>
      <c r="C270" s="3" t="s">
        <v>29</v>
      </c>
      <c r="D270" s="9" t="s">
        <v>194</v>
      </c>
      <c r="E270" s="4" t="n">
        <v>29.99</v>
      </c>
      <c r="F270" s="5" t="n">
        <f aca="false">IFERROR(E270/规则参数!$B$8,0)</f>
        <v>9.17816117481161E-007</v>
      </c>
      <c r="G270" s="4" t="n">
        <v>-59.57</v>
      </c>
      <c r="H270" s="5" t="n">
        <f aca="false">IFERROR(G270/规则参数!$B$9,0)</f>
        <v>-1.32403916370486E-005</v>
      </c>
      <c r="I270" s="4" t="n">
        <v>1.23</v>
      </c>
      <c r="J270" s="5" t="n">
        <f aca="false">IFERROR(I270/规则参数!$B$10,0)</f>
        <v>2.54041016508323E-007</v>
      </c>
      <c r="K270" s="6" t="n">
        <f aca="false">IFERROR(I270/E270,0)</f>
        <v>0.0410136712237413</v>
      </c>
      <c r="L270" s="6" t="n">
        <f aca="false">IFERROR(G270/E270,0)</f>
        <v>-1.98632877625875</v>
      </c>
      <c r="M270" s="6" t="n">
        <f aca="false">K270+L270</f>
        <v>-1.94531510503501</v>
      </c>
      <c r="N270" s="4" t="n">
        <v>1.23</v>
      </c>
      <c r="O270" s="4" t="n">
        <v>0</v>
      </c>
      <c r="P270" s="4" t="n">
        <v>0</v>
      </c>
      <c r="Q270" s="4" t="n">
        <v>0</v>
      </c>
      <c r="R270" s="4" t="n">
        <v>0</v>
      </c>
      <c r="S270" s="4" t="n">
        <v>0</v>
      </c>
      <c r="T270" s="6" t="str">
        <f aca="false">IFERROR(R270/S270-1,"")</f>
        <v/>
      </c>
      <c r="U270" s="7" t="n">
        <v>0</v>
      </c>
      <c r="V270" s="8" t="n">
        <v>0</v>
      </c>
      <c r="W270" s="4" t="n">
        <f aca="false">R270*K270</f>
        <v>0</v>
      </c>
      <c r="X270" s="4" t="n">
        <f aca="false">R270*V270</f>
        <v>0</v>
      </c>
      <c r="Y270" s="4" t="n">
        <f aca="false">X270-W270</f>
        <v>0</v>
      </c>
      <c r="Z270" s="3" t="s">
        <v>475</v>
      </c>
      <c r="AA270" s="3" t="s">
        <v>31</v>
      </c>
    </row>
    <row r="271" customFormat="false" ht="15" hidden="false" customHeight="false" outlineLevel="0" collapsed="false">
      <c r="A271" s="3" t="s">
        <v>327</v>
      </c>
      <c r="B271" s="3" t="s">
        <v>509</v>
      </c>
      <c r="C271" s="3" t="s">
        <v>34</v>
      </c>
      <c r="D271" s="9" t="s">
        <v>194</v>
      </c>
      <c r="E271" s="4" t="n">
        <v>0</v>
      </c>
      <c r="F271" s="5" t="n">
        <f aca="false">IFERROR(E271/规则参数!$B$8,0)</f>
        <v>0</v>
      </c>
      <c r="G271" s="4" t="n">
        <v>-11.43</v>
      </c>
      <c r="H271" s="5" t="n">
        <f aca="false">IFERROR(G271/规则参数!$B$9,0)</f>
        <v>-2.54050153452183E-006</v>
      </c>
      <c r="I271" s="4" t="n">
        <v>1.03</v>
      </c>
      <c r="J271" s="5" t="n">
        <f aca="false">IFERROR(I271/规则参数!$B$10,0)</f>
        <v>2.12733534149246E-007</v>
      </c>
      <c r="K271" s="6" t="n">
        <f aca="false">IFERROR(I271/E271,0)</f>
        <v>0</v>
      </c>
      <c r="L271" s="6" t="n">
        <f aca="false">IFERROR(G271/E271,0)</f>
        <v>0</v>
      </c>
      <c r="M271" s="6" t="n">
        <f aca="false">K271+L271</f>
        <v>0</v>
      </c>
      <c r="N271" s="4" t="n">
        <v>0</v>
      </c>
      <c r="O271" s="4" t="n">
        <v>0</v>
      </c>
      <c r="P271" s="4" t="n">
        <v>1.03</v>
      </c>
      <c r="Q271" s="4" t="n">
        <v>0</v>
      </c>
      <c r="R271" s="4" t="n">
        <v>0</v>
      </c>
      <c r="S271" s="4" t="n">
        <v>0</v>
      </c>
      <c r="T271" s="6" t="str">
        <f aca="false">IFERROR(R271/S271-1,"")</f>
        <v/>
      </c>
      <c r="U271" s="7" t="n">
        <v>0</v>
      </c>
      <c r="V271" s="8"/>
      <c r="W271" s="4" t="n">
        <f aca="false">R271*K271</f>
        <v>0</v>
      </c>
      <c r="X271" s="4" t="n">
        <f aca="false">R271*V271</f>
        <v>0</v>
      </c>
      <c r="Y271" s="4" t="n">
        <f aca="false">X271-W271</f>
        <v>0</v>
      </c>
      <c r="Z271" s="3" t="s">
        <v>475</v>
      </c>
      <c r="AA271" s="3" t="s">
        <v>31</v>
      </c>
    </row>
    <row r="272" customFormat="false" ht="15" hidden="false" customHeight="false" outlineLevel="0" collapsed="false">
      <c r="A272" s="9" t="s">
        <v>419</v>
      </c>
      <c r="B272" s="3" t="s">
        <v>510</v>
      </c>
      <c r="C272" s="3" t="s">
        <v>34</v>
      </c>
      <c r="D272" s="9" t="s">
        <v>194</v>
      </c>
      <c r="E272" s="4" t="n">
        <v>1282.71</v>
      </c>
      <c r="F272" s="5" t="n">
        <f aca="false">IFERROR(E272/规则参数!$B$8,0)</f>
        <v>3.92561491181814E-005</v>
      </c>
      <c r="G272" s="4" t="n">
        <v>224.5</v>
      </c>
      <c r="H272" s="5" t="n">
        <f aca="false">IFERROR(G272/规则参数!$B$9,0)</f>
        <v>4.98987396763036E-005</v>
      </c>
      <c r="I272" s="4" t="n">
        <v>0.79</v>
      </c>
      <c r="J272" s="5" t="n">
        <f aca="false">IFERROR(I272/规则参数!$B$10,0)</f>
        <v>1.63164555318354E-007</v>
      </c>
      <c r="K272" s="6" t="n">
        <f aca="false">IFERROR(I272/E272,0)</f>
        <v>0.000615883559027372</v>
      </c>
      <c r="L272" s="6" t="n">
        <f aca="false">IFERROR(G272/E272,0)</f>
        <v>0.175020074685627</v>
      </c>
      <c r="M272" s="6" t="n">
        <f aca="false">K272+L272</f>
        <v>0.175635958244654</v>
      </c>
      <c r="N272" s="4" t="n">
        <v>0.79</v>
      </c>
      <c r="O272" s="4" t="n">
        <v>0</v>
      </c>
      <c r="P272" s="4" t="n">
        <v>0</v>
      </c>
      <c r="Q272" s="4" t="n">
        <v>0</v>
      </c>
      <c r="R272" s="4" t="n">
        <v>0</v>
      </c>
      <c r="S272" s="4" t="n">
        <v>0</v>
      </c>
      <c r="T272" s="6" t="str">
        <f aca="false">IFERROR(R272/S272-1,"")</f>
        <v/>
      </c>
      <c r="U272" s="7" t="n">
        <v>0</v>
      </c>
      <c r="V272" s="8" t="n">
        <v>0.0006</v>
      </c>
      <c r="W272" s="4" t="n">
        <f aca="false">R272*K272</f>
        <v>0</v>
      </c>
      <c r="X272" s="4" t="n">
        <f aca="false">R272*V272</f>
        <v>0</v>
      </c>
      <c r="Y272" s="4" t="n">
        <f aca="false">X272-W272</f>
        <v>0</v>
      </c>
      <c r="Z272" s="3" t="s">
        <v>475</v>
      </c>
      <c r="AA272" s="3" t="s">
        <v>31</v>
      </c>
    </row>
    <row r="273" customFormat="false" ht="15" hidden="false" customHeight="false" outlineLevel="0" collapsed="false">
      <c r="A273" s="3" t="s">
        <v>511</v>
      </c>
      <c r="B273" s="9" t="s">
        <v>512</v>
      </c>
      <c r="C273" s="3" t="s">
        <v>34</v>
      </c>
      <c r="D273" s="9" t="s">
        <v>194</v>
      </c>
      <c r="E273" s="4" t="n">
        <v>0</v>
      </c>
      <c r="F273" s="5" t="n">
        <f aca="false">IFERROR(E273/规则参数!$B$8,0)</f>
        <v>0</v>
      </c>
      <c r="G273" s="4" t="n">
        <v>-0.81</v>
      </c>
      <c r="H273" s="5" t="n">
        <f aca="false">IFERROR(G273/规则参数!$B$9,0)</f>
        <v>-1.80035541816507E-007</v>
      </c>
      <c r="I273" s="4" t="n">
        <v>0.75</v>
      </c>
      <c r="J273" s="5" t="n">
        <f aca="false">IFERROR(I273/规则参数!$B$10,0)</f>
        <v>1.54903058846538E-007</v>
      </c>
      <c r="K273" s="6" t="n">
        <f aca="false">IFERROR(I273/E273,0)</f>
        <v>0</v>
      </c>
      <c r="L273" s="6" t="n">
        <f aca="false">IFERROR(G273/E273,0)</f>
        <v>0</v>
      </c>
      <c r="M273" s="6" t="n">
        <f aca="false">K273+L273</f>
        <v>0</v>
      </c>
      <c r="N273" s="4" t="n">
        <v>0</v>
      </c>
      <c r="O273" s="4" t="n">
        <v>0</v>
      </c>
      <c r="P273" s="4" t="n">
        <v>0.75</v>
      </c>
      <c r="Q273" s="4" t="n">
        <v>0</v>
      </c>
      <c r="R273" s="4" t="n">
        <v>0</v>
      </c>
      <c r="S273" s="4" t="n">
        <v>0</v>
      </c>
      <c r="T273" s="6" t="str">
        <f aca="false">IFERROR(R273/S273-1,"")</f>
        <v/>
      </c>
      <c r="U273" s="7" t="n">
        <v>0</v>
      </c>
      <c r="V273" s="8"/>
      <c r="W273" s="4" t="n">
        <f aca="false">R273*K273</f>
        <v>0</v>
      </c>
      <c r="X273" s="4" t="n">
        <f aca="false">R273*V273</f>
        <v>0</v>
      </c>
      <c r="Y273" s="4" t="n">
        <f aca="false">X273-W273</f>
        <v>0</v>
      </c>
      <c r="Z273" s="3" t="s">
        <v>475</v>
      </c>
      <c r="AA273" s="3" t="s">
        <v>31</v>
      </c>
    </row>
    <row r="274" customFormat="false" ht="15" hidden="false" customHeight="false" outlineLevel="0" collapsed="false">
      <c r="A274" s="3" t="s">
        <v>179</v>
      </c>
      <c r="B274" s="3" t="s">
        <v>513</v>
      </c>
      <c r="C274" s="3" t="s">
        <v>29</v>
      </c>
      <c r="D274" s="9" t="s">
        <v>194</v>
      </c>
      <c r="E274" s="4" t="n">
        <v>79.99</v>
      </c>
      <c r="F274" s="5" t="n">
        <f aca="false">IFERROR(E274/规则参数!$B$8,0)</f>
        <v>2.4480197144821E-006</v>
      </c>
      <c r="G274" s="4" t="n">
        <v>93.31</v>
      </c>
      <c r="H274" s="5" t="n">
        <f aca="false">IFERROR(G274/规则参数!$B$9,0)</f>
        <v>2.07396498850596E-005</v>
      </c>
      <c r="I274" s="4" t="n">
        <v>0.45</v>
      </c>
      <c r="J274" s="5" t="n">
        <f aca="false">IFERROR(I274/规则参数!$B$10,0)</f>
        <v>9.29418353079229E-008</v>
      </c>
      <c r="K274" s="6" t="n">
        <f aca="false">IFERROR(I274/E274,0)</f>
        <v>0.00562570321290161</v>
      </c>
      <c r="L274" s="6" t="n">
        <f aca="false">IFERROR(G274/E274,0)</f>
        <v>1.16652081510189</v>
      </c>
      <c r="M274" s="6" t="n">
        <f aca="false">K274+L274</f>
        <v>1.17214651831479</v>
      </c>
      <c r="N274" s="4" t="n">
        <v>0.45</v>
      </c>
      <c r="O274" s="4" t="n">
        <v>0</v>
      </c>
      <c r="P274" s="4" t="n">
        <v>0</v>
      </c>
      <c r="Q274" s="4" t="n">
        <v>0</v>
      </c>
      <c r="R274" s="4" t="n">
        <v>0</v>
      </c>
      <c r="S274" s="4" t="n">
        <v>0</v>
      </c>
      <c r="T274" s="6" t="str">
        <f aca="false">IFERROR(R274/S274-1,"")</f>
        <v/>
      </c>
      <c r="U274" s="7" t="n">
        <v>0</v>
      </c>
      <c r="V274" s="8" t="n">
        <v>0.0056</v>
      </c>
      <c r="W274" s="4" t="n">
        <f aca="false">R274*K274</f>
        <v>0</v>
      </c>
      <c r="X274" s="4" t="n">
        <f aca="false">R274*V274</f>
        <v>0</v>
      </c>
      <c r="Y274" s="4" t="n">
        <f aca="false">X274-W274</f>
        <v>0</v>
      </c>
      <c r="Z274" s="3" t="s">
        <v>475</v>
      </c>
      <c r="AA274" s="3" t="s">
        <v>31</v>
      </c>
    </row>
    <row r="275" customFormat="false" ht="15" hidden="false" customHeight="false" outlineLevel="0" collapsed="false">
      <c r="A275" s="3" t="s">
        <v>196</v>
      </c>
      <c r="B275" s="3" t="s">
        <v>514</v>
      </c>
      <c r="C275" s="3" t="s">
        <v>29</v>
      </c>
      <c r="D275" s="9" t="s">
        <v>194</v>
      </c>
      <c r="E275" s="4" t="n">
        <v>65.76</v>
      </c>
      <c r="F275" s="5" t="n">
        <f aca="false">IFERROR(E275/规则参数!$B$8,0)</f>
        <v>2.01252377077563E-006</v>
      </c>
      <c r="G275" s="4" t="n">
        <v>-166.64</v>
      </c>
      <c r="H275" s="5" t="n">
        <f aca="false">IFERROR(G275/规则参数!$B$9,0)</f>
        <v>-3.70384230719788E-005</v>
      </c>
      <c r="I275" s="4" t="n">
        <v>0.34</v>
      </c>
      <c r="J275" s="5" t="n">
        <f aca="false">IFERROR(I275/规则参数!$B$10,0)</f>
        <v>7.02227200104306E-008</v>
      </c>
      <c r="K275" s="6" t="n">
        <f aca="false">IFERROR(I275/E275,0)</f>
        <v>0.00517031630170316</v>
      </c>
      <c r="L275" s="6" t="n">
        <f aca="false">IFERROR(G275/E275,0)</f>
        <v>-2.53406326034063</v>
      </c>
      <c r="M275" s="6" t="n">
        <f aca="false">K275+L275</f>
        <v>-2.52889294403893</v>
      </c>
      <c r="N275" s="4" t="n">
        <v>0</v>
      </c>
      <c r="O275" s="4" t="n">
        <v>0</v>
      </c>
      <c r="P275" s="4" t="n">
        <v>0.34</v>
      </c>
      <c r="Q275" s="4" t="n">
        <v>0</v>
      </c>
      <c r="R275" s="4" t="n">
        <v>0</v>
      </c>
      <c r="S275" s="4" t="n">
        <v>0</v>
      </c>
      <c r="T275" s="6" t="str">
        <f aca="false">IFERROR(R275/S275-1,"")</f>
        <v/>
      </c>
      <c r="U275" s="7" t="n">
        <v>0</v>
      </c>
      <c r="V275" s="8" t="n">
        <v>0</v>
      </c>
      <c r="W275" s="4" t="n">
        <f aca="false">R275*K275</f>
        <v>0</v>
      </c>
      <c r="X275" s="4" t="n">
        <f aca="false">R275*V275</f>
        <v>0</v>
      </c>
      <c r="Y275" s="4" t="n">
        <f aca="false">X275-W275</f>
        <v>0</v>
      </c>
      <c r="Z275" s="3" t="s">
        <v>475</v>
      </c>
      <c r="AA275" s="3" t="s">
        <v>31</v>
      </c>
    </row>
    <row r="276" customFormat="false" ht="15" hidden="false" customHeight="false" outlineLevel="0" collapsed="false">
      <c r="A276" s="3" t="s">
        <v>179</v>
      </c>
      <c r="B276" s="3" t="s">
        <v>515</v>
      </c>
      <c r="C276" s="3" t="s">
        <v>29</v>
      </c>
      <c r="D276" s="9" t="s">
        <v>194</v>
      </c>
      <c r="E276" s="4" t="n">
        <v>79.99</v>
      </c>
      <c r="F276" s="5" t="n">
        <f aca="false">IFERROR(E276/规则参数!$B$8,0)</f>
        <v>2.4480197144821E-006</v>
      </c>
      <c r="G276" s="4" t="n">
        <v>7.62</v>
      </c>
      <c r="H276" s="5" t="n">
        <f aca="false">IFERROR(G276/规则参数!$B$9,0)</f>
        <v>1.69366768968122E-006</v>
      </c>
      <c r="I276" s="4" t="n">
        <v>0.31</v>
      </c>
      <c r="J276" s="5" t="n">
        <f aca="false">IFERROR(I276/规则参数!$B$10,0)</f>
        <v>6.40265976565691E-008</v>
      </c>
      <c r="K276" s="6" t="n">
        <f aca="false">IFERROR(I276/E276,0)</f>
        <v>0.00387548443555444</v>
      </c>
      <c r="L276" s="6" t="n">
        <f aca="false">IFERROR(G276/E276,0)</f>
        <v>0.0952619077384673</v>
      </c>
      <c r="M276" s="6" t="n">
        <f aca="false">K276+L276</f>
        <v>0.0991373921740218</v>
      </c>
      <c r="N276" s="4" t="n">
        <v>0.31</v>
      </c>
      <c r="O276" s="4" t="n">
        <v>0</v>
      </c>
      <c r="P276" s="4" t="n">
        <v>0</v>
      </c>
      <c r="Q276" s="4" t="n">
        <v>0</v>
      </c>
      <c r="R276" s="4" t="n">
        <v>0</v>
      </c>
      <c r="S276" s="4" t="n">
        <v>0</v>
      </c>
      <c r="T276" s="6" t="str">
        <f aca="false">IFERROR(R276/S276-1,"")</f>
        <v/>
      </c>
      <c r="U276" s="7" t="n">
        <v>0</v>
      </c>
      <c r="V276" s="8" t="n">
        <v>0.0039</v>
      </c>
      <c r="W276" s="4" t="n">
        <f aca="false">R276*K276</f>
        <v>0</v>
      </c>
      <c r="X276" s="4" t="n">
        <f aca="false">R276*V276</f>
        <v>0</v>
      </c>
      <c r="Y276" s="4" t="n">
        <f aca="false">X276-W276</f>
        <v>0</v>
      </c>
      <c r="Z276" s="3" t="s">
        <v>475</v>
      </c>
      <c r="AA276" s="3" t="s">
        <v>31</v>
      </c>
    </row>
    <row r="277" customFormat="false" ht="15" hidden="false" customHeight="false" outlineLevel="0" collapsed="false">
      <c r="A277" s="3" t="s">
        <v>73</v>
      </c>
      <c r="B277" s="3" t="s">
        <v>516</v>
      </c>
      <c r="C277" s="3" t="s">
        <v>34</v>
      </c>
      <c r="D277" s="9" t="s">
        <v>194</v>
      </c>
      <c r="E277" s="4" t="n">
        <v>0</v>
      </c>
      <c r="F277" s="5" t="n">
        <f aca="false">IFERROR(E277/规则参数!$B$8,0)</f>
        <v>0</v>
      </c>
      <c r="G277" s="4" t="n">
        <v>-0.02</v>
      </c>
      <c r="H277" s="5" t="n">
        <f aca="false">IFERROR(G277/规则参数!$B$9,0)</f>
        <v>-4.44532202016068E-009</v>
      </c>
      <c r="I277" s="4" t="n">
        <v>0.02</v>
      </c>
      <c r="J277" s="5" t="n">
        <f aca="false">IFERROR(I277/规则参数!$B$10,0)</f>
        <v>4.13074823590768E-009</v>
      </c>
      <c r="K277" s="6" t="n">
        <f aca="false">IFERROR(I277/E277,0)</f>
        <v>0</v>
      </c>
      <c r="L277" s="6" t="n">
        <f aca="false">IFERROR(G277/E277,0)</f>
        <v>0</v>
      </c>
      <c r="M277" s="6" t="n">
        <f aca="false">K277+L277</f>
        <v>0</v>
      </c>
      <c r="N277" s="4" t="n">
        <v>0</v>
      </c>
      <c r="O277" s="4" t="n">
        <v>0</v>
      </c>
      <c r="P277" s="4" t="n">
        <v>0.02</v>
      </c>
      <c r="Q277" s="4" t="n">
        <v>0</v>
      </c>
      <c r="R277" s="4" t="n">
        <v>0</v>
      </c>
      <c r="S277" s="4" t="n">
        <v>0</v>
      </c>
      <c r="T277" s="6" t="str">
        <f aca="false">IFERROR(R277/S277-1,"")</f>
        <v/>
      </c>
      <c r="U277" s="7" t="n">
        <v>0</v>
      </c>
      <c r="V277" s="8"/>
      <c r="W277" s="4" t="n">
        <f aca="false">R277*K277</f>
        <v>0</v>
      </c>
      <c r="X277" s="4" t="n">
        <f aca="false">R277*V277</f>
        <v>0</v>
      </c>
      <c r="Y277" s="4" t="n">
        <f aca="false">X277-W277</f>
        <v>0</v>
      </c>
      <c r="Z277" s="3" t="s">
        <v>475</v>
      </c>
      <c r="AA277" s="3" t="s">
        <v>31</v>
      </c>
    </row>
    <row r="278" customFormat="false" ht="15" hidden="false" customHeight="false" outlineLevel="0" collapsed="false">
      <c r="A278" s="9" t="s">
        <v>517</v>
      </c>
      <c r="B278" s="9" t="s">
        <v>518</v>
      </c>
      <c r="C278" s="3" t="s">
        <v>29</v>
      </c>
      <c r="D278" s="9" t="s">
        <v>194</v>
      </c>
      <c r="E278" s="4" t="n">
        <v>32.47</v>
      </c>
      <c r="F278" s="5" t="n">
        <f aca="false">IFERROR(E278/规则参数!$B$8,0)</f>
        <v>9.93714215892407E-007</v>
      </c>
      <c r="G278" s="4" t="n">
        <v>8.82</v>
      </c>
      <c r="H278" s="5" t="n">
        <f aca="false">IFERROR(G278/规则参数!$B$9,0)</f>
        <v>1.96038701089086E-006</v>
      </c>
      <c r="I278" s="4" t="n">
        <v>0</v>
      </c>
      <c r="J278" s="5" t="n">
        <f aca="false">IFERROR(I278/规则参数!$B$10,0)</f>
        <v>0</v>
      </c>
      <c r="K278" s="6" t="n">
        <f aca="false">IFERROR(I278/E278,0)</f>
        <v>0</v>
      </c>
      <c r="L278" s="6" t="n">
        <f aca="false">IFERROR(G278/E278,0)</f>
        <v>0.271635355712966</v>
      </c>
      <c r="M278" s="6" t="n">
        <f aca="false">K278+L278</f>
        <v>0.271635355712966</v>
      </c>
      <c r="N278" s="4" t="n">
        <v>0</v>
      </c>
      <c r="O278" s="4" t="n">
        <v>0</v>
      </c>
      <c r="P278" s="4" t="n">
        <v>0</v>
      </c>
      <c r="Q278" s="4" t="n">
        <v>0</v>
      </c>
      <c r="R278" s="4" t="n">
        <v>0</v>
      </c>
      <c r="S278" s="4" t="n">
        <v>0</v>
      </c>
      <c r="T278" s="6" t="str">
        <f aca="false">IFERROR(R278/S278-1,"")</f>
        <v/>
      </c>
      <c r="U278" s="7" t="n">
        <v>0</v>
      </c>
      <c r="V278" s="8" t="n">
        <v>0</v>
      </c>
      <c r="W278" s="4" t="n">
        <f aca="false">R278*K278</f>
        <v>0</v>
      </c>
      <c r="X278" s="4" t="n">
        <f aca="false">R278*V278</f>
        <v>0</v>
      </c>
      <c r="Y278" s="4" t="n">
        <f aca="false">X278-W278</f>
        <v>0</v>
      </c>
      <c r="Z278" s="3" t="s">
        <v>475</v>
      </c>
      <c r="AA278" s="3" t="s">
        <v>31</v>
      </c>
    </row>
    <row r="279" customFormat="false" ht="15" hidden="false" customHeight="false" outlineLevel="0" collapsed="false">
      <c r="A279" s="9" t="s">
        <v>519</v>
      </c>
      <c r="B279" s="9" t="s">
        <v>520</v>
      </c>
      <c r="C279" s="3" t="s">
        <v>34</v>
      </c>
      <c r="D279" s="9" t="s">
        <v>194</v>
      </c>
      <c r="E279" s="4" t="n">
        <v>76.99</v>
      </c>
      <c r="F279" s="5" t="n">
        <f aca="false">IFERROR(E279/规则参数!$B$8,0)</f>
        <v>2.35620749866204E-006</v>
      </c>
      <c r="G279" s="4" t="n">
        <v>17.06</v>
      </c>
      <c r="H279" s="5" t="n">
        <f aca="false">IFERROR(G279/规则参数!$B$9,0)</f>
        <v>3.79185968319706E-006</v>
      </c>
      <c r="I279" s="4" t="n">
        <v>0</v>
      </c>
      <c r="J279" s="5" t="n">
        <f aca="false">IFERROR(I279/规则参数!$B$10,0)</f>
        <v>0</v>
      </c>
      <c r="K279" s="6" t="n">
        <f aca="false">IFERROR(I279/E279,0)</f>
        <v>0</v>
      </c>
      <c r="L279" s="6" t="n">
        <f aca="false">IFERROR(G279/E279,0)</f>
        <v>0.221587219119366</v>
      </c>
      <c r="M279" s="6" t="n">
        <f aca="false">K279+L279</f>
        <v>0.221587219119366</v>
      </c>
      <c r="N279" s="4" t="n">
        <v>0</v>
      </c>
      <c r="O279" s="4" t="n">
        <v>0</v>
      </c>
      <c r="P279" s="4" t="n">
        <v>0</v>
      </c>
      <c r="Q279" s="4" t="n">
        <v>0</v>
      </c>
      <c r="R279" s="4" t="n">
        <v>76.99</v>
      </c>
      <c r="S279" s="4" t="n">
        <v>0</v>
      </c>
      <c r="T279" s="6" t="str">
        <f aca="false">IFERROR(R279/S279-1,"")</f>
        <v/>
      </c>
      <c r="U279" s="7" t="n">
        <v>0</v>
      </c>
      <c r="V279" s="8" t="n">
        <v>0</v>
      </c>
      <c r="W279" s="4" t="n">
        <f aca="false">R279*K279</f>
        <v>0</v>
      </c>
      <c r="X279" s="4" t="n">
        <f aca="false">R279*V279</f>
        <v>0</v>
      </c>
      <c r="Y279" s="4" t="n">
        <f aca="false">X279-W279</f>
        <v>0</v>
      </c>
      <c r="Z279" s="3" t="s">
        <v>475</v>
      </c>
      <c r="AA279" s="3" t="s">
        <v>31</v>
      </c>
    </row>
    <row r="280" customFormat="false" ht="15" hidden="false" customHeight="false" outlineLevel="0" collapsed="false">
      <c r="A280" s="3" t="s">
        <v>386</v>
      </c>
      <c r="B280" s="9" t="s">
        <v>521</v>
      </c>
      <c r="C280" s="3" t="s">
        <v>29</v>
      </c>
      <c r="D280" s="9" t="s">
        <v>194</v>
      </c>
      <c r="E280" s="4" t="n">
        <v>34.95</v>
      </c>
      <c r="F280" s="5" t="n">
        <f aca="false">IFERROR(E280/规则参数!$B$8,0)</f>
        <v>1.06961231430365E-006</v>
      </c>
      <c r="G280" s="4" t="n">
        <v>-0.37</v>
      </c>
      <c r="H280" s="5" t="n">
        <f aca="false">IFERROR(G280/规则参数!$B$9,0)</f>
        <v>-8.22384573729725E-008</v>
      </c>
      <c r="I280" s="4" t="n">
        <v>0</v>
      </c>
      <c r="J280" s="5" t="n">
        <f aca="false">IFERROR(I280/规则参数!$B$10,0)</f>
        <v>0</v>
      </c>
      <c r="K280" s="6" t="n">
        <f aca="false">IFERROR(I280/E280,0)</f>
        <v>0</v>
      </c>
      <c r="L280" s="6" t="n">
        <f aca="false">IFERROR(G280/E280,0)</f>
        <v>-0.0105865522174535</v>
      </c>
      <c r="M280" s="6" t="n">
        <f aca="false">K280+L280</f>
        <v>-0.0105865522174535</v>
      </c>
      <c r="N280" s="4" t="n">
        <v>0</v>
      </c>
      <c r="O280" s="4" t="n">
        <v>0</v>
      </c>
      <c r="P280" s="4" t="n">
        <v>0</v>
      </c>
      <c r="Q280" s="4" t="n">
        <v>0</v>
      </c>
      <c r="R280" s="4" t="n">
        <v>0</v>
      </c>
      <c r="S280" s="4" t="n">
        <v>0</v>
      </c>
      <c r="T280" s="6" t="str">
        <f aca="false">IFERROR(R280/S280-1,"")</f>
        <v/>
      </c>
      <c r="U280" s="7" t="n">
        <v>0</v>
      </c>
      <c r="V280" s="8" t="n">
        <v>0</v>
      </c>
      <c r="W280" s="4" t="n">
        <f aca="false">R280*K280</f>
        <v>0</v>
      </c>
      <c r="X280" s="4" t="n">
        <f aca="false">R280*V280</f>
        <v>0</v>
      </c>
      <c r="Y280" s="4" t="n">
        <f aca="false">X280-W280</f>
        <v>0</v>
      </c>
      <c r="Z280" s="3" t="s">
        <v>475</v>
      </c>
      <c r="AA280" s="3" t="s">
        <v>31</v>
      </c>
    </row>
    <row r="281" customFormat="false" ht="15" hidden="false" customHeight="false" outlineLevel="0" collapsed="false">
      <c r="A281" s="3" t="s">
        <v>53</v>
      </c>
      <c r="B281" s="3" t="s">
        <v>522</v>
      </c>
      <c r="C281" s="3" t="s">
        <v>29</v>
      </c>
      <c r="D281" s="9" t="s">
        <v>194</v>
      </c>
      <c r="E281" s="4" t="n">
        <v>117.99</v>
      </c>
      <c r="F281" s="5" t="n">
        <f aca="false">IFERROR(E281/规则参数!$B$8,0)</f>
        <v>3.61097444820281E-006</v>
      </c>
      <c r="G281" s="4" t="n">
        <v>-83.95</v>
      </c>
      <c r="H281" s="5" t="n">
        <f aca="false">IFERROR(G281/规则参数!$B$9,0)</f>
        <v>-1.86592391796244E-005</v>
      </c>
      <c r="I281" s="4" t="n">
        <v>0</v>
      </c>
      <c r="J281" s="5" t="n">
        <f aca="false">IFERROR(I281/规则参数!$B$10,0)</f>
        <v>0</v>
      </c>
      <c r="K281" s="6" t="n">
        <f aca="false">IFERROR(I281/E281,0)</f>
        <v>0</v>
      </c>
      <c r="L281" s="6" t="n">
        <f aca="false">IFERROR(G281/E281,0)</f>
        <v>-0.711500974658869</v>
      </c>
      <c r="M281" s="6" t="n">
        <f aca="false">K281+L281</f>
        <v>-0.711500974658869</v>
      </c>
      <c r="N281" s="4" t="n">
        <v>0</v>
      </c>
      <c r="O281" s="4" t="n">
        <v>0</v>
      </c>
      <c r="P281" s="4" t="n">
        <v>0</v>
      </c>
      <c r="Q281" s="4" t="n">
        <v>0</v>
      </c>
      <c r="R281" s="4" t="n">
        <v>0</v>
      </c>
      <c r="S281" s="4" t="n">
        <v>0</v>
      </c>
      <c r="T281" s="6" t="str">
        <f aca="false">IFERROR(R281/S281-1,"")</f>
        <v/>
      </c>
      <c r="U281" s="7" t="n">
        <v>0</v>
      </c>
      <c r="V281" s="8" t="n">
        <v>0</v>
      </c>
      <c r="W281" s="4" t="n">
        <f aca="false">R281*K281</f>
        <v>0</v>
      </c>
      <c r="X281" s="4" t="n">
        <f aca="false">R281*V281</f>
        <v>0</v>
      </c>
      <c r="Y281" s="4" t="n">
        <f aca="false">X281-W281</f>
        <v>0</v>
      </c>
      <c r="Z281" s="3" t="s">
        <v>475</v>
      </c>
      <c r="AA281" s="3" t="s">
        <v>31</v>
      </c>
    </row>
    <row r="282" customFormat="false" ht="15" hidden="false" customHeight="false" outlineLevel="0" collapsed="false">
      <c r="A282" s="3" t="s">
        <v>523</v>
      </c>
      <c r="B282" s="3" t="s">
        <v>524</v>
      </c>
      <c r="C282" s="3" t="s">
        <v>29</v>
      </c>
      <c r="D282" s="9" t="s">
        <v>194</v>
      </c>
      <c r="E282" s="4" t="n">
        <v>2527.53</v>
      </c>
      <c r="F282" s="5" t="n">
        <f aca="false">IFERROR(E282/规则参数!$B$8,0)</f>
        <v>7.73527099505555E-005</v>
      </c>
      <c r="G282" s="4" t="n">
        <v>-1271.1</v>
      </c>
      <c r="H282" s="5" t="n">
        <f aca="false">IFERROR(G282/规则参数!$B$9,0)</f>
        <v>-0.000282522440991312</v>
      </c>
      <c r="I282" s="4" t="n">
        <v>0</v>
      </c>
      <c r="J282" s="5" t="n">
        <f aca="false">IFERROR(I282/规则参数!$B$10,0)</f>
        <v>0</v>
      </c>
      <c r="K282" s="6" t="n">
        <f aca="false">IFERROR(I282/E282,0)</f>
        <v>0</v>
      </c>
      <c r="L282" s="6" t="n">
        <f aca="false">IFERROR(G282/E282,0)</f>
        <v>-0.502902042705725</v>
      </c>
      <c r="M282" s="6" t="n">
        <f aca="false">K282+L282</f>
        <v>-0.502902042705725</v>
      </c>
      <c r="N282" s="4" t="n">
        <v>0</v>
      </c>
      <c r="O282" s="4" t="n">
        <v>0</v>
      </c>
      <c r="P282" s="4" t="n">
        <v>0</v>
      </c>
      <c r="Q282" s="4" t="n">
        <v>0</v>
      </c>
      <c r="R282" s="4" t="n">
        <v>0</v>
      </c>
      <c r="S282" s="4" t="n">
        <v>0</v>
      </c>
      <c r="T282" s="6" t="str">
        <f aca="false">IFERROR(R282/S282-1,"")</f>
        <v/>
      </c>
      <c r="U282" s="7" t="n">
        <v>0</v>
      </c>
      <c r="V282" s="8" t="n">
        <v>0</v>
      </c>
      <c r="W282" s="4" t="n">
        <f aca="false">R282*K282</f>
        <v>0</v>
      </c>
      <c r="X282" s="4" t="n">
        <f aca="false">R282*V282</f>
        <v>0</v>
      </c>
      <c r="Y282" s="4" t="n">
        <f aca="false">X282-W282</f>
        <v>0</v>
      </c>
      <c r="Z282" s="3" t="s">
        <v>475</v>
      </c>
      <c r="AA282" s="3" t="s">
        <v>31</v>
      </c>
    </row>
    <row r="283" customFormat="false" ht="15" hidden="false" customHeight="false" outlineLevel="0" collapsed="false">
      <c r="A283" s="3" t="s">
        <v>386</v>
      </c>
      <c r="B283" s="3" t="s">
        <v>525</v>
      </c>
      <c r="C283" s="3" t="s">
        <v>29</v>
      </c>
      <c r="D283" s="9" t="s">
        <v>194</v>
      </c>
      <c r="E283" s="4" t="n">
        <v>1383.72</v>
      </c>
      <c r="F283" s="5" t="n">
        <f aca="false">IFERROR(E283/规则参数!$B$8,0)</f>
        <v>4.23474664248427E-005</v>
      </c>
      <c r="G283" s="4" t="n">
        <v>599.48</v>
      </c>
      <c r="H283" s="5" t="n">
        <f aca="false">IFERROR(G283/规则参数!$B$9,0)</f>
        <v>0.000133244082232296</v>
      </c>
      <c r="I283" s="4" t="n">
        <v>0</v>
      </c>
      <c r="J283" s="5" t="n">
        <f aca="false">IFERROR(I283/规则参数!$B$10,0)</f>
        <v>0</v>
      </c>
      <c r="K283" s="6" t="n">
        <f aca="false">IFERROR(I283/E283,0)</f>
        <v>0</v>
      </c>
      <c r="L283" s="6" t="n">
        <f aca="false">IFERROR(G283/E283,0)</f>
        <v>0.433237938311219</v>
      </c>
      <c r="M283" s="6" t="n">
        <f aca="false">K283+L283</f>
        <v>0.433237938311219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6" t="str">
        <f aca="false">IFERROR(R283/S283-1,"")</f>
        <v/>
      </c>
      <c r="U283" s="7" t="n">
        <v>0</v>
      </c>
      <c r="V283" s="8" t="n">
        <v>0</v>
      </c>
      <c r="W283" s="4" t="n">
        <f aca="false">R283*K283</f>
        <v>0</v>
      </c>
      <c r="X283" s="4" t="n">
        <f aca="false">R283*V283</f>
        <v>0</v>
      </c>
      <c r="Y283" s="4" t="n">
        <f aca="false">X283-W283</f>
        <v>0</v>
      </c>
      <c r="Z283" s="3" t="s">
        <v>475</v>
      </c>
      <c r="AA283" s="3" t="s">
        <v>31</v>
      </c>
    </row>
    <row r="284" customFormat="false" ht="15" hidden="false" customHeight="false" outlineLevel="0" collapsed="false">
      <c r="A284" s="3" t="s">
        <v>370</v>
      </c>
      <c r="B284" s="3" t="s">
        <v>526</v>
      </c>
      <c r="C284" s="3" t="s">
        <v>96</v>
      </c>
      <c r="D284" s="9" t="s">
        <v>194</v>
      </c>
      <c r="E284" s="4" t="n">
        <v>1778.72</v>
      </c>
      <c r="F284" s="5" t="n">
        <f aca="false">IFERROR(E284/规则参数!$B$8,0)</f>
        <v>5.44360748411501E-005</v>
      </c>
      <c r="G284" s="4" t="n">
        <v>-161.55</v>
      </c>
      <c r="H284" s="5" t="n">
        <f aca="false">IFERROR(G284/规则参数!$B$9,0)</f>
        <v>-3.59070886178479E-005</v>
      </c>
      <c r="I284" s="4" t="n">
        <v>0</v>
      </c>
      <c r="J284" s="5" t="n">
        <f aca="false">IFERROR(I284/规则参数!$B$10,0)</f>
        <v>0</v>
      </c>
      <c r="K284" s="6" t="n">
        <f aca="false">IFERROR(I284/E284,0)</f>
        <v>0</v>
      </c>
      <c r="L284" s="6" t="n">
        <f aca="false">IFERROR(G284/E284,0)</f>
        <v>-0.0908237384186381</v>
      </c>
      <c r="M284" s="6" t="n">
        <f aca="false">K284+L284</f>
        <v>-0.0908237384186381</v>
      </c>
      <c r="N284" s="4" t="n">
        <v>0</v>
      </c>
      <c r="O284" s="4" t="n">
        <v>0</v>
      </c>
      <c r="P284" s="4" t="n">
        <v>0</v>
      </c>
      <c r="Q284" s="4" t="n">
        <v>0</v>
      </c>
      <c r="R284" s="4" t="n">
        <v>1778.72</v>
      </c>
      <c r="S284" s="4" t="n">
        <v>0</v>
      </c>
      <c r="T284" s="6" t="str">
        <f aca="false">IFERROR(R284/S284-1,"")</f>
        <v/>
      </c>
      <c r="U284" s="7" t="n">
        <v>281</v>
      </c>
      <c r="V284" s="8" t="n">
        <v>0</v>
      </c>
      <c r="W284" s="4" t="n">
        <f aca="false">R284*K284</f>
        <v>0</v>
      </c>
      <c r="X284" s="4" t="n">
        <f aca="false">R284*V284</f>
        <v>0</v>
      </c>
      <c r="Y284" s="4" t="n">
        <f aca="false">X284-W284</f>
        <v>0</v>
      </c>
      <c r="Z284" s="3" t="s">
        <v>475</v>
      </c>
      <c r="AA284" s="3" t="s">
        <v>31</v>
      </c>
    </row>
    <row r="285" customFormat="false" ht="15" hidden="false" customHeight="false" outlineLevel="0" collapsed="false">
      <c r="A285" s="9" t="s">
        <v>527</v>
      </c>
      <c r="B285" s="9" t="s">
        <v>528</v>
      </c>
      <c r="C285" s="3" t="s">
        <v>29</v>
      </c>
      <c r="D285" s="9" t="s">
        <v>194</v>
      </c>
      <c r="E285" s="4" t="n">
        <v>92.25</v>
      </c>
      <c r="F285" s="5" t="n">
        <f aca="false">IFERROR(E285/规则参数!$B$8,0)</f>
        <v>2.82322563646673E-006</v>
      </c>
      <c r="G285" s="4" t="n">
        <v>-26.02</v>
      </c>
      <c r="H285" s="5" t="n">
        <f aca="false">IFERROR(G285/规则参数!$B$9,0)</f>
        <v>-5.78336394822904E-006</v>
      </c>
      <c r="I285" s="4" t="n">
        <v>0</v>
      </c>
      <c r="J285" s="5" t="n">
        <f aca="false">IFERROR(I285/规则参数!$B$10,0)</f>
        <v>0</v>
      </c>
      <c r="K285" s="6" t="n">
        <f aca="false">IFERROR(I285/E285,0)</f>
        <v>0</v>
      </c>
      <c r="L285" s="6" t="n">
        <f aca="false">IFERROR(G285/E285,0)</f>
        <v>-0.282059620596206</v>
      </c>
      <c r="M285" s="6" t="n">
        <f aca="false">K285+L285</f>
        <v>-0.282059620596206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92.25</v>
      </c>
      <c r="T285" s="6" t="n">
        <f aca="false">IFERROR(R285/S285-1,"")</f>
        <v>-1</v>
      </c>
      <c r="U285" s="7" t="n">
        <v>0</v>
      </c>
      <c r="V285" s="8" t="n">
        <v>0</v>
      </c>
      <c r="W285" s="4" t="n">
        <f aca="false">R285*K285</f>
        <v>0</v>
      </c>
      <c r="X285" s="4" t="n">
        <f aca="false">R285*V285</f>
        <v>0</v>
      </c>
      <c r="Y285" s="4" t="n">
        <f aca="false">X285-W285</f>
        <v>0</v>
      </c>
      <c r="Z285" s="3" t="s">
        <v>475</v>
      </c>
      <c r="AA285" s="3" t="s">
        <v>31</v>
      </c>
    </row>
    <row r="286" customFormat="false" ht="15" hidden="false" customHeight="false" outlineLevel="0" collapsed="false">
      <c r="A286" s="9" t="s">
        <v>519</v>
      </c>
      <c r="B286" s="9" t="s">
        <v>529</v>
      </c>
      <c r="C286" s="3" t="s">
        <v>34</v>
      </c>
      <c r="D286" s="9" t="s">
        <v>194</v>
      </c>
      <c r="E286" s="4" t="n">
        <v>149.98</v>
      </c>
      <c r="F286" s="5" t="n">
        <f aca="false">IFERROR(E286/规则参数!$B$8,0)</f>
        <v>4.589998709564E-006</v>
      </c>
      <c r="G286" s="4" t="n">
        <v>49.35</v>
      </c>
      <c r="H286" s="5" t="n">
        <f aca="false">IFERROR(G286/规则参数!$B$9,0)</f>
        <v>1.09688320847465E-005</v>
      </c>
      <c r="I286" s="4" t="n">
        <v>0</v>
      </c>
      <c r="J286" s="5" t="n">
        <f aca="false">IFERROR(I286/规则参数!$B$10,0)</f>
        <v>0</v>
      </c>
      <c r="K286" s="6" t="n">
        <f aca="false">IFERROR(I286/E286,0)</f>
        <v>0</v>
      </c>
      <c r="L286" s="6" t="n">
        <f aca="false">IFERROR(G286/E286,0)</f>
        <v>0.329043872516336</v>
      </c>
      <c r="M286" s="6" t="n">
        <f aca="false">K286+L286</f>
        <v>0.329043872516336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149.98</v>
      </c>
      <c r="S286" s="4" t="n">
        <v>0</v>
      </c>
      <c r="T286" s="6" t="str">
        <f aca="false">IFERROR(R286/S286-1,"")</f>
        <v/>
      </c>
      <c r="U286" s="7" t="n">
        <v>0</v>
      </c>
      <c r="V286" s="8" t="n">
        <v>0</v>
      </c>
      <c r="W286" s="4" t="n">
        <f aca="false">R286*K286</f>
        <v>0</v>
      </c>
      <c r="X286" s="4" t="n">
        <f aca="false">R286*V286</f>
        <v>0</v>
      </c>
      <c r="Y286" s="4" t="n">
        <f aca="false">X286-W286</f>
        <v>0</v>
      </c>
      <c r="Z286" s="3" t="s">
        <v>475</v>
      </c>
      <c r="AA286" s="3" t="s">
        <v>31</v>
      </c>
    </row>
    <row r="287" customFormat="false" ht="15" hidden="false" customHeight="false" outlineLevel="0" collapsed="false">
      <c r="A287" s="3" t="s">
        <v>39</v>
      </c>
      <c r="B287" s="3" t="s">
        <v>530</v>
      </c>
      <c r="C287" s="3" t="s">
        <v>96</v>
      </c>
      <c r="D287" s="9" t="s">
        <v>194</v>
      </c>
      <c r="E287" s="4" t="n">
        <v>49.99</v>
      </c>
      <c r="F287" s="5" t="n">
        <f aca="false">IFERROR(E287/规则参数!$B$8,0)</f>
        <v>1.52989755628153E-006</v>
      </c>
      <c r="G287" s="4" t="n">
        <v>25.36</v>
      </c>
      <c r="H287" s="5" t="n">
        <f aca="false">IFERROR(G287/规则参数!$B$9,0)</f>
        <v>5.63666832156374E-006</v>
      </c>
      <c r="I287" s="4" t="n">
        <v>0</v>
      </c>
      <c r="J287" s="5" t="n">
        <f aca="false">IFERROR(I287/规则参数!$B$10,0)</f>
        <v>0</v>
      </c>
      <c r="K287" s="6" t="n">
        <f aca="false">IFERROR(I287/E287,0)</f>
        <v>0</v>
      </c>
      <c r="L287" s="6" t="n">
        <f aca="false">IFERROR(G287/E287,0)</f>
        <v>0.507301460292058</v>
      </c>
      <c r="M287" s="6" t="n">
        <f aca="false">K287+L287</f>
        <v>0.507301460292058</v>
      </c>
      <c r="N287" s="4" t="n">
        <v>0</v>
      </c>
      <c r="O287" s="4" t="n">
        <v>0</v>
      </c>
      <c r="P287" s="4" t="n">
        <v>0</v>
      </c>
      <c r="Q287" s="4" t="n">
        <v>0</v>
      </c>
      <c r="R287" s="4" t="n">
        <v>49.99</v>
      </c>
      <c r="S287" s="4" t="n">
        <v>0</v>
      </c>
      <c r="T287" s="6" t="str">
        <f aca="false">IFERROR(R287/S287-1,"")</f>
        <v/>
      </c>
      <c r="U287" s="7" t="n">
        <v>0</v>
      </c>
      <c r="V287" s="8" t="n">
        <v>0</v>
      </c>
      <c r="W287" s="4" t="n">
        <f aca="false">R287*K287</f>
        <v>0</v>
      </c>
      <c r="X287" s="4" t="n">
        <f aca="false">R287*V287</f>
        <v>0</v>
      </c>
      <c r="Y287" s="4" t="n">
        <f aca="false">X287-W287</f>
        <v>0</v>
      </c>
      <c r="Z287" s="3" t="s">
        <v>475</v>
      </c>
      <c r="AA287" s="3" t="s">
        <v>31</v>
      </c>
    </row>
    <row r="288" customFormat="false" ht="15" hidden="false" customHeight="false" outlineLevel="0" collapsed="false">
      <c r="A288" s="3" t="s">
        <v>196</v>
      </c>
      <c r="B288" s="3" t="s">
        <v>531</v>
      </c>
      <c r="C288" s="3" t="s">
        <v>29</v>
      </c>
      <c r="D288" s="9" t="s">
        <v>194</v>
      </c>
      <c r="E288" s="4" t="n">
        <v>657</v>
      </c>
      <c r="F288" s="5" t="n">
        <f aca="false">IFERROR(E288/规则参数!$B$8,0)</f>
        <v>2.01068752645923E-005</v>
      </c>
      <c r="G288" s="4" t="n">
        <v>-342.38</v>
      </c>
      <c r="H288" s="5" t="n">
        <f aca="false">IFERROR(G288/规则参数!$B$9,0)</f>
        <v>-7.60994676631306E-005</v>
      </c>
      <c r="I288" s="4" t="n">
        <v>0</v>
      </c>
      <c r="J288" s="5" t="n">
        <f aca="false">IFERROR(I288/规则参数!$B$10,0)</f>
        <v>0</v>
      </c>
      <c r="K288" s="6" t="n">
        <f aca="false">IFERROR(I288/E288,0)</f>
        <v>0</v>
      </c>
      <c r="L288" s="6" t="n">
        <f aca="false">IFERROR(G288/E288,0)</f>
        <v>-0.521126331811263</v>
      </c>
      <c r="M288" s="6" t="n">
        <f aca="false">K288+L288</f>
        <v>-0.521126331811263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6" t="str">
        <f aca="false">IFERROR(R288/S288-1,"")</f>
        <v/>
      </c>
      <c r="U288" s="7" t="n">
        <v>0</v>
      </c>
      <c r="V288" s="8" t="n">
        <v>0</v>
      </c>
      <c r="W288" s="4" t="n">
        <f aca="false">R288*K288</f>
        <v>0</v>
      </c>
      <c r="X288" s="4" t="n">
        <f aca="false">R288*V288</f>
        <v>0</v>
      </c>
      <c r="Y288" s="4" t="n">
        <f aca="false">X288-W288</f>
        <v>0</v>
      </c>
      <c r="Z288" s="3" t="s">
        <v>475</v>
      </c>
      <c r="AA288" s="3" t="s">
        <v>31</v>
      </c>
    </row>
    <row r="289" customFormat="false" ht="15" hidden="false" customHeight="false" outlineLevel="0" collapsed="false">
      <c r="A289" s="3" t="s">
        <v>39</v>
      </c>
      <c r="B289" s="3" t="s">
        <v>532</v>
      </c>
      <c r="C289" s="3" t="s">
        <v>34</v>
      </c>
      <c r="D289" s="9" t="s">
        <v>194</v>
      </c>
      <c r="E289" s="4" t="n">
        <v>20.89</v>
      </c>
      <c r="F289" s="5" t="n">
        <f aca="false">IFERROR(E289/规则参数!$B$8,0)</f>
        <v>6.39319062826991E-007</v>
      </c>
      <c r="G289" s="4" t="n">
        <v>4.38</v>
      </c>
      <c r="H289" s="5" t="n">
        <f aca="false">IFERROR(G289/规则参数!$B$9,0)</f>
        <v>9.73525522415188E-007</v>
      </c>
      <c r="I289" s="4" t="n">
        <v>0</v>
      </c>
      <c r="J289" s="5" t="n">
        <f aca="false">IFERROR(I289/规则参数!$B$10,0)</f>
        <v>0</v>
      </c>
      <c r="K289" s="6" t="n">
        <f aca="false">IFERROR(I289/E289,0)</f>
        <v>0</v>
      </c>
      <c r="L289" s="6" t="n">
        <f aca="false">IFERROR(G289/E289,0)</f>
        <v>0.209669698420297</v>
      </c>
      <c r="M289" s="6" t="n">
        <f aca="false">K289+L289</f>
        <v>0.209669698420297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6" t="str">
        <f aca="false">IFERROR(R289/S289-1,"")</f>
        <v/>
      </c>
      <c r="U289" s="7" t="n">
        <v>0</v>
      </c>
      <c r="V289" s="8" t="n">
        <v>0</v>
      </c>
      <c r="W289" s="4" t="n">
        <f aca="false">R289*K289</f>
        <v>0</v>
      </c>
      <c r="X289" s="4" t="n">
        <f aca="false">R289*V289</f>
        <v>0</v>
      </c>
      <c r="Y289" s="4" t="n">
        <f aca="false">X289-W289</f>
        <v>0</v>
      </c>
      <c r="Z289" s="3" t="s">
        <v>475</v>
      </c>
      <c r="AA289" s="3" t="s">
        <v>31</v>
      </c>
    </row>
    <row r="290" customFormat="false" ht="15" hidden="false" customHeight="false" outlineLevel="0" collapsed="false">
      <c r="A290" s="3" t="s">
        <v>412</v>
      </c>
      <c r="B290" s="3" t="s">
        <v>533</v>
      </c>
      <c r="C290" s="3" t="s">
        <v>29</v>
      </c>
      <c r="D290" s="9" t="s">
        <v>194</v>
      </c>
      <c r="E290" s="4" t="n">
        <v>238.89</v>
      </c>
      <c r="F290" s="5" t="n">
        <f aca="false">IFERROR(E290/规则参数!$B$8,0)</f>
        <v>7.31100674575107E-006</v>
      </c>
      <c r="G290" s="4" t="n">
        <v>-97.32</v>
      </c>
      <c r="H290" s="5" t="n">
        <f aca="false">IFERROR(G290/规则参数!$B$9,0)</f>
        <v>-2.16309369501019E-005</v>
      </c>
      <c r="I290" s="4" t="n">
        <v>0</v>
      </c>
      <c r="J290" s="5" t="n">
        <f aca="false">IFERROR(I290/规则参数!$B$10,0)</f>
        <v>0</v>
      </c>
      <c r="K290" s="6" t="n">
        <f aca="false">IFERROR(I290/E290,0)</f>
        <v>0</v>
      </c>
      <c r="L290" s="6" t="n">
        <f aca="false">IFERROR(G290/E290,0)</f>
        <v>-0.40738415170162</v>
      </c>
      <c r="M290" s="6" t="n">
        <f aca="false">K290+L290</f>
        <v>-0.40738415170162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6" t="str">
        <f aca="false">IFERROR(R290/S290-1,"")</f>
        <v/>
      </c>
      <c r="U290" s="7" t="n">
        <v>0</v>
      </c>
      <c r="V290" s="8" t="n">
        <v>0</v>
      </c>
      <c r="W290" s="4" t="n">
        <f aca="false">R290*K290</f>
        <v>0</v>
      </c>
      <c r="X290" s="4" t="n">
        <f aca="false">R290*V290</f>
        <v>0</v>
      </c>
      <c r="Y290" s="4" t="n">
        <f aca="false">X290-W290</f>
        <v>0</v>
      </c>
      <c r="Z290" s="3" t="s">
        <v>475</v>
      </c>
      <c r="AA290" s="3" t="s">
        <v>31</v>
      </c>
    </row>
    <row r="291" customFormat="false" ht="15" hidden="false" customHeight="false" outlineLevel="0" collapsed="false">
      <c r="A291" s="3" t="s">
        <v>39</v>
      </c>
      <c r="B291" s="9" t="s">
        <v>534</v>
      </c>
      <c r="C291" s="3" t="s">
        <v>34</v>
      </c>
      <c r="D291" s="9" t="s">
        <v>194</v>
      </c>
      <c r="E291" s="4" t="n">
        <v>56.25</v>
      </c>
      <c r="F291" s="5" t="n">
        <f aca="false">IFERROR(E291/规则参数!$B$8,0)</f>
        <v>1.72147904662605E-006</v>
      </c>
      <c r="G291" s="4" t="n">
        <v>11.55</v>
      </c>
      <c r="H291" s="5" t="n">
        <f aca="false">IFERROR(G291/规则参数!$B$9,0)</f>
        <v>2.56717346664279E-006</v>
      </c>
      <c r="I291" s="4" t="n">
        <v>0</v>
      </c>
      <c r="J291" s="5" t="n">
        <f aca="false">IFERROR(I291/规则参数!$B$10,0)</f>
        <v>0</v>
      </c>
      <c r="K291" s="6" t="n">
        <f aca="false">IFERROR(I291/E291,0)</f>
        <v>0</v>
      </c>
      <c r="L291" s="6" t="n">
        <f aca="false">IFERROR(G291/E291,0)</f>
        <v>0.205333333333333</v>
      </c>
      <c r="M291" s="6" t="n">
        <f aca="false">K291+L291</f>
        <v>0.205333333333333</v>
      </c>
      <c r="N291" s="4" t="n">
        <v>0</v>
      </c>
      <c r="O291" s="4" t="n">
        <v>0</v>
      </c>
      <c r="P291" s="4" t="n">
        <v>0</v>
      </c>
      <c r="Q291" s="4" t="n">
        <v>0</v>
      </c>
      <c r="R291" s="4" t="n">
        <v>0</v>
      </c>
      <c r="S291" s="4" t="n">
        <v>0</v>
      </c>
      <c r="T291" s="6" t="str">
        <f aca="false">IFERROR(R291/S291-1,"")</f>
        <v/>
      </c>
      <c r="U291" s="7" t="n">
        <v>0</v>
      </c>
      <c r="V291" s="8" t="n">
        <v>0</v>
      </c>
      <c r="W291" s="4" t="n">
        <f aca="false">R291*K291</f>
        <v>0</v>
      </c>
      <c r="X291" s="4" t="n">
        <f aca="false">R291*V291</f>
        <v>0</v>
      </c>
      <c r="Y291" s="4" t="n">
        <f aca="false">X291-W291</f>
        <v>0</v>
      </c>
      <c r="Z291" s="3" t="s">
        <v>475</v>
      </c>
      <c r="AA291" s="3" t="s">
        <v>31</v>
      </c>
    </row>
    <row r="292" customFormat="false" ht="15" hidden="false" customHeight="false" outlineLevel="0" collapsed="false">
      <c r="A292" s="3" t="s">
        <v>169</v>
      </c>
      <c r="B292" s="3" t="s">
        <v>535</v>
      </c>
      <c r="C292" s="3" t="s">
        <v>34</v>
      </c>
      <c r="D292" s="9" t="s">
        <v>194</v>
      </c>
      <c r="E292" s="4" t="n">
        <v>47.99</v>
      </c>
      <c r="F292" s="5" t="n">
        <f aca="false">IFERROR(E292/规则参数!$B$8,0)</f>
        <v>1.4686894124015E-006</v>
      </c>
      <c r="G292" s="4" t="n">
        <v>16.06</v>
      </c>
      <c r="H292" s="5" t="n">
        <f aca="false">IFERROR(G292/规则参数!$B$9,0)</f>
        <v>3.56959358218902E-006</v>
      </c>
      <c r="I292" s="4" t="n">
        <v>0</v>
      </c>
      <c r="J292" s="5" t="n">
        <f aca="false">IFERROR(I292/规则参数!$B$10,0)</f>
        <v>0</v>
      </c>
      <c r="K292" s="6" t="n">
        <f aca="false">IFERROR(I292/E292,0)</f>
        <v>0</v>
      </c>
      <c r="L292" s="6" t="n">
        <f aca="false">IFERROR(G292/E292,0)</f>
        <v>0.334653052719317</v>
      </c>
      <c r="M292" s="6" t="n">
        <f aca="false">K292+L292</f>
        <v>0.334653052719317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6" t="str">
        <f aca="false">IFERROR(R292/S292-1,"")</f>
        <v/>
      </c>
      <c r="U292" s="7" t="n">
        <v>0</v>
      </c>
      <c r="V292" s="8" t="n">
        <v>0</v>
      </c>
      <c r="W292" s="4" t="n">
        <f aca="false">R292*K292</f>
        <v>0</v>
      </c>
      <c r="X292" s="4" t="n">
        <f aca="false">R292*V292</f>
        <v>0</v>
      </c>
      <c r="Y292" s="4" t="n">
        <f aca="false">X292-W292</f>
        <v>0</v>
      </c>
      <c r="Z292" s="3" t="s">
        <v>475</v>
      </c>
      <c r="AA292" s="3" t="s">
        <v>31</v>
      </c>
    </row>
    <row r="293" customFormat="false" ht="15" hidden="false" customHeight="false" outlineLevel="0" collapsed="false">
      <c r="A293" s="3" t="s">
        <v>173</v>
      </c>
      <c r="B293" s="3" t="s">
        <v>536</v>
      </c>
      <c r="C293" s="3" t="s">
        <v>29</v>
      </c>
      <c r="D293" s="9" t="s">
        <v>194</v>
      </c>
      <c r="E293" s="4" t="n">
        <v>69.23</v>
      </c>
      <c r="F293" s="5" t="n">
        <f aca="false">IFERROR(E293/规则参数!$B$8,0)</f>
        <v>2.11871990040749E-006</v>
      </c>
      <c r="G293" s="4" t="n">
        <v>12.92</v>
      </c>
      <c r="H293" s="5" t="n">
        <f aca="false">IFERROR(G293/规则参数!$B$9,0)</f>
        <v>2.8716780250238E-006</v>
      </c>
      <c r="I293" s="4" t="n">
        <v>0</v>
      </c>
      <c r="J293" s="5" t="n">
        <f aca="false">IFERROR(I293/规则参数!$B$10,0)</f>
        <v>0</v>
      </c>
      <c r="K293" s="6" t="n">
        <f aca="false">IFERROR(I293/E293,0)</f>
        <v>0</v>
      </c>
      <c r="L293" s="6" t="n">
        <f aca="false">IFERROR(G293/E293,0)</f>
        <v>0.186624295825509</v>
      </c>
      <c r="M293" s="6" t="n">
        <f aca="false">K293+L293</f>
        <v>0.186624295825509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6" t="str">
        <f aca="false">IFERROR(R293/S293-1,"")</f>
        <v/>
      </c>
      <c r="U293" s="7" t="n">
        <v>0</v>
      </c>
      <c r="V293" s="8" t="n">
        <v>0</v>
      </c>
      <c r="W293" s="4" t="n">
        <f aca="false">R293*K293</f>
        <v>0</v>
      </c>
      <c r="X293" s="4" t="n">
        <f aca="false">R293*V293</f>
        <v>0</v>
      </c>
      <c r="Y293" s="4" t="n">
        <f aca="false">X293-W293</f>
        <v>0</v>
      </c>
      <c r="Z293" s="3" t="s">
        <v>475</v>
      </c>
      <c r="AA293" s="3" t="s">
        <v>31</v>
      </c>
    </row>
    <row r="294" customFormat="false" ht="15" hidden="false" customHeight="false" outlineLevel="0" collapsed="false">
      <c r="A294" s="3" t="s">
        <v>537</v>
      </c>
      <c r="B294" s="3" t="s">
        <v>538</v>
      </c>
      <c r="C294" s="3" t="s">
        <v>34</v>
      </c>
      <c r="D294" s="9" t="s">
        <v>194</v>
      </c>
      <c r="E294" s="4" t="n">
        <v>18.99</v>
      </c>
      <c r="F294" s="5" t="n">
        <f aca="false">IFERROR(E294/规则参数!$B$8,0)</f>
        <v>5.81171326140955E-007</v>
      </c>
      <c r="G294" s="4" t="n">
        <v>6.02</v>
      </c>
      <c r="H294" s="5" t="n">
        <f aca="false">IFERROR(G294/规则参数!$B$9,0)</f>
        <v>1.33804192806836E-006</v>
      </c>
      <c r="I294" s="4" t="n">
        <v>0</v>
      </c>
      <c r="J294" s="5" t="n">
        <f aca="false">IFERROR(I294/规则参数!$B$10,0)</f>
        <v>0</v>
      </c>
      <c r="K294" s="6" t="n">
        <f aca="false">IFERROR(I294/E294,0)</f>
        <v>0</v>
      </c>
      <c r="L294" s="6" t="n">
        <f aca="false">IFERROR(G294/E294,0)</f>
        <v>0.317008952080042</v>
      </c>
      <c r="M294" s="6" t="n">
        <f aca="false">K294+L294</f>
        <v>0.317008952080042</v>
      </c>
      <c r="N294" s="4" t="n">
        <v>0</v>
      </c>
      <c r="O294" s="4" t="n">
        <v>0</v>
      </c>
      <c r="P294" s="4" t="n">
        <v>0</v>
      </c>
      <c r="Q294" s="4" t="n">
        <v>0</v>
      </c>
      <c r="R294" s="4" t="n">
        <v>0</v>
      </c>
      <c r="S294" s="4" t="n">
        <v>0</v>
      </c>
      <c r="T294" s="6" t="str">
        <f aca="false">IFERROR(R294/S294-1,"")</f>
        <v/>
      </c>
      <c r="U294" s="7" t="n">
        <v>0</v>
      </c>
      <c r="V294" s="8" t="n">
        <v>0</v>
      </c>
      <c r="W294" s="4" t="n">
        <f aca="false">R294*K294</f>
        <v>0</v>
      </c>
      <c r="X294" s="4" t="n">
        <f aca="false">R294*V294</f>
        <v>0</v>
      </c>
      <c r="Y294" s="4" t="n">
        <f aca="false">X294-W294</f>
        <v>0</v>
      </c>
      <c r="Z294" s="3" t="s">
        <v>475</v>
      </c>
      <c r="AA294" s="3" t="s">
        <v>31</v>
      </c>
    </row>
    <row r="295" customFormat="false" ht="15" hidden="false" customHeight="false" outlineLevel="0" collapsed="false">
      <c r="A295" s="3" t="s">
        <v>539</v>
      </c>
      <c r="B295" s="3" t="s">
        <v>540</v>
      </c>
      <c r="C295" s="3" t="s">
        <v>29</v>
      </c>
      <c r="D295" s="9" t="s">
        <v>194</v>
      </c>
      <c r="E295" s="4" t="n">
        <v>131.96</v>
      </c>
      <c r="F295" s="5" t="n">
        <f aca="false">IFERROR(E295/规则参数!$B$8,0)</f>
        <v>4.03851333320487E-006</v>
      </c>
      <c r="G295" s="4" t="n">
        <v>97.56</v>
      </c>
      <c r="H295" s="5" t="n">
        <f aca="false">IFERROR(G295/规则参数!$B$9,0)</f>
        <v>2.16842808143438E-005</v>
      </c>
      <c r="I295" s="4" t="n">
        <v>0</v>
      </c>
      <c r="J295" s="5" t="n">
        <f aca="false">IFERROR(I295/规则参数!$B$10,0)</f>
        <v>0</v>
      </c>
      <c r="K295" s="6" t="n">
        <f aca="false">IFERROR(I295/E295,0)</f>
        <v>0</v>
      </c>
      <c r="L295" s="6" t="n">
        <f aca="false">IFERROR(G295/E295,0)</f>
        <v>0.739314943922401</v>
      </c>
      <c r="M295" s="6" t="n">
        <f aca="false">K295+L295</f>
        <v>0.739314943922401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6" t="str">
        <f aca="false">IFERROR(R295/S295-1,"")</f>
        <v/>
      </c>
      <c r="U295" s="7" t="n">
        <v>0</v>
      </c>
      <c r="V295" s="8" t="n">
        <v>0</v>
      </c>
      <c r="W295" s="4" t="n">
        <f aca="false">R295*K295</f>
        <v>0</v>
      </c>
      <c r="X295" s="4" t="n">
        <f aca="false">R295*V295</f>
        <v>0</v>
      </c>
      <c r="Y295" s="4" t="n">
        <f aca="false">X295-W295</f>
        <v>0</v>
      </c>
      <c r="Z295" s="3" t="s">
        <v>475</v>
      </c>
      <c r="AA295" s="3" t="s">
        <v>31</v>
      </c>
    </row>
    <row r="296" customFormat="false" ht="15" hidden="false" customHeight="false" outlineLevel="0" collapsed="false">
      <c r="A296" s="3" t="s">
        <v>539</v>
      </c>
      <c r="B296" s="3" t="s">
        <v>541</v>
      </c>
      <c r="C296" s="3" t="s">
        <v>29</v>
      </c>
      <c r="D296" s="9" t="s">
        <v>194</v>
      </c>
      <c r="E296" s="4" t="n">
        <v>626.8</v>
      </c>
      <c r="F296" s="5" t="n">
        <f aca="false">IFERROR(E296/规则参数!$B$8,0)</f>
        <v>1.91826322920037E-005</v>
      </c>
      <c r="G296" s="4" t="n">
        <v>141.75</v>
      </c>
      <c r="H296" s="5" t="n">
        <f aca="false">IFERROR(G296/规则参数!$B$9,0)</f>
        <v>3.15062198178888E-005</v>
      </c>
      <c r="I296" s="4" t="n">
        <v>0</v>
      </c>
      <c r="J296" s="5" t="n">
        <f aca="false">IFERROR(I296/规则参数!$B$10,0)</f>
        <v>0</v>
      </c>
      <c r="K296" s="6" t="n">
        <f aca="false">IFERROR(I296/E296,0)</f>
        <v>0</v>
      </c>
      <c r="L296" s="6" t="n">
        <f aca="false">IFERROR(G296/E296,0)</f>
        <v>0.226148691767709</v>
      </c>
      <c r="M296" s="6" t="n">
        <f aca="false">K296+L296</f>
        <v>0.226148691767709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6" t="str">
        <f aca="false">IFERROR(R296/S296-1,"")</f>
        <v/>
      </c>
      <c r="U296" s="7" t="n">
        <v>0</v>
      </c>
      <c r="V296" s="8" t="n">
        <v>0</v>
      </c>
      <c r="W296" s="4" t="n">
        <f aca="false">R296*K296</f>
        <v>0</v>
      </c>
      <c r="X296" s="4" t="n">
        <f aca="false">R296*V296</f>
        <v>0</v>
      </c>
      <c r="Y296" s="4" t="n">
        <f aca="false">X296-W296</f>
        <v>0</v>
      </c>
      <c r="Z296" s="3" t="s">
        <v>475</v>
      </c>
      <c r="AA296" s="3" t="s">
        <v>31</v>
      </c>
    </row>
    <row r="297" customFormat="false" ht="15" hidden="false" customHeight="false" outlineLevel="0" collapsed="false">
      <c r="A297" s="3" t="s">
        <v>537</v>
      </c>
      <c r="B297" s="9" t="s">
        <v>542</v>
      </c>
      <c r="C297" s="3" t="s">
        <v>34</v>
      </c>
      <c r="D297" s="9" t="s">
        <v>194</v>
      </c>
      <c r="E297" s="4" t="n">
        <v>67.33</v>
      </c>
      <c r="F297" s="5" t="n">
        <f aca="false">IFERROR(E297/规则参数!$B$8,0)</f>
        <v>2.06057216372146E-006</v>
      </c>
      <c r="G297" s="4" t="n">
        <v>25.86</v>
      </c>
      <c r="H297" s="5" t="n">
        <f aca="false">IFERROR(G297/规则参数!$B$9,0)</f>
        <v>5.74780137206776E-006</v>
      </c>
      <c r="I297" s="4" t="n">
        <v>0</v>
      </c>
      <c r="J297" s="5" t="n">
        <f aca="false">IFERROR(I297/规则参数!$B$10,0)</f>
        <v>0</v>
      </c>
      <c r="K297" s="6" t="n">
        <f aca="false">IFERROR(I297/E297,0)</f>
        <v>0</v>
      </c>
      <c r="L297" s="6" t="n">
        <f aca="false">IFERROR(G297/E297,0)</f>
        <v>0.384078419723749</v>
      </c>
      <c r="M297" s="6" t="n">
        <f aca="false">K297+L297</f>
        <v>0.384078419723749</v>
      </c>
      <c r="N297" s="4" t="n">
        <v>0</v>
      </c>
      <c r="O297" s="4" t="n">
        <v>0</v>
      </c>
      <c r="P297" s="4" t="n">
        <v>0</v>
      </c>
      <c r="Q297" s="4" t="n">
        <v>0</v>
      </c>
      <c r="R297" s="4" t="n">
        <v>67.33</v>
      </c>
      <c r="S297" s="4" t="n">
        <v>0</v>
      </c>
      <c r="T297" s="6" t="str">
        <f aca="false">IFERROR(R297/S297-1,"")</f>
        <v/>
      </c>
      <c r="U297" s="7" t="n">
        <v>100</v>
      </c>
      <c r="V297" s="8" t="n">
        <v>0</v>
      </c>
      <c r="W297" s="4" t="n">
        <f aca="false">R297*K297</f>
        <v>0</v>
      </c>
      <c r="X297" s="4" t="n">
        <f aca="false">R297*V297</f>
        <v>0</v>
      </c>
      <c r="Y297" s="4" t="n">
        <f aca="false">X297-W297</f>
        <v>0</v>
      </c>
      <c r="Z297" s="3" t="s">
        <v>475</v>
      </c>
      <c r="AA297" s="3" t="s">
        <v>31</v>
      </c>
    </row>
    <row r="298" customFormat="false" ht="15" hidden="false" customHeight="false" outlineLevel="0" collapsed="false">
      <c r="A298" s="3" t="s">
        <v>412</v>
      </c>
      <c r="B298" s="3" t="s">
        <v>412</v>
      </c>
      <c r="C298" s="3" t="s">
        <v>29</v>
      </c>
      <c r="D298" s="9" t="s">
        <v>194</v>
      </c>
      <c r="E298" s="4" t="n">
        <v>98.97</v>
      </c>
      <c r="F298" s="5" t="n">
        <f aca="false">IFERROR(E298/规则参数!$B$8,0)</f>
        <v>3.02888499990365E-006</v>
      </c>
      <c r="G298" s="4" t="n">
        <v>-54.38</v>
      </c>
      <c r="H298" s="5" t="n">
        <f aca="false">IFERROR(G298/规则参数!$B$9,0)</f>
        <v>-1.20868305728169E-005</v>
      </c>
      <c r="I298" s="4" t="n">
        <v>0</v>
      </c>
      <c r="J298" s="5" t="n">
        <f aca="false">IFERROR(I298/规则参数!$B$10,0)</f>
        <v>0</v>
      </c>
      <c r="K298" s="6" t="n">
        <f aca="false">IFERROR(I298/E298,0)</f>
        <v>0</v>
      </c>
      <c r="L298" s="6" t="n">
        <f aca="false">IFERROR(G298/E298,0)</f>
        <v>-0.549459432151157</v>
      </c>
      <c r="M298" s="6" t="n">
        <f aca="false">K298+L298</f>
        <v>-0.549459432151157</v>
      </c>
      <c r="N298" s="4" t="n">
        <v>0</v>
      </c>
      <c r="O298" s="4" t="n">
        <v>0</v>
      </c>
      <c r="P298" s="4" t="n">
        <v>0</v>
      </c>
      <c r="Q298" s="4" t="n">
        <v>0</v>
      </c>
      <c r="R298" s="4" t="n">
        <v>0</v>
      </c>
      <c r="S298" s="4" t="n">
        <v>0</v>
      </c>
      <c r="T298" s="6" t="str">
        <f aca="false">IFERROR(R298/S298-1,"")</f>
        <v/>
      </c>
      <c r="U298" s="7" t="n">
        <v>0</v>
      </c>
      <c r="V298" s="8" t="n">
        <v>0</v>
      </c>
      <c r="W298" s="4" t="n">
        <f aca="false">R298*K298</f>
        <v>0</v>
      </c>
      <c r="X298" s="4" t="n">
        <f aca="false">R298*V298</f>
        <v>0</v>
      </c>
      <c r="Y298" s="4" t="n">
        <f aca="false">X298-W298</f>
        <v>0</v>
      </c>
      <c r="Z298" s="3" t="s">
        <v>475</v>
      </c>
      <c r="AA298" s="3" t="s">
        <v>31</v>
      </c>
    </row>
    <row r="299" customFormat="false" ht="15" hidden="false" customHeight="false" outlineLevel="0" collapsed="false">
      <c r="A299" s="3" t="s">
        <v>486</v>
      </c>
      <c r="B299" s="3" t="s">
        <v>403</v>
      </c>
      <c r="C299" s="3" t="s">
        <v>29</v>
      </c>
      <c r="D299" s="9" t="s">
        <v>194</v>
      </c>
      <c r="E299" s="4" t="n">
        <v>179.97</v>
      </c>
      <c r="F299" s="5" t="n">
        <f aca="false">IFERROR(E299/规则参数!$B$8,0)</f>
        <v>5.50781482704517E-006</v>
      </c>
      <c r="G299" s="4" t="n">
        <v>-11.19</v>
      </c>
      <c r="H299" s="5" t="n">
        <f aca="false">IFERROR(G299/规则参数!$B$9,0)</f>
        <v>-2.4871576702799E-006</v>
      </c>
      <c r="I299" s="4" t="n">
        <v>0</v>
      </c>
      <c r="J299" s="5" t="n">
        <f aca="false">IFERROR(I299/规则参数!$B$10,0)</f>
        <v>0</v>
      </c>
      <c r="K299" s="6" t="n">
        <f aca="false">IFERROR(I299/E299,0)</f>
        <v>0</v>
      </c>
      <c r="L299" s="6" t="n">
        <f aca="false">IFERROR(G299/E299,0)</f>
        <v>-0.0621770295049175</v>
      </c>
      <c r="M299" s="6" t="n">
        <f aca="false">K299+L299</f>
        <v>-0.0621770295049175</v>
      </c>
      <c r="N299" s="4" t="n">
        <v>0</v>
      </c>
      <c r="O299" s="4" t="n">
        <v>0</v>
      </c>
      <c r="P299" s="4" t="n">
        <v>0</v>
      </c>
      <c r="Q299" s="4" t="n">
        <v>0</v>
      </c>
      <c r="R299" s="4" t="n">
        <v>0</v>
      </c>
      <c r="S299" s="4" t="n">
        <v>0</v>
      </c>
      <c r="T299" s="6" t="str">
        <f aca="false">IFERROR(R299/S299-1,"")</f>
        <v/>
      </c>
      <c r="U299" s="7" t="n">
        <v>0</v>
      </c>
      <c r="V299" s="8" t="n">
        <v>0</v>
      </c>
      <c r="W299" s="4" t="n">
        <f aca="false">R299*K299</f>
        <v>0</v>
      </c>
      <c r="X299" s="4" t="n">
        <f aca="false">R299*V299</f>
        <v>0</v>
      </c>
      <c r="Y299" s="4" t="n">
        <f aca="false">X299-W299</f>
        <v>0</v>
      </c>
      <c r="Z299" s="3" t="s">
        <v>475</v>
      </c>
      <c r="AA299" s="3" t="s">
        <v>31</v>
      </c>
    </row>
    <row r="300" customFormat="false" ht="15" hidden="false" customHeight="false" outlineLevel="0" collapsed="false">
      <c r="A300" s="3" t="s">
        <v>543</v>
      </c>
      <c r="B300" s="9" t="s">
        <v>544</v>
      </c>
      <c r="C300" s="3" t="s">
        <v>29</v>
      </c>
      <c r="D300" s="9" t="s">
        <v>194</v>
      </c>
      <c r="E300" s="4" t="n">
        <v>59.51</v>
      </c>
      <c r="F300" s="5" t="n">
        <f aca="false">IFERROR(E300/规则参数!$B$8,0)</f>
        <v>1.82124832115051E-006</v>
      </c>
      <c r="G300" s="4" t="n">
        <v>-8.98</v>
      </c>
      <c r="H300" s="5" t="n">
        <f aca="false">IFERROR(G300/规则参数!$B$9,0)</f>
        <v>-1.99594958705214E-006</v>
      </c>
      <c r="I300" s="4" t="n">
        <v>0</v>
      </c>
      <c r="J300" s="5" t="n">
        <f aca="false">IFERROR(I300/规则参数!$B$10,0)</f>
        <v>0</v>
      </c>
      <c r="K300" s="6" t="n">
        <f aca="false">IFERROR(I300/E300,0)</f>
        <v>0</v>
      </c>
      <c r="L300" s="6" t="n">
        <f aca="false">IFERROR(G300/E300,0)</f>
        <v>-0.150899008569988</v>
      </c>
      <c r="M300" s="6" t="n">
        <f aca="false">K300+L300</f>
        <v>-0.150899008569988</v>
      </c>
      <c r="N300" s="4" t="n">
        <v>0</v>
      </c>
      <c r="O300" s="4" t="n">
        <v>0</v>
      </c>
      <c r="P300" s="4" t="n">
        <v>0</v>
      </c>
      <c r="Q300" s="4" t="n">
        <v>0</v>
      </c>
      <c r="R300" s="4" t="n">
        <v>0</v>
      </c>
      <c r="S300" s="4" t="n">
        <v>0</v>
      </c>
      <c r="T300" s="6" t="str">
        <f aca="false">IFERROR(R300/S300-1,"")</f>
        <v/>
      </c>
      <c r="U300" s="7" t="n">
        <v>0</v>
      </c>
      <c r="V300" s="8" t="n">
        <v>0</v>
      </c>
      <c r="W300" s="4" t="n">
        <f aca="false">R300*K300</f>
        <v>0</v>
      </c>
      <c r="X300" s="4" t="n">
        <f aca="false">R300*V300</f>
        <v>0</v>
      </c>
      <c r="Y300" s="4" t="n">
        <f aca="false">X300-W300</f>
        <v>0</v>
      </c>
      <c r="Z300" s="3" t="s">
        <v>475</v>
      </c>
      <c r="AA300" s="3" t="s">
        <v>31</v>
      </c>
    </row>
    <row r="301" customFormat="false" ht="15" hidden="false" customHeight="false" outlineLevel="0" collapsed="false">
      <c r="A301" s="3" t="s">
        <v>32</v>
      </c>
      <c r="B301" s="3" t="s">
        <v>545</v>
      </c>
      <c r="C301" s="3" t="s">
        <v>96</v>
      </c>
      <c r="D301" s="9" t="s">
        <v>194</v>
      </c>
      <c r="E301" s="4" t="n">
        <v>29.97</v>
      </c>
      <c r="F301" s="5" t="n">
        <f aca="false">IFERROR(E301/规则参数!$B$8,0)</f>
        <v>9.1720403604236E-007</v>
      </c>
      <c r="G301" s="4" t="n">
        <v>-53.7</v>
      </c>
      <c r="H301" s="5" t="n">
        <f aca="false">IFERROR(G301/规则参数!$B$9,0)</f>
        <v>-1.19356896241314E-005</v>
      </c>
      <c r="I301" s="4" t="n">
        <v>0</v>
      </c>
      <c r="J301" s="5" t="n">
        <f aca="false">IFERROR(I301/规则参数!$B$10,0)</f>
        <v>0</v>
      </c>
      <c r="K301" s="6" t="n">
        <f aca="false">IFERROR(I301/E301,0)</f>
        <v>0</v>
      </c>
      <c r="L301" s="6" t="n">
        <f aca="false">IFERROR(G301/E301,0)</f>
        <v>-1.79179179179179</v>
      </c>
      <c r="M301" s="6" t="n">
        <f aca="false">K301+L301</f>
        <v>-1.79179179179179</v>
      </c>
      <c r="N301" s="4" t="n">
        <v>0</v>
      </c>
      <c r="O301" s="4" t="n">
        <v>0</v>
      </c>
      <c r="P301" s="4" t="n">
        <v>0</v>
      </c>
      <c r="Q301" s="4" t="n">
        <v>0</v>
      </c>
      <c r="R301" s="4" t="n">
        <v>0</v>
      </c>
      <c r="S301" s="4" t="n">
        <v>0</v>
      </c>
      <c r="T301" s="6" t="str">
        <f aca="false">IFERROR(R301/S301-1,"")</f>
        <v/>
      </c>
      <c r="U301" s="7" t="n">
        <v>0</v>
      </c>
      <c r="V301" s="8" t="n">
        <v>0</v>
      </c>
      <c r="W301" s="4" t="n">
        <f aca="false">R301*K301</f>
        <v>0</v>
      </c>
      <c r="X301" s="4" t="n">
        <f aca="false">R301*V301</f>
        <v>0</v>
      </c>
      <c r="Y301" s="4" t="n">
        <f aca="false">X301-W301</f>
        <v>0</v>
      </c>
      <c r="Z301" s="3" t="s">
        <v>475</v>
      </c>
      <c r="AA301" s="3" t="s">
        <v>31</v>
      </c>
    </row>
    <row r="302" customFormat="false" ht="15" hidden="false" customHeight="false" outlineLevel="0" collapsed="false">
      <c r="A302" s="3" t="s">
        <v>546</v>
      </c>
      <c r="B302" s="3" t="s">
        <v>547</v>
      </c>
      <c r="C302" s="3" t="s">
        <v>34</v>
      </c>
      <c r="D302" s="9" t="s">
        <v>194</v>
      </c>
      <c r="E302" s="4" t="n">
        <v>107.91</v>
      </c>
      <c r="F302" s="5" t="n">
        <f aca="false">IFERROR(E302/规则参数!$B$8,0)</f>
        <v>3.30248540304742E-006</v>
      </c>
      <c r="G302" s="4" t="n">
        <v>37.75</v>
      </c>
      <c r="H302" s="5" t="n">
        <f aca="false">IFERROR(G302/规则参数!$B$9,0)</f>
        <v>8.39054531305328E-006</v>
      </c>
      <c r="I302" s="4" t="n">
        <v>0</v>
      </c>
      <c r="J302" s="5" t="n">
        <f aca="false">IFERROR(I302/规则参数!$B$10,0)</f>
        <v>0</v>
      </c>
      <c r="K302" s="6" t="n">
        <f aca="false">IFERROR(I302/E302,0)</f>
        <v>0</v>
      </c>
      <c r="L302" s="6" t="n">
        <f aca="false">IFERROR(G302/E302,0)</f>
        <v>0.349828560837735</v>
      </c>
      <c r="M302" s="6" t="n">
        <f aca="false">K302+L302</f>
        <v>0.349828560837735</v>
      </c>
      <c r="N302" s="4" t="n">
        <v>0</v>
      </c>
      <c r="O302" s="4" t="n">
        <v>0</v>
      </c>
      <c r="P302" s="4" t="n">
        <v>0</v>
      </c>
      <c r="Q302" s="4" t="n">
        <v>0</v>
      </c>
      <c r="R302" s="4" t="n">
        <v>107.91</v>
      </c>
      <c r="S302" s="4" t="n">
        <v>0</v>
      </c>
      <c r="T302" s="6" t="str">
        <f aca="false">IFERROR(R302/S302-1,"")</f>
        <v/>
      </c>
      <c r="U302" s="7" t="n">
        <v>533</v>
      </c>
      <c r="V302" s="8" t="n">
        <v>0</v>
      </c>
      <c r="W302" s="4" t="n">
        <f aca="false">R302*K302</f>
        <v>0</v>
      </c>
      <c r="X302" s="4" t="n">
        <f aca="false">R302*V302</f>
        <v>0</v>
      </c>
      <c r="Y302" s="4" t="n">
        <f aca="false">X302-W302</f>
        <v>0</v>
      </c>
      <c r="Z302" s="3" t="s">
        <v>475</v>
      </c>
      <c r="AA302" s="3" t="s">
        <v>31</v>
      </c>
    </row>
    <row r="303" customFormat="false" ht="15" hidden="false" customHeight="false" outlineLevel="0" collapsed="false">
      <c r="A303" s="3" t="s">
        <v>78</v>
      </c>
      <c r="B303" s="3" t="s">
        <v>548</v>
      </c>
      <c r="C303" s="3" t="s">
        <v>29</v>
      </c>
      <c r="D303" s="9" t="s">
        <v>194</v>
      </c>
      <c r="E303" s="4" t="n">
        <v>503.93</v>
      </c>
      <c r="F303" s="5" t="n">
        <f aca="false">IFERROR(E303/规则参数!$B$8,0)</f>
        <v>1.54223099727336E-005</v>
      </c>
      <c r="G303" s="4" t="n">
        <v>519.76</v>
      </c>
      <c r="H303" s="5" t="n">
        <f aca="false">IFERROR(G303/规则参数!$B$9,0)</f>
        <v>0.000115525028659936</v>
      </c>
      <c r="I303" s="4" t="n">
        <v>0</v>
      </c>
      <c r="J303" s="5" t="n">
        <f aca="false">IFERROR(I303/规则参数!$B$10,0)</f>
        <v>0</v>
      </c>
      <c r="K303" s="6" t="n">
        <f aca="false">IFERROR(I303/E303,0)</f>
        <v>0</v>
      </c>
      <c r="L303" s="6" t="n">
        <f aca="false">IFERROR(G303/E303,0)</f>
        <v>1.03141309308833</v>
      </c>
      <c r="M303" s="6" t="n">
        <f aca="false">K303+L303</f>
        <v>1.03141309308833</v>
      </c>
      <c r="N303" s="4" t="n">
        <v>0</v>
      </c>
      <c r="O303" s="4" t="n">
        <v>0</v>
      </c>
      <c r="P303" s="4" t="n">
        <v>0</v>
      </c>
      <c r="Q303" s="4" t="n">
        <v>0</v>
      </c>
      <c r="R303" s="4" t="n">
        <v>0</v>
      </c>
      <c r="S303" s="4" t="n">
        <v>0</v>
      </c>
      <c r="T303" s="6" t="str">
        <f aca="false">IFERROR(R303/S303-1,"")</f>
        <v/>
      </c>
      <c r="U303" s="7" t="n">
        <v>0</v>
      </c>
      <c r="V303" s="8" t="n">
        <v>0</v>
      </c>
      <c r="W303" s="4" t="n">
        <f aca="false">R303*K303</f>
        <v>0</v>
      </c>
      <c r="X303" s="4" t="n">
        <f aca="false">R303*V303</f>
        <v>0</v>
      </c>
      <c r="Y303" s="4" t="n">
        <f aca="false">X303-W303</f>
        <v>0</v>
      </c>
      <c r="Z303" s="3" t="s">
        <v>475</v>
      </c>
      <c r="AA303" s="3" t="s">
        <v>31</v>
      </c>
    </row>
    <row r="304" customFormat="false" ht="15" hidden="false" customHeight="false" outlineLevel="0" collapsed="false">
      <c r="A304" s="3" t="s">
        <v>246</v>
      </c>
      <c r="B304" s="3" t="s">
        <v>549</v>
      </c>
      <c r="C304" s="3" t="s">
        <v>29</v>
      </c>
      <c r="D304" s="9" t="s">
        <v>194</v>
      </c>
      <c r="E304" s="4" t="n">
        <v>35.99</v>
      </c>
      <c r="F304" s="5" t="n">
        <f aca="false">IFERROR(E304/规则参数!$B$8,0)</f>
        <v>1.10144054912127E-006</v>
      </c>
      <c r="G304" s="4" t="n">
        <v>-1.1</v>
      </c>
      <c r="H304" s="5" t="n">
        <f aca="false">IFERROR(G304/规则参数!$B$9,0)</f>
        <v>-2.44492711108837E-007</v>
      </c>
      <c r="I304" s="4" t="n">
        <v>0</v>
      </c>
      <c r="J304" s="5" t="n">
        <f aca="false">IFERROR(I304/规则参数!$B$10,0)</f>
        <v>0</v>
      </c>
      <c r="K304" s="6" t="n">
        <f aca="false">IFERROR(I304/E304,0)</f>
        <v>0</v>
      </c>
      <c r="L304" s="6" t="n">
        <f aca="false">IFERROR(G304/E304,0)</f>
        <v>-0.0305640455682134</v>
      </c>
      <c r="M304" s="6" t="n">
        <f aca="false">K304+L304</f>
        <v>-0.0305640455682134</v>
      </c>
      <c r="N304" s="4" t="n">
        <v>0</v>
      </c>
      <c r="O304" s="4" t="n">
        <v>0</v>
      </c>
      <c r="P304" s="4" t="n">
        <v>0</v>
      </c>
      <c r="Q304" s="4" t="n">
        <v>0</v>
      </c>
      <c r="R304" s="4" t="n">
        <v>0</v>
      </c>
      <c r="S304" s="4" t="n">
        <v>0</v>
      </c>
      <c r="T304" s="6" t="str">
        <f aca="false">IFERROR(R304/S304-1,"")</f>
        <v/>
      </c>
      <c r="U304" s="7" t="n">
        <v>0</v>
      </c>
      <c r="V304" s="8" t="n">
        <v>0</v>
      </c>
      <c r="W304" s="4" t="n">
        <f aca="false">R304*K304</f>
        <v>0</v>
      </c>
      <c r="X304" s="4" t="n">
        <f aca="false">R304*V304</f>
        <v>0</v>
      </c>
      <c r="Y304" s="4" t="n">
        <f aca="false">X304-W304</f>
        <v>0</v>
      </c>
      <c r="Z304" s="3" t="s">
        <v>475</v>
      </c>
      <c r="AA304" s="3" t="s">
        <v>31</v>
      </c>
    </row>
    <row r="305" customFormat="false" ht="15" hidden="false" customHeight="false" outlineLevel="0" collapsed="false">
      <c r="A305" s="3" t="s">
        <v>550</v>
      </c>
      <c r="B305" s="3" t="s">
        <v>551</v>
      </c>
      <c r="C305" s="3" t="s">
        <v>29</v>
      </c>
      <c r="D305" s="9" t="s">
        <v>194</v>
      </c>
      <c r="E305" s="4" t="n">
        <v>227.16</v>
      </c>
      <c r="F305" s="5" t="n">
        <f aca="false">IFERROR(E305/规则参数!$B$8,0)</f>
        <v>6.95202098189465E-006</v>
      </c>
      <c r="G305" s="4" t="n">
        <v>73.79</v>
      </c>
      <c r="H305" s="5" t="n">
        <f aca="false">IFERROR(G305/规则参数!$B$9,0)</f>
        <v>1.64010155933828E-005</v>
      </c>
      <c r="I305" s="4" t="n">
        <v>0</v>
      </c>
      <c r="J305" s="5" t="n">
        <f aca="false">IFERROR(I305/规则参数!$B$10,0)</f>
        <v>0</v>
      </c>
      <c r="K305" s="6" t="n">
        <f aca="false">IFERROR(I305/E305,0)</f>
        <v>0</v>
      </c>
      <c r="L305" s="6" t="n">
        <f aca="false">IFERROR(G305/E305,0)</f>
        <v>0.324837119211129</v>
      </c>
      <c r="M305" s="6" t="n">
        <f aca="false">K305+L305</f>
        <v>0.324837119211129</v>
      </c>
      <c r="N305" s="4" t="n">
        <v>0</v>
      </c>
      <c r="O305" s="4" t="n">
        <v>0</v>
      </c>
      <c r="P305" s="4" t="n">
        <v>0</v>
      </c>
      <c r="Q305" s="4" t="n">
        <v>0</v>
      </c>
      <c r="R305" s="4" t="n">
        <v>0</v>
      </c>
      <c r="S305" s="4" t="n">
        <v>0</v>
      </c>
      <c r="T305" s="6" t="str">
        <f aca="false">IFERROR(R305/S305-1,"")</f>
        <v/>
      </c>
      <c r="U305" s="7" t="n">
        <v>0</v>
      </c>
      <c r="V305" s="8" t="n">
        <v>0</v>
      </c>
      <c r="W305" s="4" t="n">
        <f aca="false">R305*K305</f>
        <v>0</v>
      </c>
      <c r="X305" s="4" t="n">
        <f aca="false">R305*V305</f>
        <v>0</v>
      </c>
      <c r="Y305" s="4" t="n">
        <f aca="false">X305-W305</f>
        <v>0</v>
      </c>
      <c r="Z305" s="3" t="s">
        <v>475</v>
      </c>
      <c r="AA305" s="3" t="s">
        <v>31</v>
      </c>
    </row>
    <row r="306" customFormat="false" ht="15" hidden="false" customHeight="false" outlineLevel="0" collapsed="false">
      <c r="A306" s="3" t="s">
        <v>424</v>
      </c>
      <c r="B306" s="3" t="s">
        <v>552</v>
      </c>
      <c r="C306" s="3" t="s">
        <v>29</v>
      </c>
      <c r="D306" s="9" t="s">
        <v>194</v>
      </c>
      <c r="E306" s="4" t="n">
        <v>1217.81</v>
      </c>
      <c r="F306" s="5" t="n">
        <f aca="false">IFERROR(E306/规则参数!$B$8,0)</f>
        <v>3.72699448492742E-005</v>
      </c>
      <c r="G306" s="4" t="n">
        <v>-189.86</v>
      </c>
      <c r="H306" s="5" t="n">
        <f aca="false">IFERROR(G306/规则参数!$B$9,0)</f>
        <v>-4.21994419373853E-005</v>
      </c>
      <c r="I306" s="4" t="n">
        <v>0</v>
      </c>
      <c r="J306" s="5" t="n">
        <f aca="false">IFERROR(I306/规则参数!$B$10,0)</f>
        <v>0</v>
      </c>
      <c r="K306" s="6" t="n">
        <f aca="false">IFERROR(I306/E306,0)</f>
        <v>0</v>
      </c>
      <c r="L306" s="6" t="n">
        <f aca="false">IFERROR(G306/E306,0)</f>
        <v>-0.155902809140999</v>
      </c>
      <c r="M306" s="6" t="n">
        <f aca="false">K306+L306</f>
        <v>-0.155902809140999</v>
      </c>
      <c r="N306" s="4" t="n">
        <v>0</v>
      </c>
      <c r="O306" s="4" t="n">
        <v>0</v>
      </c>
      <c r="P306" s="4" t="n">
        <v>0</v>
      </c>
      <c r="Q306" s="4" t="n">
        <v>0</v>
      </c>
      <c r="R306" s="4" t="n">
        <v>0</v>
      </c>
      <c r="S306" s="4" t="n">
        <v>0</v>
      </c>
      <c r="T306" s="6" t="str">
        <f aca="false">IFERROR(R306/S306-1,"")</f>
        <v/>
      </c>
      <c r="U306" s="7" t="n">
        <v>0</v>
      </c>
      <c r="V306" s="8" t="n">
        <v>0</v>
      </c>
      <c r="W306" s="4" t="n">
        <f aca="false">R306*K306</f>
        <v>0</v>
      </c>
      <c r="X306" s="4" t="n">
        <f aca="false">R306*V306</f>
        <v>0</v>
      </c>
      <c r="Y306" s="4" t="n">
        <f aca="false">X306-W306</f>
        <v>0</v>
      </c>
      <c r="Z306" s="3" t="s">
        <v>475</v>
      </c>
      <c r="AA306" s="3" t="s">
        <v>31</v>
      </c>
    </row>
    <row r="307" customFormat="false" ht="15" hidden="false" customHeight="false" outlineLevel="0" collapsed="false">
      <c r="A307" s="3" t="s">
        <v>424</v>
      </c>
      <c r="B307" s="9" t="s">
        <v>553</v>
      </c>
      <c r="C307" s="3" t="s">
        <v>29</v>
      </c>
      <c r="D307" s="9" t="s">
        <v>194</v>
      </c>
      <c r="E307" s="4" t="n">
        <v>250.47</v>
      </c>
      <c r="F307" s="5" t="n">
        <f aca="false">IFERROR(E307/规则参数!$B$8,0)</f>
        <v>7.66540189881648E-006</v>
      </c>
      <c r="G307" s="4" t="n">
        <v>3.48</v>
      </c>
      <c r="H307" s="5" t="n">
        <f aca="false">IFERROR(G307/规则参数!$B$9,0)</f>
        <v>7.73486031507958E-007</v>
      </c>
      <c r="I307" s="4" t="n">
        <v>0</v>
      </c>
      <c r="J307" s="5" t="n">
        <f aca="false">IFERROR(I307/规则参数!$B$10,0)</f>
        <v>0</v>
      </c>
      <c r="K307" s="6" t="n">
        <f aca="false">IFERROR(I307/E307,0)</f>
        <v>0</v>
      </c>
      <c r="L307" s="6" t="n">
        <f aca="false">IFERROR(G307/E307,0)</f>
        <v>0.0138938795065277</v>
      </c>
      <c r="M307" s="6" t="n">
        <f aca="false">K307+L307</f>
        <v>0.0138938795065277</v>
      </c>
      <c r="N307" s="4" t="n">
        <v>0</v>
      </c>
      <c r="O307" s="4" t="n">
        <v>0</v>
      </c>
      <c r="P307" s="4" t="n">
        <v>0</v>
      </c>
      <c r="Q307" s="4" t="n">
        <v>0</v>
      </c>
      <c r="R307" s="4" t="n">
        <v>0</v>
      </c>
      <c r="S307" s="4" t="n">
        <v>0</v>
      </c>
      <c r="T307" s="6" t="str">
        <f aca="false">IFERROR(R307/S307-1,"")</f>
        <v/>
      </c>
      <c r="U307" s="7" t="n">
        <v>0</v>
      </c>
      <c r="V307" s="8" t="n">
        <v>0</v>
      </c>
      <c r="W307" s="4" t="n">
        <f aca="false">R307*K307</f>
        <v>0</v>
      </c>
      <c r="X307" s="4" t="n">
        <f aca="false">R307*V307</f>
        <v>0</v>
      </c>
      <c r="Y307" s="4" t="n">
        <f aca="false">X307-W307</f>
        <v>0</v>
      </c>
      <c r="Z307" s="3" t="s">
        <v>475</v>
      </c>
      <c r="AA307" s="3" t="s">
        <v>31</v>
      </c>
    </row>
    <row r="308" customFormat="false" ht="15" hidden="false" customHeight="false" outlineLevel="0" collapsed="false">
      <c r="A308" s="3" t="s">
        <v>424</v>
      </c>
      <c r="B308" s="9" t="s">
        <v>554</v>
      </c>
      <c r="C308" s="3" t="s">
        <v>29</v>
      </c>
      <c r="D308" s="9" t="s">
        <v>194</v>
      </c>
      <c r="E308" s="4" t="n">
        <v>312.08</v>
      </c>
      <c r="F308" s="5" t="n">
        <f aca="false">IFERROR(E308/规则参数!$B$8,0)</f>
        <v>9.55091877104104E-006</v>
      </c>
      <c r="G308" s="4" t="n">
        <v>99.83</v>
      </c>
      <c r="H308" s="5" t="n">
        <f aca="false">IFERROR(G308/规则参数!$B$9,0)</f>
        <v>2.2188824863632E-005</v>
      </c>
      <c r="I308" s="4" t="n">
        <v>0</v>
      </c>
      <c r="J308" s="5" t="n">
        <f aca="false">IFERROR(I308/规则参数!$B$10,0)</f>
        <v>0</v>
      </c>
      <c r="K308" s="6" t="n">
        <f aca="false">IFERROR(I308/E308,0)</f>
        <v>0</v>
      </c>
      <c r="L308" s="6" t="n">
        <f aca="false">IFERROR(G308/E308,0)</f>
        <v>0.319885926685465</v>
      </c>
      <c r="M308" s="6" t="n">
        <f aca="false">K308+L308</f>
        <v>0.319885926685465</v>
      </c>
      <c r="N308" s="4" t="n">
        <v>0</v>
      </c>
      <c r="O308" s="4" t="n">
        <v>0</v>
      </c>
      <c r="P308" s="4" t="n">
        <v>0</v>
      </c>
      <c r="Q308" s="4" t="n">
        <v>0</v>
      </c>
      <c r="R308" s="4" t="n">
        <v>0</v>
      </c>
      <c r="S308" s="4" t="n">
        <v>0</v>
      </c>
      <c r="T308" s="6" t="str">
        <f aca="false">IFERROR(R308/S308-1,"")</f>
        <v/>
      </c>
      <c r="U308" s="7" t="n">
        <v>0</v>
      </c>
      <c r="V308" s="8" t="n">
        <v>0</v>
      </c>
      <c r="W308" s="4" t="n">
        <f aca="false">R308*K308</f>
        <v>0</v>
      </c>
      <c r="X308" s="4" t="n">
        <f aca="false">R308*V308</f>
        <v>0</v>
      </c>
      <c r="Y308" s="4" t="n">
        <f aca="false">X308-W308</f>
        <v>0</v>
      </c>
      <c r="Z308" s="3" t="s">
        <v>475</v>
      </c>
      <c r="AA308" s="3" t="s">
        <v>31</v>
      </c>
    </row>
    <row r="309" customFormat="false" ht="15" hidden="false" customHeight="false" outlineLevel="0" collapsed="false">
      <c r="A309" s="3" t="s">
        <v>424</v>
      </c>
      <c r="B309" s="9" t="s">
        <v>555</v>
      </c>
      <c r="C309" s="3" t="s">
        <v>29</v>
      </c>
      <c r="D309" s="9" t="s">
        <v>194</v>
      </c>
      <c r="E309" s="4" t="n">
        <v>759.02</v>
      </c>
      <c r="F309" s="5" t="n">
        <f aca="false">IFERROR(E309/规则参数!$B$8,0)</f>
        <v>2.3229102683913E-005</v>
      </c>
      <c r="G309" s="4" t="n">
        <v>307.83</v>
      </c>
      <c r="H309" s="5" t="n">
        <f aca="false">IFERROR(G309/规则参数!$B$9,0)</f>
        <v>6.84201738733031E-005</v>
      </c>
      <c r="I309" s="4" t="n">
        <v>0</v>
      </c>
      <c r="J309" s="5" t="n">
        <f aca="false">IFERROR(I309/规则参数!$B$10,0)</f>
        <v>0</v>
      </c>
      <c r="K309" s="6" t="n">
        <f aca="false">IFERROR(I309/E309,0)</f>
        <v>0</v>
      </c>
      <c r="L309" s="6" t="n">
        <f aca="false">IFERROR(G309/E309,0)</f>
        <v>0.405562435772443</v>
      </c>
      <c r="M309" s="6" t="n">
        <f aca="false">K309+L309</f>
        <v>0.405562435772443</v>
      </c>
      <c r="N309" s="4" t="n">
        <v>0</v>
      </c>
      <c r="O309" s="4" t="n">
        <v>0</v>
      </c>
      <c r="P309" s="4" t="n">
        <v>0</v>
      </c>
      <c r="Q309" s="4" t="n">
        <v>0</v>
      </c>
      <c r="R309" s="4" t="n">
        <v>0</v>
      </c>
      <c r="S309" s="4" t="n">
        <v>0</v>
      </c>
      <c r="T309" s="6" t="str">
        <f aca="false">IFERROR(R309/S309-1,"")</f>
        <v/>
      </c>
      <c r="U309" s="7" t="n">
        <v>0</v>
      </c>
      <c r="V309" s="8" t="n">
        <v>0</v>
      </c>
      <c r="W309" s="4" t="n">
        <f aca="false">R309*K309</f>
        <v>0</v>
      </c>
      <c r="X309" s="4" t="n">
        <f aca="false">R309*V309</f>
        <v>0</v>
      </c>
      <c r="Y309" s="4" t="n">
        <f aca="false">X309-W309</f>
        <v>0</v>
      </c>
      <c r="Z309" s="3" t="s">
        <v>475</v>
      </c>
      <c r="AA309" s="3" t="s">
        <v>31</v>
      </c>
    </row>
    <row r="310" customFormat="false" ht="15" hidden="false" customHeight="false" outlineLevel="0" collapsed="false">
      <c r="A310" s="3" t="s">
        <v>495</v>
      </c>
      <c r="B310" s="3" t="s">
        <v>556</v>
      </c>
      <c r="C310" s="3" t="s">
        <v>29</v>
      </c>
      <c r="D310" s="9" t="s">
        <v>194</v>
      </c>
      <c r="E310" s="4" t="n">
        <v>26.7</v>
      </c>
      <c r="F310" s="5" t="n">
        <f aca="false">IFERROR(E310/规则参数!$B$8,0)</f>
        <v>8.17128720798499E-007</v>
      </c>
      <c r="G310" s="4" t="n">
        <v>-28</v>
      </c>
      <c r="H310" s="5" t="n">
        <f aca="false">IFERROR(G310/规则参数!$B$9,0)</f>
        <v>-6.22345082822495E-006</v>
      </c>
      <c r="I310" s="4" t="n">
        <v>0</v>
      </c>
      <c r="J310" s="5" t="n">
        <f aca="false">IFERROR(I310/规则参数!$B$10,0)</f>
        <v>0</v>
      </c>
      <c r="K310" s="6" t="n">
        <f aca="false">IFERROR(I310/E310,0)</f>
        <v>0</v>
      </c>
      <c r="L310" s="6" t="n">
        <f aca="false">IFERROR(G310/E310,0)</f>
        <v>-1.04868913857678</v>
      </c>
      <c r="M310" s="6" t="n">
        <f aca="false">K310+L310</f>
        <v>-1.04868913857678</v>
      </c>
      <c r="N310" s="4" t="n">
        <v>0</v>
      </c>
      <c r="O310" s="4" t="n">
        <v>0</v>
      </c>
      <c r="P310" s="4" t="n">
        <v>0</v>
      </c>
      <c r="Q310" s="4" t="n">
        <v>0</v>
      </c>
      <c r="R310" s="4" t="n">
        <v>0</v>
      </c>
      <c r="S310" s="4" t="n">
        <v>0</v>
      </c>
      <c r="T310" s="6" t="str">
        <f aca="false">IFERROR(R310/S310-1,"")</f>
        <v/>
      </c>
      <c r="U310" s="7" t="n">
        <v>0</v>
      </c>
      <c r="V310" s="8" t="n">
        <v>0</v>
      </c>
      <c r="W310" s="4" t="n">
        <f aca="false">R310*K310</f>
        <v>0</v>
      </c>
      <c r="X310" s="4" t="n">
        <f aca="false">R310*V310</f>
        <v>0</v>
      </c>
      <c r="Y310" s="4" t="n">
        <f aca="false">X310-W310</f>
        <v>0</v>
      </c>
      <c r="Z310" s="3" t="s">
        <v>475</v>
      </c>
      <c r="AA310" s="3" t="s">
        <v>31</v>
      </c>
    </row>
    <row r="311" customFormat="false" ht="15" hidden="false" customHeight="false" outlineLevel="0" collapsed="false">
      <c r="A311" s="3" t="s">
        <v>495</v>
      </c>
      <c r="B311" s="3" t="s">
        <v>557</v>
      </c>
      <c r="C311" s="3" t="s">
        <v>29</v>
      </c>
      <c r="D311" s="9" t="s">
        <v>194</v>
      </c>
      <c r="E311" s="4" t="n">
        <v>402.87</v>
      </c>
      <c r="F311" s="5" t="n">
        <f aca="false">IFERROR(E311/规则参数!$B$8,0)</f>
        <v>1.23294624624753E-005</v>
      </c>
      <c r="G311" s="4" t="n">
        <v>-1492.37</v>
      </c>
      <c r="H311" s="5" t="n">
        <f aca="false">IFERROR(G311/规则参数!$B$9,0)</f>
        <v>-0.00033170326116136</v>
      </c>
      <c r="I311" s="4" t="n">
        <v>0</v>
      </c>
      <c r="J311" s="5" t="n">
        <f aca="false">IFERROR(I311/规则参数!$B$10,0)</f>
        <v>0</v>
      </c>
      <c r="K311" s="6" t="n">
        <f aca="false">IFERROR(I311/E311,0)</f>
        <v>0</v>
      </c>
      <c r="L311" s="6" t="n">
        <f aca="false">IFERROR(G311/E311,0)</f>
        <v>-3.70434631518852</v>
      </c>
      <c r="M311" s="6" t="n">
        <f aca="false">K311+L311</f>
        <v>-3.70434631518852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6" t="str">
        <f aca="false">IFERROR(R311/S311-1,"")</f>
        <v/>
      </c>
      <c r="U311" s="7" t="n">
        <v>0</v>
      </c>
      <c r="V311" s="8" t="n">
        <v>0</v>
      </c>
      <c r="W311" s="4" t="n">
        <f aca="false">R311*K311</f>
        <v>0</v>
      </c>
      <c r="X311" s="4" t="n">
        <f aca="false">R311*V311</f>
        <v>0</v>
      </c>
      <c r="Y311" s="4" t="n">
        <f aca="false">X311-W311</f>
        <v>0</v>
      </c>
      <c r="Z311" s="3" t="s">
        <v>475</v>
      </c>
      <c r="AA311" s="3" t="s">
        <v>31</v>
      </c>
    </row>
    <row r="312" customFormat="false" ht="15" hidden="false" customHeight="false" outlineLevel="0" collapsed="false">
      <c r="A312" s="3" t="s">
        <v>179</v>
      </c>
      <c r="B312" s="9" t="s">
        <v>558</v>
      </c>
      <c r="C312" s="3" t="s">
        <v>29</v>
      </c>
      <c r="D312" s="9" t="s">
        <v>194</v>
      </c>
      <c r="E312" s="4" t="n">
        <v>119.99</v>
      </c>
      <c r="F312" s="5" t="n">
        <f aca="false">IFERROR(E312/规则参数!$B$8,0)</f>
        <v>3.67218259208284E-006</v>
      </c>
      <c r="G312" s="4" t="n">
        <v>-679.97</v>
      </c>
      <c r="H312" s="5" t="n">
        <f aca="false">IFERROR(G312/规则参数!$B$9,0)</f>
        <v>-0.000151134280702433</v>
      </c>
      <c r="I312" s="4" t="n">
        <v>0</v>
      </c>
      <c r="J312" s="5" t="n">
        <f aca="false">IFERROR(I312/规则参数!$B$10,0)</f>
        <v>0</v>
      </c>
      <c r="K312" s="6" t="n">
        <f aca="false">IFERROR(I312/E312,0)</f>
        <v>0</v>
      </c>
      <c r="L312" s="6" t="n">
        <f aca="false">IFERROR(G312/E312,0)</f>
        <v>-5.66688890740895</v>
      </c>
      <c r="M312" s="6" t="n">
        <f aca="false">K312+L312</f>
        <v>-5.66688890740895</v>
      </c>
      <c r="N312" s="4" t="n">
        <v>0</v>
      </c>
      <c r="O312" s="4" t="n">
        <v>0</v>
      </c>
      <c r="P312" s="4" t="n">
        <v>0</v>
      </c>
      <c r="Q312" s="4" t="n">
        <v>0</v>
      </c>
      <c r="R312" s="4" t="n">
        <v>0</v>
      </c>
      <c r="S312" s="4" t="n">
        <v>0</v>
      </c>
      <c r="T312" s="6" t="str">
        <f aca="false">IFERROR(R312/S312-1,"")</f>
        <v/>
      </c>
      <c r="U312" s="7" t="n">
        <v>0</v>
      </c>
      <c r="V312" s="8" t="n">
        <v>0</v>
      </c>
      <c r="W312" s="4" t="n">
        <f aca="false">R312*K312</f>
        <v>0</v>
      </c>
      <c r="X312" s="4" t="n">
        <f aca="false">R312*V312</f>
        <v>0</v>
      </c>
      <c r="Y312" s="4" t="n">
        <f aca="false">X312-W312</f>
        <v>0</v>
      </c>
      <c r="Z312" s="3" t="s">
        <v>475</v>
      </c>
      <c r="AA312" s="3" t="s">
        <v>31</v>
      </c>
    </row>
    <row r="313" customFormat="false" ht="15" hidden="false" customHeight="false" outlineLevel="0" collapsed="false">
      <c r="A313" s="3" t="s">
        <v>179</v>
      </c>
      <c r="B313" s="9" t="s">
        <v>559</v>
      </c>
      <c r="C313" s="3" t="s">
        <v>34</v>
      </c>
      <c r="D313" s="9" t="s">
        <v>194</v>
      </c>
      <c r="E313" s="4" t="n">
        <v>145.53</v>
      </c>
      <c r="F313" s="5" t="n">
        <f aca="false">IFERROR(E313/规则参数!$B$8,0)</f>
        <v>4.45381058943092E-006</v>
      </c>
      <c r="G313" s="4" t="n">
        <v>-114.33</v>
      </c>
      <c r="H313" s="5" t="n">
        <f aca="false">IFERROR(G313/规则参数!$B$9,0)</f>
        <v>-2.54116833282485E-005</v>
      </c>
      <c r="I313" s="4" t="n">
        <v>0</v>
      </c>
      <c r="J313" s="5" t="n">
        <f aca="false">IFERROR(I313/规则参数!$B$10,0)</f>
        <v>0</v>
      </c>
      <c r="K313" s="6" t="n">
        <f aca="false">IFERROR(I313/E313,0)</f>
        <v>0</v>
      </c>
      <c r="L313" s="6" t="n">
        <f aca="false">IFERROR(G313/E313,0)</f>
        <v>-0.785611214182643</v>
      </c>
      <c r="M313" s="6" t="n">
        <f aca="false">K313+L313</f>
        <v>-0.785611214182643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6" t="str">
        <f aca="false">IFERROR(R313/S313-1,"")</f>
        <v/>
      </c>
      <c r="U313" s="7" t="n">
        <v>0</v>
      </c>
      <c r="V313" s="8" t="n">
        <v>0</v>
      </c>
      <c r="W313" s="4" t="n">
        <f aca="false">R313*K313</f>
        <v>0</v>
      </c>
      <c r="X313" s="4" t="n">
        <f aca="false">R313*V313</f>
        <v>0</v>
      </c>
      <c r="Y313" s="4" t="n">
        <f aca="false">X313-W313</f>
        <v>0</v>
      </c>
      <c r="Z313" s="3" t="s">
        <v>475</v>
      </c>
      <c r="AA313" s="3" t="s">
        <v>31</v>
      </c>
    </row>
    <row r="314" customFormat="false" ht="15" hidden="false" customHeight="false" outlineLevel="0" collapsed="false">
      <c r="A314" s="3" t="s">
        <v>560</v>
      </c>
      <c r="B314" s="3" t="s">
        <v>561</v>
      </c>
      <c r="C314" s="3" t="s">
        <v>34</v>
      </c>
      <c r="D314" s="9" t="s">
        <v>194</v>
      </c>
      <c r="E314" s="4" t="n">
        <v>45.81</v>
      </c>
      <c r="F314" s="5" t="n">
        <f aca="false">IFERROR(E314/规则参数!$B$8,0)</f>
        <v>1.40197253557226E-006</v>
      </c>
      <c r="G314" s="4" t="n">
        <v>15.34</v>
      </c>
      <c r="H314" s="5" t="n">
        <f aca="false">IFERROR(G314/规则参数!$B$9,0)</f>
        <v>3.40956198946324E-006</v>
      </c>
      <c r="I314" s="4" t="n">
        <v>0</v>
      </c>
      <c r="J314" s="5" t="n">
        <f aca="false">IFERROR(I314/规则参数!$B$10,0)</f>
        <v>0</v>
      </c>
      <c r="K314" s="6" t="n">
        <f aca="false">IFERROR(I314/E314,0)</f>
        <v>0</v>
      </c>
      <c r="L314" s="6" t="n">
        <f aca="false">IFERROR(G314/E314,0)</f>
        <v>0.334861383977298</v>
      </c>
      <c r="M314" s="6" t="n">
        <f aca="false">K314+L314</f>
        <v>0.334861383977298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45.81</v>
      </c>
      <c r="S314" s="4" t="n">
        <v>0</v>
      </c>
      <c r="T314" s="6" t="str">
        <f aca="false">IFERROR(R314/S314-1,"")</f>
        <v/>
      </c>
      <c r="U314" s="7" t="n">
        <v>1509</v>
      </c>
      <c r="V314" s="8" t="n">
        <v>0</v>
      </c>
      <c r="W314" s="4" t="n">
        <f aca="false">R314*K314</f>
        <v>0</v>
      </c>
      <c r="X314" s="4" t="n">
        <f aca="false">R314*V314</f>
        <v>0</v>
      </c>
      <c r="Y314" s="4" t="n">
        <f aca="false">X314-W314</f>
        <v>0</v>
      </c>
      <c r="Z314" s="3" t="s">
        <v>475</v>
      </c>
      <c r="AA314" s="3" t="s">
        <v>31</v>
      </c>
    </row>
    <row r="315" customFormat="false" ht="15" hidden="false" customHeight="false" outlineLevel="0" collapsed="false">
      <c r="A315" s="3" t="s">
        <v>227</v>
      </c>
      <c r="B315" s="3" t="s">
        <v>562</v>
      </c>
      <c r="C315" s="3" t="s">
        <v>29</v>
      </c>
      <c r="D315" s="9" t="s">
        <v>194</v>
      </c>
      <c r="E315" s="4" t="n">
        <v>2503.69</v>
      </c>
      <c r="F315" s="5" t="n">
        <f aca="false">IFERROR(E315/规则参数!$B$8,0)</f>
        <v>7.66231088755054E-005</v>
      </c>
      <c r="G315" s="4" t="n">
        <v>-646.06</v>
      </c>
      <c r="H315" s="5" t="n">
        <f aca="false">IFERROR(G315/规则参数!$B$9,0)</f>
        <v>-0.00014359723721725</v>
      </c>
      <c r="I315" s="4" t="n">
        <v>0</v>
      </c>
      <c r="J315" s="5" t="n">
        <f aca="false">IFERROR(I315/规则参数!$B$10,0)</f>
        <v>0</v>
      </c>
      <c r="K315" s="6" t="n">
        <f aca="false">IFERROR(I315/E315,0)</f>
        <v>0</v>
      </c>
      <c r="L315" s="6" t="n">
        <f aca="false">IFERROR(G315/E315,0)</f>
        <v>-0.258043128342566</v>
      </c>
      <c r="M315" s="6" t="n">
        <f aca="false">K315+L315</f>
        <v>-0.258043128342566</v>
      </c>
      <c r="N315" s="4" t="n">
        <v>0</v>
      </c>
      <c r="O315" s="4" t="n">
        <v>0</v>
      </c>
      <c r="P315" s="4" t="n">
        <v>0</v>
      </c>
      <c r="Q315" s="4" t="n">
        <v>0</v>
      </c>
      <c r="R315" s="4" t="n">
        <v>0</v>
      </c>
      <c r="S315" s="4" t="n">
        <v>0</v>
      </c>
      <c r="T315" s="6" t="str">
        <f aca="false">IFERROR(R315/S315-1,"")</f>
        <v/>
      </c>
      <c r="U315" s="7" t="n">
        <v>0</v>
      </c>
      <c r="V315" s="8" t="n">
        <v>0</v>
      </c>
      <c r="W315" s="4" t="n">
        <f aca="false">R315*K315</f>
        <v>0</v>
      </c>
      <c r="X315" s="4" t="n">
        <f aca="false">R315*V315</f>
        <v>0</v>
      </c>
      <c r="Y315" s="4" t="n">
        <f aca="false">X315-W315</f>
        <v>0</v>
      </c>
      <c r="Z315" s="3" t="s">
        <v>475</v>
      </c>
      <c r="AA315" s="3" t="s">
        <v>31</v>
      </c>
    </row>
    <row r="316" customFormat="false" ht="15" hidden="false" customHeight="false" outlineLevel="0" collapsed="false">
      <c r="A316" s="3" t="s">
        <v>386</v>
      </c>
      <c r="B316" s="9" t="s">
        <v>563</v>
      </c>
      <c r="C316" s="3" t="s">
        <v>29</v>
      </c>
      <c r="D316" s="9" t="s">
        <v>194</v>
      </c>
      <c r="E316" s="4" t="n">
        <v>1535.36</v>
      </c>
      <c r="F316" s="5" t="n">
        <f aca="false">IFERROR(E316/规则参数!$B$8,0)</f>
        <v>4.69882678938271E-005</v>
      </c>
      <c r="G316" s="4" t="n">
        <v>312.37</v>
      </c>
      <c r="H316" s="5" t="n">
        <f aca="false">IFERROR(G316/规则参数!$B$9,0)</f>
        <v>6.94292619718796E-005</v>
      </c>
      <c r="I316" s="4" t="n">
        <v>-0.01</v>
      </c>
      <c r="J316" s="5" t="n">
        <f aca="false">IFERROR(I316/规则参数!$B$10,0)</f>
        <v>-2.06537411795384E-009</v>
      </c>
      <c r="K316" s="6" t="n">
        <f aca="false">IFERROR(I316/E316,0)</f>
        <v>-6.5131304710296E-006</v>
      </c>
      <c r="L316" s="6" t="n">
        <f aca="false">IFERROR(G316/E316,0)</f>
        <v>0.203450656523552</v>
      </c>
      <c r="M316" s="6" t="n">
        <f aca="false">K316+L316</f>
        <v>0.20344414339308</v>
      </c>
      <c r="N316" s="4" t="n">
        <v>0</v>
      </c>
      <c r="O316" s="4" t="n">
        <v>-0.01</v>
      </c>
      <c r="P316" s="4" t="n">
        <v>0</v>
      </c>
      <c r="Q316" s="4" t="n">
        <v>0</v>
      </c>
      <c r="R316" s="4" t="n">
        <v>0</v>
      </c>
      <c r="S316" s="4" t="n">
        <v>0</v>
      </c>
      <c r="T316" s="6" t="str">
        <f aca="false">IFERROR(R316/S316-1,"")</f>
        <v/>
      </c>
      <c r="U316" s="7" t="n">
        <v>0</v>
      </c>
      <c r="V316" s="8" t="n">
        <v>0</v>
      </c>
      <c r="W316" s="4" t="n">
        <f aca="false">R316*K316</f>
        <v>-0</v>
      </c>
      <c r="X316" s="4" t="n">
        <f aca="false">R316*V316</f>
        <v>-0</v>
      </c>
      <c r="Y316" s="4" t="n">
        <f aca="false">X316-W316</f>
        <v>0</v>
      </c>
      <c r="Z316" s="3" t="s">
        <v>475</v>
      </c>
      <c r="AA316" s="3" t="s">
        <v>31</v>
      </c>
    </row>
    <row r="317" customFormat="false" ht="15" hidden="false" customHeight="false" outlineLevel="0" collapsed="false">
      <c r="A317" s="3" t="s">
        <v>39</v>
      </c>
      <c r="B317" s="3" t="s">
        <v>564</v>
      </c>
      <c r="C317" s="3" t="s">
        <v>29</v>
      </c>
      <c r="D317" s="9" t="s">
        <v>194</v>
      </c>
      <c r="E317" s="4" t="n">
        <v>611.83</v>
      </c>
      <c r="F317" s="5" t="n">
        <f aca="false">IFERROR(E317/规则参数!$B$8,0)</f>
        <v>1.87244893350616E-005</v>
      </c>
      <c r="G317" s="4" t="n">
        <v>23.75</v>
      </c>
      <c r="H317" s="5" t="n">
        <f aca="false">IFERROR(G317/规则参数!$B$9,0)</f>
        <v>5.27881989894081E-006</v>
      </c>
      <c r="I317" s="4" t="n">
        <v>-0.01</v>
      </c>
      <c r="J317" s="5" t="n">
        <f aca="false">IFERROR(I317/规则参数!$B$10,0)</f>
        <v>-2.06537411795384E-009</v>
      </c>
      <c r="K317" s="6" t="n">
        <f aca="false">IFERROR(I317/E317,0)</f>
        <v>-1.63444093947665E-005</v>
      </c>
      <c r="L317" s="6" t="n">
        <f aca="false">IFERROR(G317/E317,0)</f>
        <v>0.0388179723125705</v>
      </c>
      <c r="M317" s="6" t="n">
        <f aca="false">K317+L317</f>
        <v>0.0388016279031757</v>
      </c>
      <c r="N317" s="4" t="n">
        <v>0</v>
      </c>
      <c r="O317" s="4" t="n">
        <v>-0.01</v>
      </c>
      <c r="P317" s="4" t="n">
        <v>0</v>
      </c>
      <c r="Q317" s="4" t="n">
        <v>0</v>
      </c>
      <c r="R317" s="4" t="n">
        <v>0</v>
      </c>
      <c r="S317" s="4" t="n">
        <v>0</v>
      </c>
      <c r="T317" s="6" t="str">
        <f aca="false">IFERROR(R317/S317-1,"")</f>
        <v/>
      </c>
      <c r="U317" s="7" t="n">
        <v>0</v>
      </c>
      <c r="V317" s="8" t="n">
        <v>0</v>
      </c>
      <c r="W317" s="4" t="n">
        <f aca="false">R317*K317</f>
        <v>-0</v>
      </c>
      <c r="X317" s="4" t="n">
        <f aca="false">R317*V317</f>
        <v>-0</v>
      </c>
      <c r="Y317" s="4" t="n">
        <f aca="false">X317-W317</f>
        <v>0</v>
      </c>
      <c r="Z317" s="3" t="s">
        <v>475</v>
      </c>
      <c r="AA317" s="3" t="s">
        <v>31</v>
      </c>
    </row>
    <row r="318" customFormat="false" ht="15" hidden="false" customHeight="false" outlineLevel="0" collapsed="false">
      <c r="A318" s="3" t="s">
        <v>179</v>
      </c>
      <c r="B318" s="3" t="s">
        <v>565</v>
      </c>
      <c r="C318" s="3" t="s">
        <v>29</v>
      </c>
      <c r="D318" s="9" t="s">
        <v>194</v>
      </c>
      <c r="E318" s="4" t="n">
        <v>323.69</v>
      </c>
      <c r="F318" s="5" t="n">
        <f aca="false">IFERROR(E318/规则参数!$B$8,0)</f>
        <v>9.90623204626465E-006</v>
      </c>
      <c r="G318" s="4" t="n">
        <v>-49.62</v>
      </c>
      <c r="H318" s="5" t="n">
        <f aca="false">IFERROR(G318/规则参数!$B$9,0)</f>
        <v>-1.10288439320186E-005</v>
      </c>
      <c r="I318" s="4" t="n">
        <v>-0.02</v>
      </c>
      <c r="J318" s="5" t="n">
        <f aca="false">IFERROR(I318/规则参数!$B$10,0)</f>
        <v>-4.13074823590768E-009</v>
      </c>
      <c r="K318" s="6" t="n">
        <f aca="false">IFERROR(I318/E318,0)</f>
        <v>-6.17875127436745E-005</v>
      </c>
      <c r="L318" s="6" t="n">
        <f aca="false">IFERROR(G318/E318,0)</f>
        <v>-0.153294819117056</v>
      </c>
      <c r="M318" s="6" t="n">
        <f aca="false">K318+L318</f>
        <v>-0.1533566066298</v>
      </c>
      <c r="N318" s="4" t="n">
        <v>0</v>
      </c>
      <c r="O318" s="4" t="n">
        <v>-0.02</v>
      </c>
      <c r="P318" s="4" t="n">
        <v>0</v>
      </c>
      <c r="Q318" s="4" t="n">
        <v>0</v>
      </c>
      <c r="R318" s="4" t="n">
        <v>117.76</v>
      </c>
      <c r="S318" s="4" t="n">
        <v>25.99</v>
      </c>
      <c r="T318" s="6" t="n">
        <f aca="false">IFERROR(R318/S318-1,"")</f>
        <v>3.53097345132743</v>
      </c>
      <c r="U318" s="7" t="n">
        <v>281</v>
      </c>
      <c r="V318" s="8" t="n">
        <v>-0.0001</v>
      </c>
      <c r="W318" s="4" t="n">
        <f aca="false">R318*K318</f>
        <v>-0.00727609750069511</v>
      </c>
      <c r="X318" s="4" t="n">
        <f aca="false">R318*V318</f>
        <v>-0.011776</v>
      </c>
      <c r="Y318" s="4" t="n">
        <f aca="false">X318-W318</f>
        <v>-0.00449990249930489</v>
      </c>
      <c r="Z318" s="3" t="s">
        <v>475</v>
      </c>
      <c r="AA318" s="3" t="s">
        <v>31</v>
      </c>
    </row>
    <row r="319" customFormat="false" ht="15" hidden="false" customHeight="false" outlineLevel="0" collapsed="false">
      <c r="A319" s="3" t="s">
        <v>205</v>
      </c>
      <c r="B319" s="3" t="s">
        <v>566</v>
      </c>
      <c r="C319" s="3" t="s">
        <v>29</v>
      </c>
      <c r="D319" s="9" t="s">
        <v>194</v>
      </c>
      <c r="E319" s="4" t="n">
        <v>229.83</v>
      </c>
      <c r="F319" s="5" t="n">
        <f aca="false">IFERROR(E319/规则参数!$B$8,0)</f>
        <v>7.0337338539745E-006</v>
      </c>
      <c r="G319" s="4" t="n">
        <v>-2.2</v>
      </c>
      <c r="H319" s="5" t="n">
        <f aca="false">IFERROR(G319/规则参数!$B$9,0)</f>
        <v>-4.88985422217675E-007</v>
      </c>
      <c r="I319" s="4" t="n">
        <v>-0.02</v>
      </c>
      <c r="J319" s="5" t="n">
        <f aca="false">IFERROR(I319/规则参数!$B$10,0)</f>
        <v>-4.13074823590768E-009</v>
      </c>
      <c r="K319" s="6" t="n">
        <f aca="false">IFERROR(I319/E319,0)</f>
        <v>-8.70208414915372E-005</v>
      </c>
      <c r="L319" s="6" t="n">
        <f aca="false">IFERROR(G319/E319,0)</f>
        <v>-0.0095722925640691</v>
      </c>
      <c r="M319" s="6" t="n">
        <f aca="false">K319+L319</f>
        <v>-0.00965931340556063</v>
      </c>
      <c r="N319" s="4" t="n">
        <v>0</v>
      </c>
      <c r="O319" s="4" t="n">
        <v>-0.02</v>
      </c>
      <c r="P319" s="4" t="n">
        <v>0</v>
      </c>
      <c r="Q319" s="4" t="n">
        <v>0</v>
      </c>
      <c r="R319" s="4" t="n">
        <v>0</v>
      </c>
      <c r="S319" s="4" t="n">
        <v>129.88</v>
      </c>
      <c r="T319" s="6" t="n">
        <f aca="false">IFERROR(R319/S319-1,"")</f>
        <v>-1</v>
      </c>
      <c r="U319" s="7" t="n">
        <v>0</v>
      </c>
      <c r="V319" s="8" t="n">
        <v>-0.0001</v>
      </c>
      <c r="W319" s="4" t="n">
        <f aca="false">R319*K319</f>
        <v>-0</v>
      </c>
      <c r="X319" s="4" t="n">
        <f aca="false">R319*V319</f>
        <v>-0</v>
      </c>
      <c r="Y319" s="4" t="n">
        <f aca="false">X319-W319</f>
        <v>0</v>
      </c>
      <c r="Z319" s="3" t="s">
        <v>475</v>
      </c>
      <c r="AA319" s="3" t="s">
        <v>31</v>
      </c>
    </row>
    <row r="320" customFormat="false" ht="15" hidden="false" customHeight="false" outlineLevel="0" collapsed="false">
      <c r="A320" s="3" t="s">
        <v>205</v>
      </c>
      <c r="B320" s="3" t="s">
        <v>567</v>
      </c>
      <c r="C320" s="3" t="s">
        <v>34</v>
      </c>
      <c r="D320" s="9" t="s">
        <v>194</v>
      </c>
      <c r="E320" s="4" t="n">
        <v>559.44</v>
      </c>
      <c r="F320" s="5" t="n">
        <f aca="false">IFERROR(E320/规则参数!$B$8,0)</f>
        <v>1.71211420061241E-005</v>
      </c>
      <c r="G320" s="4" t="n">
        <v>70.81</v>
      </c>
      <c r="H320" s="5" t="n">
        <f aca="false">IFERROR(G320/规则参数!$B$9,0)</f>
        <v>1.57386626123789E-005</v>
      </c>
      <c r="I320" s="4" t="n">
        <v>-0.04</v>
      </c>
      <c r="J320" s="5" t="n">
        <f aca="false">IFERROR(I320/规则参数!$B$10,0)</f>
        <v>-8.26149647181537E-009</v>
      </c>
      <c r="K320" s="6" t="n">
        <f aca="false">IFERROR(I320/E320,0)</f>
        <v>-7.15000715000715E-005</v>
      </c>
      <c r="L320" s="6" t="n">
        <f aca="false">IFERROR(G320/E320,0)</f>
        <v>0.126573001573002</v>
      </c>
      <c r="M320" s="6" t="n">
        <f aca="false">K320+L320</f>
        <v>0.126501501501502</v>
      </c>
      <c r="N320" s="4" t="n">
        <v>0</v>
      </c>
      <c r="O320" s="4" t="n">
        <v>-0.04</v>
      </c>
      <c r="P320" s="4" t="n">
        <v>0</v>
      </c>
      <c r="Q320" s="4" t="n">
        <v>0</v>
      </c>
      <c r="R320" s="4" t="n">
        <v>89.91</v>
      </c>
      <c r="S320" s="4" t="n">
        <v>69.93</v>
      </c>
      <c r="T320" s="6" t="n">
        <f aca="false">IFERROR(R320/S320-1,"")</f>
        <v>0.285714285714286</v>
      </c>
      <c r="U320" s="7" t="n">
        <v>45</v>
      </c>
      <c r="V320" s="8" t="n">
        <v>-0.0001</v>
      </c>
      <c r="W320" s="4" t="n">
        <f aca="false">R320*K320</f>
        <v>-0.00642857142857143</v>
      </c>
      <c r="X320" s="4" t="n">
        <f aca="false">R320*V320</f>
        <v>-0.008991</v>
      </c>
      <c r="Y320" s="4" t="n">
        <f aca="false">X320-W320</f>
        <v>-0.00256242857142857</v>
      </c>
      <c r="Z320" s="3" t="s">
        <v>475</v>
      </c>
      <c r="AA320" s="3" t="s">
        <v>31</v>
      </c>
    </row>
    <row r="321" customFormat="false" ht="15" hidden="false" customHeight="false" outlineLevel="0" collapsed="false">
      <c r="A321" s="3" t="s">
        <v>196</v>
      </c>
      <c r="B321" s="3" t="s">
        <v>196</v>
      </c>
      <c r="C321" s="3" t="s">
        <v>29</v>
      </c>
      <c r="D321" s="9" t="s">
        <v>194</v>
      </c>
      <c r="E321" s="4" t="n">
        <v>4068.32</v>
      </c>
      <c r="F321" s="5" t="n">
        <f aca="false">IFERROR(E321/规则参数!$B$8,0)</f>
        <v>0.000124507157955017</v>
      </c>
      <c r="G321" s="4" t="n">
        <v>-1965.23</v>
      </c>
      <c r="H321" s="5" t="n">
        <f aca="false">IFERROR(G321/规则参数!$B$9,0)</f>
        <v>-0.000436804009684018</v>
      </c>
      <c r="I321" s="4" t="n">
        <v>-0.06</v>
      </c>
      <c r="J321" s="5" t="n">
        <f aca="false">IFERROR(I321/规则参数!$B$10,0)</f>
        <v>-1.23922447077231E-008</v>
      </c>
      <c r="K321" s="6" t="n">
        <f aca="false">IFERROR(I321/E321,0)</f>
        <v>-1.47481024108231E-005</v>
      </c>
      <c r="L321" s="6" t="n">
        <f aca="false">IFERROR(G321/E321,0)</f>
        <v>-0.483056888347033</v>
      </c>
      <c r="M321" s="6" t="n">
        <f aca="false">K321+L321</f>
        <v>-0.483071636449443</v>
      </c>
      <c r="N321" s="4" t="n">
        <v>0</v>
      </c>
      <c r="O321" s="4" t="n">
        <v>-0.06</v>
      </c>
      <c r="P321" s="4" t="n">
        <v>0</v>
      </c>
      <c r="Q321" s="4" t="n">
        <v>0</v>
      </c>
      <c r="R321" s="4" t="n">
        <v>0</v>
      </c>
      <c r="S321" s="4" t="n">
        <v>0</v>
      </c>
      <c r="T321" s="6" t="str">
        <f aca="false">IFERROR(R321/S321-1,"")</f>
        <v/>
      </c>
      <c r="U321" s="7" t="n">
        <v>0</v>
      </c>
      <c r="V321" s="8" t="n">
        <v>0</v>
      </c>
      <c r="W321" s="4" t="n">
        <f aca="false">R321*K321</f>
        <v>-0</v>
      </c>
      <c r="X321" s="4" t="n">
        <f aca="false">R321*V321</f>
        <v>-0</v>
      </c>
      <c r="Y321" s="4" t="n">
        <f aca="false">X321-W321</f>
        <v>0</v>
      </c>
      <c r="Z321" s="3" t="s">
        <v>475</v>
      </c>
      <c r="AA321" s="3" t="s">
        <v>31</v>
      </c>
    </row>
    <row r="322" customFormat="false" ht="15" hidden="false" customHeight="false" outlineLevel="0" collapsed="false">
      <c r="A322" s="3" t="s">
        <v>550</v>
      </c>
      <c r="B322" s="3" t="s">
        <v>568</v>
      </c>
      <c r="C322" s="3" t="s">
        <v>34</v>
      </c>
      <c r="D322" s="9" t="s">
        <v>194</v>
      </c>
      <c r="E322" s="4" t="n">
        <v>1965.94</v>
      </c>
      <c r="F322" s="5" t="n">
        <f aca="false">IFERROR(E322/规则参数!$B$8,0)</f>
        <v>6.01657691897604E-005</v>
      </c>
      <c r="G322" s="4" t="n">
        <v>812.43</v>
      </c>
      <c r="H322" s="5" t="n">
        <f aca="false">IFERROR(G322/规则参数!$B$9,0)</f>
        <v>0.000180575648441957</v>
      </c>
      <c r="I322" s="4" t="n">
        <v>-0.5</v>
      </c>
      <c r="J322" s="5" t="n">
        <f aca="false">IFERROR(I322/规则参数!$B$10,0)</f>
        <v>-1.03268705897692E-007</v>
      </c>
      <c r="K322" s="6" t="n">
        <f aca="false">IFERROR(I322/E322,0)</f>
        <v>-0.000254331261381324</v>
      </c>
      <c r="L322" s="6" t="n">
        <f aca="false">IFERROR(G322/E322,0)</f>
        <v>0.413252693368058</v>
      </c>
      <c r="M322" s="6" t="n">
        <f aca="false">K322+L322</f>
        <v>0.412998362106677</v>
      </c>
      <c r="N322" s="4" t="n">
        <v>0</v>
      </c>
      <c r="O322" s="4" t="n">
        <v>-0.29</v>
      </c>
      <c r="P322" s="4" t="n">
        <v>-0.21</v>
      </c>
      <c r="Q322" s="4" t="n">
        <v>0</v>
      </c>
      <c r="R322" s="4" t="n">
        <v>284.81</v>
      </c>
      <c r="S322" s="4" t="n">
        <v>334.78</v>
      </c>
      <c r="T322" s="6" t="n">
        <f aca="false">IFERROR(R322/S322-1,"")</f>
        <v>-0.149262202043133</v>
      </c>
      <c r="U322" s="7" t="n">
        <v>5</v>
      </c>
      <c r="V322" s="8" t="n">
        <v>-0.0003</v>
      </c>
      <c r="W322" s="4" t="n">
        <f aca="false">R322*K322</f>
        <v>-0.0724360865540149</v>
      </c>
      <c r="X322" s="4" t="n">
        <f aca="false">R322*V322</f>
        <v>-0.085443</v>
      </c>
      <c r="Y322" s="4" t="n">
        <f aca="false">X322-W322</f>
        <v>-0.0130069134459851</v>
      </c>
      <c r="Z322" s="3" t="s">
        <v>475</v>
      </c>
      <c r="AA322" s="3" t="s">
        <v>31</v>
      </c>
    </row>
    <row r="323" customFormat="false" ht="15" hidden="false" customHeight="false" outlineLevel="0" collapsed="false">
      <c r="A323" s="3" t="s">
        <v>44</v>
      </c>
      <c r="B323" s="3" t="s">
        <v>569</v>
      </c>
      <c r="C323" s="3" t="s">
        <v>34</v>
      </c>
      <c r="D323" s="9" t="s">
        <v>194</v>
      </c>
      <c r="E323" s="4" t="n">
        <v>5511.6</v>
      </c>
      <c r="F323" s="5" t="n">
        <f aca="false">IFERROR(E323/规则参数!$B$8,0)</f>
        <v>0.000168677402904607</v>
      </c>
      <c r="G323" s="4" t="n">
        <v>-424.93</v>
      </c>
      <c r="H323" s="5" t="n">
        <f aca="false">IFERROR(G323/规则参数!$B$9,0)</f>
        <v>-9.44475343013439E-005</v>
      </c>
      <c r="I323" s="4" t="n">
        <v>-0.68</v>
      </c>
      <c r="J323" s="5" t="n">
        <f aca="false">IFERROR(I323/规则参数!$B$10,0)</f>
        <v>-1.40445440020861E-007</v>
      </c>
      <c r="K323" s="6" t="n">
        <f aca="false">IFERROR(I323/E323,0)</f>
        <v>-0.000123376152115538</v>
      </c>
      <c r="L323" s="6" t="n">
        <f aca="false">IFERROR(G323/E323,0)</f>
        <v>-0.0770973945859641</v>
      </c>
      <c r="M323" s="6" t="n">
        <f aca="false">K323+L323</f>
        <v>-0.0772207707380797</v>
      </c>
      <c r="N323" s="4" t="n">
        <v>0</v>
      </c>
      <c r="O323" s="4" t="n">
        <v>-0.3</v>
      </c>
      <c r="P323" s="4" t="n">
        <v>-0.38</v>
      </c>
      <c r="Q323" s="4" t="n">
        <v>0</v>
      </c>
      <c r="R323" s="4" t="n">
        <v>0</v>
      </c>
      <c r="S323" s="4" t="n">
        <v>72.99</v>
      </c>
      <c r="T323" s="6" t="n">
        <f aca="false">IFERROR(R323/S323-1,"")</f>
        <v>-1</v>
      </c>
      <c r="U323" s="7" t="n">
        <v>0</v>
      </c>
      <c r="V323" s="8" t="n">
        <v>-0.0001</v>
      </c>
      <c r="W323" s="4" t="n">
        <f aca="false">R323*K323</f>
        <v>-0</v>
      </c>
      <c r="X323" s="4" t="n">
        <f aca="false">R323*V323</f>
        <v>-0</v>
      </c>
      <c r="Y323" s="4" t="n">
        <f aca="false">X323-W323</f>
        <v>0</v>
      </c>
      <c r="Z323" s="3" t="s">
        <v>475</v>
      </c>
      <c r="AA323" s="3" t="s">
        <v>31</v>
      </c>
    </row>
    <row r="324" customFormat="false" ht="15" hidden="false" customHeight="false" outlineLevel="0" collapsed="false">
      <c r="A324" s="3" t="s">
        <v>179</v>
      </c>
      <c r="B324" s="9" t="s">
        <v>570</v>
      </c>
      <c r="C324" s="3" t="s">
        <v>34</v>
      </c>
      <c r="D324" s="9" t="s">
        <v>194</v>
      </c>
      <c r="E324" s="4" t="n">
        <v>169.98</v>
      </c>
      <c r="F324" s="5" t="n">
        <f aca="false">IFERROR(E324/规则参数!$B$8,0)</f>
        <v>5.20208014836438E-006</v>
      </c>
      <c r="G324" s="4" t="n">
        <v>-835.95</v>
      </c>
      <c r="H324" s="5" t="n">
        <f aca="false">IFERROR(G324/规则参数!$B$9,0)</f>
        <v>-0.000185803347137666</v>
      </c>
      <c r="I324" s="4" t="n">
        <v>-1.22</v>
      </c>
      <c r="J324" s="5" t="n">
        <f aca="false">IFERROR(I324/规则参数!$B$10,0)</f>
        <v>-2.51975642390369E-007</v>
      </c>
      <c r="K324" s="6" t="n">
        <f aca="false">IFERROR(I324/E324,0)</f>
        <v>-0.00717731497823273</v>
      </c>
      <c r="L324" s="6" t="n">
        <f aca="false">IFERROR(G324/E324,0)</f>
        <v>-4.91793152135545</v>
      </c>
      <c r="M324" s="6" t="n">
        <f aca="false">K324+L324</f>
        <v>-4.92510883633369</v>
      </c>
      <c r="N324" s="4" t="n">
        <v>0</v>
      </c>
      <c r="O324" s="4" t="n">
        <v>-1.22</v>
      </c>
      <c r="P324" s="4" t="n">
        <v>0</v>
      </c>
      <c r="Q324" s="4" t="n">
        <v>0</v>
      </c>
      <c r="R324" s="4" t="n">
        <v>0</v>
      </c>
      <c r="S324" s="4" t="n">
        <v>79.99</v>
      </c>
      <c r="T324" s="6" t="n">
        <f aca="false">IFERROR(R324/S324-1,"")</f>
        <v>-1</v>
      </c>
      <c r="U324" s="7" t="n">
        <v>0</v>
      </c>
      <c r="V324" s="8" t="n">
        <v>-0.0072</v>
      </c>
      <c r="W324" s="4" t="n">
        <f aca="false">R324*K324</f>
        <v>-0</v>
      </c>
      <c r="X324" s="4" t="n">
        <f aca="false">R324*V324</f>
        <v>-0</v>
      </c>
      <c r="Y324" s="4" t="n">
        <f aca="false">X324-W324</f>
        <v>0</v>
      </c>
      <c r="Z324" s="3" t="s">
        <v>475</v>
      </c>
      <c r="AA324" s="3" t="s">
        <v>31</v>
      </c>
    </row>
    <row r="325" customFormat="false" ht="15" hidden="false" customHeight="false" outlineLevel="0" collapsed="false">
      <c r="A325" s="10" t="s">
        <v>571</v>
      </c>
      <c r="E325" s="11" t="n">
        <f aca="false">SUM(E2:E324)</f>
        <v>32675390.45</v>
      </c>
      <c r="G325" s="11" t="n">
        <f aca="false">SUM(G2:G324)</f>
        <v>4500281.86</v>
      </c>
      <c r="I325" s="11" t="n">
        <f aca="false">SUM(I2:I324)</f>
        <v>4841737.83</v>
      </c>
      <c r="K325" s="12" t="n">
        <f aca="false">I325/E325</f>
        <v>0.14817689286403</v>
      </c>
      <c r="L325" s="12" t="n">
        <f aca="false">G325/E325</f>
        <v>0.137726949793801</v>
      </c>
      <c r="N325" s="11" t="n">
        <f aca="false">SUM(N2:N324)</f>
        <v>4294935.08</v>
      </c>
      <c r="O325" s="11" t="n">
        <f aca="false">SUM(O2:O324)</f>
        <v>199191.24</v>
      </c>
      <c r="P325" s="11" t="n">
        <f aca="false">SUM(P2:P324)</f>
        <v>236501.93</v>
      </c>
      <c r="Q325" s="11" t="n">
        <f aca="false">SUM(Q2:Q324)</f>
        <v>111109.58</v>
      </c>
      <c r="R325" s="11" t="n">
        <f aca="false">SUM(R2:R324)</f>
        <v>3224995.47</v>
      </c>
      <c r="S325" s="11" t="n">
        <f aca="false">SUM(S2:S324)</f>
        <v>2774518.68</v>
      </c>
      <c r="W325" s="11" t="n">
        <f aca="false">SUM(W2:W324)</f>
        <v>484423.682652258</v>
      </c>
      <c r="X325" s="11" t="n">
        <f aca="false">SUM(X2:X324)</f>
        <v>444478.742002</v>
      </c>
      <c r="Y325" s="11" t="n">
        <f aca="false">SUM(Y2:Y324)</f>
        <v>-39944.9406502579</v>
      </c>
    </row>
    <row r="327" customFormat="false" ht="15" hidden="false" customHeight="false" outlineLevel="0" collapsed="false">
      <c r="A327" s="3" t="s">
        <v>572</v>
      </c>
    </row>
  </sheetData>
  <autoFilter ref="A1:AA324"/>
  <conditionalFormatting sqref="D2:D324">
    <cfRule type="expression" priority="2" aboveAverage="0" equalAverage="0" bottom="0" percent="0" rank="0" text="" dxfId="9">
      <formula>$D2="止损"</formula>
    </cfRule>
    <cfRule type="expression" priority="3" aboveAverage="0" equalAverage="0" bottom="0" percent="0" rank="0" text="" dxfId="10">
      <formula>$D2="压缩"</formula>
    </cfRule>
    <cfRule type="expression" priority="4" aboveAverage="0" equalAverage="0" bottom="0" percent="0" rank="0" text="" dxfId="11">
      <formula>$D2="清理"</formula>
    </cfRule>
    <cfRule type="expression" priority="5" aboveAverage="0" equalAverage="0" bottom="0" percent="0" rank="0" text="" dxfId="12">
      <formula>$D2="观察"</formula>
    </cfRule>
    <cfRule type="expression" priority="6" aboveAverage="0" equalAverage="0" bottom="0" percent="0" rank="0" text="" dxfId="13">
      <formula>$D2="加投"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9"/>
    <col collapsed="false" customWidth="true" hidden="false" outlineLevel="0" max="3" min="3" style="0" width="4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1" min="10" style="0" width="9"/>
    <col collapsed="false" customWidth="true" hidden="false" outlineLevel="0" max="12" min="12" style="0" width="7"/>
    <col collapsed="false" customWidth="true" hidden="false" outlineLevel="0" max="14" min="13" style="0" width="13"/>
  </cols>
  <sheetData>
    <row r="1" customFormat="false" ht="26.85" hidden="false" customHeight="false" outlineLevel="0" collapsed="false">
      <c r="A1" s="13" t="s">
        <v>573</v>
      </c>
      <c r="B1" s="13" t="s">
        <v>574</v>
      </c>
      <c r="C1" s="13" t="s">
        <v>575</v>
      </c>
      <c r="D1" s="13" t="s">
        <v>4</v>
      </c>
      <c r="E1" s="13" t="s">
        <v>5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4" t="s">
        <v>576</v>
      </c>
      <c r="M1" s="13" t="s">
        <v>22</v>
      </c>
      <c r="N1" s="13" t="s">
        <v>23</v>
      </c>
    </row>
    <row r="2" customFormat="false" ht="15" hidden="false" customHeight="false" outlineLevel="0" collapsed="false">
      <c r="A2" s="3" t="s">
        <v>27</v>
      </c>
      <c r="B2" s="3" t="s">
        <v>46</v>
      </c>
      <c r="C2" s="3" t="s">
        <v>577</v>
      </c>
      <c r="D2" s="4" t="n">
        <f aca="false">SUMIFS(SPU监控与预算!$E:$E,SPU监控与预算!$A:$A,$A2)</f>
        <v>3843776.11</v>
      </c>
      <c r="E2" s="5" t="n">
        <f aca="false">D2/规则参数!$B$8</f>
        <v>0.117635200591765</v>
      </c>
      <c r="F2" s="4" t="n">
        <f aca="false">SUMIFS(SPU监控与预算!$G:$G,SPU监控与预算!$A:$A,$A2)</f>
        <v>319672.05</v>
      </c>
      <c r="G2" s="5" t="n">
        <f aca="false">F2/规则参数!$B$9</f>
        <v>0.0710522601547453</v>
      </c>
      <c r="H2" s="4" t="n">
        <f aca="false">SUMIFS(SPU监控与预算!$I:$I,SPU监控与预算!$A:$A,$A2)</f>
        <v>664904.02</v>
      </c>
      <c r="I2" s="5" t="n">
        <f aca="false">H2/规则参数!$B$10</f>
        <v>0.137327555383146</v>
      </c>
      <c r="J2" s="6" t="n">
        <f aca="false">IFERROR(H2/D2,0)</f>
        <v>0.172981984634896</v>
      </c>
      <c r="K2" s="6" t="n">
        <f aca="false">IFERROR(F2/D2,0)</f>
        <v>0.0831661472603304</v>
      </c>
      <c r="L2" s="3" t="n">
        <f aca="false">COUNTIFS(SPU监控与预算!$A:$A,$A2)</f>
        <v>8</v>
      </c>
      <c r="M2" s="4" t="n">
        <f aca="false">SUMIFS(SPU监控与预算!$W:$W,SPU监控与预算!$A:$A,$A2)</f>
        <v>46907.5961284916</v>
      </c>
      <c r="N2" s="4" t="n">
        <f aca="false">SUMIFS(SPU监控与预算!$X:$X,SPU监控与预算!$A:$A,$A2)</f>
        <v>38639.006295</v>
      </c>
    </row>
    <row r="3" customFormat="false" ht="15" hidden="false" customHeight="false" outlineLevel="0" collapsed="false">
      <c r="A3" s="3" t="s">
        <v>32</v>
      </c>
      <c r="B3" s="3" t="s">
        <v>578</v>
      </c>
      <c r="C3" s="3" t="s">
        <v>579</v>
      </c>
      <c r="D3" s="4" t="n">
        <f aca="false">SUMIFS(SPU监控与预算!$E:$E,SPU监控与预算!$A:$A,$A3)</f>
        <v>3339273.49</v>
      </c>
      <c r="E3" s="5" t="n">
        <f aca="false">D3/规则参数!$B$8</f>
        <v>0.102195366115357</v>
      </c>
      <c r="F3" s="4" t="n">
        <f aca="false">SUMIFS(SPU监控与预算!$G:$G,SPU监控与预算!$A:$A,$A3)</f>
        <v>433332.62</v>
      </c>
      <c r="G3" s="5" t="n">
        <f aca="false">F3/规则参数!$B$9</f>
        <v>0.096315151886996</v>
      </c>
      <c r="H3" s="4" t="n">
        <f aca="false">SUMIFS(SPU监控与预算!$I:$I,SPU监控与预算!$A:$A,$A3)</f>
        <v>536394.27</v>
      </c>
      <c r="I3" s="5" t="n">
        <f aca="false">H3/规则参数!$B$10</f>
        <v>0.110785484227675</v>
      </c>
      <c r="J3" s="6" t="n">
        <f aca="false">IFERROR(H3/D3,0)</f>
        <v>0.160632027177864</v>
      </c>
      <c r="K3" s="6" t="n">
        <f aca="false">IFERROR(F3/D3,0)</f>
        <v>0.129768532376185</v>
      </c>
      <c r="L3" s="3" t="n">
        <f aca="false">COUNTIFS(SPU监控与预算!$A:$A,$A3)</f>
        <v>7</v>
      </c>
      <c r="M3" s="4" t="n">
        <f aca="false">SUMIFS(SPU监控与预算!$W:$W,SPU监控与预算!$A:$A,$A3)</f>
        <v>62233.5754521112</v>
      </c>
      <c r="N3" s="4" t="n">
        <f aca="false">SUMIFS(SPU监控与预算!$X:$X,SPU监控与预算!$A:$A,$A3)</f>
        <v>59989.633701</v>
      </c>
    </row>
    <row r="4" customFormat="false" ht="15" hidden="false" customHeight="false" outlineLevel="0" collapsed="false">
      <c r="A4" s="3" t="s">
        <v>35</v>
      </c>
      <c r="B4" s="3" t="s">
        <v>578</v>
      </c>
      <c r="C4" s="3" t="s">
        <v>580</v>
      </c>
      <c r="D4" s="4" t="n">
        <f aca="false">SUMIFS(SPU监控与预算!$E:$E,SPU监控与预算!$A:$A,$A4)</f>
        <v>3420028.95</v>
      </c>
      <c r="E4" s="5" t="n">
        <f aca="false">D4/规则参数!$B$8</f>
        <v>0.104666812022747</v>
      </c>
      <c r="F4" s="4" t="n">
        <f aca="false">SUMIFS(SPU监控与预算!$G:$G,SPU监控与预算!$A:$A,$A4)</f>
        <v>495175.4</v>
      </c>
      <c r="G4" s="5" t="n">
        <f aca="false">F4/规则参数!$B$9</f>
        <v>0.110060705473094</v>
      </c>
      <c r="H4" s="4" t="n">
        <f aca="false">SUMIFS(SPU监控与预算!$I:$I,SPU监控与预算!$A:$A,$A4)</f>
        <v>467865.13</v>
      </c>
      <c r="I4" s="5" t="n">
        <f aca="false">H4/规则参数!$B$10</f>
        <v>0.096631653019511</v>
      </c>
      <c r="J4" s="6" t="n">
        <f aca="false">IFERROR(H4/D4,0)</f>
        <v>0.136801511577848</v>
      </c>
      <c r="K4" s="6" t="n">
        <f aca="false">IFERROR(F4/D4,0)</f>
        <v>0.144786903046537</v>
      </c>
      <c r="L4" s="3" t="n">
        <f aca="false">COUNTIFS(SPU监控与预算!$A:$A,$A4)</f>
        <v>10</v>
      </c>
      <c r="M4" s="4" t="n">
        <f aca="false">SUMIFS(SPU监控与预算!$W:$W,SPU监控与预算!$A:$A,$A4)</f>
        <v>47876.7704714734</v>
      </c>
      <c r="N4" s="4" t="n">
        <f aca="false">SUMIFS(SPU监控与预算!$X:$X,SPU监控与预算!$A:$A,$A4)</f>
        <v>48329.874268</v>
      </c>
    </row>
    <row r="5" customFormat="false" ht="15" hidden="false" customHeight="false" outlineLevel="0" collapsed="false">
      <c r="A5" s="3" t="s">
        <v>39</v>
      </c>
      <c r="B5" s="3" t="s">
        <v>578</v>
      </c>
      <c r="C5" s="3" t="s">
        <v>581</v>
      </c>
      <c r="D5" s="4" t="n">
        <f aca="false">SUMIFS(SPU监控与预算!$E:$E,SPU监控与预算!$A:$A,$A5)</f>
        <v>3088508.13</v>
      </c>
      <c r="E5" s="5" t="n">
        <f aca="false">D5/规则参数!$B$8</f>
        <v>0.0945209249978526</v>
      </c>
      <c r="F5" s="4" t="n">
        <f aca="false">SUMIFS(SPU监控与预算!$G:$G,SPU监控与预算!$A:$A,$A5)</f>
        <v>586491.97</v>
      </c>
      <c r="G5" s="5" t="n">
        <f aca="false">F5/规则参数!$B$9</f>
        <v>0.130357283444421</v>
      </c>
      <c r="H5" s="4" t="n">
        <f aca="false">SUMIFS(SPU监控与预算!$I:$I,SPU监控与预算!$A:$A,$A5)</f>
        <v>452612.54</v>
      </c>
      <c r="I5" s="5" t="n">
        <f aca="false">H5/规则参数!$B$10</f>
        <v>0.0934814225577348</v>
      </c>
      <c r="J5" s="6" t="n">
        <f aca="false">IFERROR(H5/D5,0)</f>
        <v>0.146547304053883</v>
      </c>
      <c r="K5" s="6" t="n">
        <f aca="false">IFERROR(F5/D5,0)</f>
        <v>0.18989490890542</v>
      </c>
      <c r="L5" s="3" t="n">
        <f aca="false">COUNTIFS(SPU监控与预算!$A:$A,$A5)</f>
        <v>38</v>
      </c>
      <c r="M5" s="4" t="n">
        <f aca="false">SUMIFS(SPU监控与预算!$W:$W,SPU监控与预算!$A:$A,$A5)</f>
        <v>79835.446001184</v>
      </c>
      <c r="N5" s="4" t="n">
        <f aca="false">SUMIFS(SPU监控与预算!$X:$X,SPU监控与预算!$A:$A,$A5)</f>
        <v>73515.556952</v>
      </c>
    </row>
    <row r="6" customFormat="false" ht="15" hidden="false" customHeight="false" outlineLevel="0" collapsed="false">
      <c r="A6" s="3" t="s">
        <v>44</v>
      </c>
      <c r="B6" s="3" t="s">
        <v>578</v>
      </c>
      <c r="C6" s="3" t="s">
        <v>582</v>
      </c>
      <c r="D6" s="4" t="n">
        <f aca="false">SUMIFS(SPU监控与预算!$E:$E,SPU监控与预算!$A:$A,$A6)</f>
        <v>2397143.87</v>
      </c>
      <c r="E6" s="5" t="n">
        <f aca="false">D6/规则参数!$B$8</f>
        <v>0.0733623634480548</v>
      </c>
      <c r="F6" s="4" t="n">
        <f aca="false">SUMIFS(SPU监控与预算!$G:$G,SPU监控与预算!$A:$A,$A6)</f>
        <v>609510.08</v>
      </c>
      <c r="G6" s="5" t="n">
        <f aca="false">F6/规则参数!$B$9</f>
        <v>0.135473429006695</v>
      </c>
      <c r="H6" s="4" t="n">
        <f aca="false">SUMIFS(SPU监控与预算!$I:$I,SPU监控与预算!$A:$A,$A6)</f>
        <v>258949.19</v>
      </c>
      <c r="I6" s="5" t="n">
        <f aca="false">H6/规则参数!$B$10</f>
        <v>0.0534826954891112</v>
      </c>
      <c r="J6" s="6" t="n">
        <f aca="false">IFERROR(H6/D6,0)</f>
        <v>0.108024050304498</v>
      </c>
      <c r="K6" s="6" t="n">
        <f aca="false">IFERROR(F6/D6,0)</f>
        <v>0.254265122601924</v>
      </c>
      <c r="L6" s="3" t="n">
        <f aca="false">COUNTIFS(SPU监控与预算!$A:$A,$A6)</f>
        <v>8</v>
      </c>
      <c r="M6" s="4" t="n">
        <f aca="false">SUMIFS(SPU监控与预算!$W:$W,SPU监控与预算!$A:$A,$A6)</f>
        <v>21227.979480914</v>
      </c>
      <c r="N6" s="4" t="n">
        <f aca="false">SUMIFS(SPU监控与预算!$X:$X,SPU监控与预算!$A:$A,$A6)</f>
        <v>22260.964174</v>
      </c>
    </row>
    <row r="7" customFormat="false" ht="15" hidden="false" customHeight="false" outlineLevel="0" collapsed="false">
      <c r="A7" s="3" t="s">
        <v>37</v>
      </c>
      <c r="B7" s="3" t="s">
        <v>578</v>
      </c>
      <c r="C7" s="3" t="s">
        <v>583</v>
      </c>
      <c r="D7" s="4" t="n">
        <f aca="false">SUMIFS(SPU监控与预算!$E:$E,SPU监控与预算!$A:$A,$A7)</f>
        <v>1614868.73</v>
      </c>
      <c r="E7" s="5" t="n">
        <f aca="false">D7/规则参数!$B$8</f>
        <v>0.0494215587866066</v>
      </c>
      <c r="F7" s="4" t="n">
        <f aca="false">SUMIFS(SPU监控与预算!$G:$G,SPU监控与预算!$A:$A,$A7)</f>
        <v>307537.75</v>
      </c>
      <c r="G7" s="5" t="n">
        <f aca="false">F7/规则参数!$B$9</f>
        <v>0.0683552166052835</v>
      </c>
      <c r="H7" s="4" t="n">
        <f aca="false">SUMIFS(SPU监控与预算!$I:$I,SPU监控与预算!$A:$A,$A7)</f>
        <v>258145.76</v>
      </c>
      <c r="I7" s="5" t="n">
        <f aca="false">H7/规则参数!$B$10</f>
        <v>0.0533167571363524</v>
      </c>
      <c r="J7" s="6" t="n">
        <f aca="false">IFERROR(H7/D7,0)</f>
        <v>0.159855569189206</v>
      </c>
      <c r="K7" s="6" t="n">
        <f aca="false">IFERROR(F7/D7,0)</f>
        <v>0.190441330794733</v>
      </c>
      <c r="L7" s="3" t="n">
        <f aca="false">COUNTIFS(SPU监控与预算!$A:$A,$A7)</f>
        <v>3</v>
      </c>
      <c r="M7" s="4" t="n">
        <f aca="false">SUMIFS(SPU监控与预算!$W:$W,SPU监控与预算!$A:$A,$A7)</f>
        <v>19085.925011312</v>
      </c>
      <c r="N7" s="4" t="n">
        <f aca="false">SUMIFS(SPU监控与预算!$X:$X,SPU监控与预算!$A:$A,$A7)</f>
        <v>19052.144862</v>
      </c>
    </row>
    <row r="8" customFormat="false" ht="15" hidden="false" customHeight="false" outlineLevel="0" collapsed="false">
      <c r="A8" s="3" t="s">
        <v>53</v>
      </c>
      <c r="B8" s="3" t="s">
        <v>578</v>
      </c>
      <c r="C8" s="3" t="s">
        <v>584</v>
      </c>
      <c r="D8" s="4" t="n">
        <f aca="false">SUMIFS(SPU监控与预算!$E:$E,SPU监控与预算!$A:$A,$A8)</f>
        <v>1710642.63</v>
      </c>
      <c r="E8" s="5" t="n">
        <f aca="false">D8/规则参数!$B$8</f>
        <v>0.0523526301121828</v>
      </c>
      <c r="F8" s="4" t="n">
        <f aca="false">SUMIFS(SPU监控与预算!$G:$G,SPU监控与预算!$A:$A,$A8)</f>
        <v>201720.85</v>
      </c>
      <c r="G8" s="5" t="n">
        <f aca="false">F8/规则参数!$B$9</f>
        <v>0.0448357068215265</v>
      </c>
      <c r="H8" s="4" t="n">
        <f aca="false">SUMIFS(SPU监控与预算!$I:$I,SPU监控与预算!$A:$A,$A8)</f>
        <v>253472.5</v>
      </c>
      <c r="I8" s="5" t="n">
        <f aca="false">H8/规则参数!$B$10</f>
        <v>0.0523515541113055</v>
      </c>
      <c r="J8" s="6" t="n">
        <f aca="false">IFERROR(H8/D8,0)</f>
        <v>0.148173847392076</v>
      </c>
      <c r="K8" s="6" t="n">
        <f aca="false">IFERROR(F8/D8,0)</f>
        <v>0.117921093782165</v>
      </c>
      <c r="L8" s="3" t="n">
        <f aca="false">COUNTIFS(SPU监控与预算!$A:$A,$A8)</f>
        <v>14</v>
      </c>
      <c r="M8" s="4" t="n">
        <f aca="false">SUMIFS(SPU监控与预算!$W:$W,SPU监控与预算!$A:$A,$A8)</f>
        <v>22900.4077599158</v>
      </c>
      <c r="N8" s="4" t="n">
        <f aca="false">SUMIFS(SPU监控与预算!$X:$X,SPU监控与预算!$A:$A,$A8)</f>
        <v>22327.653595</v>
      </c>
    </row>
    <row r="9" customFormat="false" ht="15" hidden="false" customHeight="false" outlineLevel="0" collapsed="false">
      <c r="A9" s="3" t="s">
        <v>42</v>
      </c>
      <c r="B9" s="3" t="s">
        <v>578</v>
      </c>
      <c r="C9" s="3" t="s">
        <v>585</v>
      </c>
      <c r="D9" s="4" t="n">
        <f aca="false">SUMIFS(SPU监控与预算!$E:$E,SPU监控与预算!$A:$A,$A9)</f>
        <v>900793.65</v>
      </c>
      <c r="E9" s="5" t="n">
        <f aca="false">D9/规则参数!$B$8</f>
        <v>0.027567953667712</v>
      </c>
      <c r="F9" s="4" t="n">
        <f aca="false">SUMIFS(SPU监控与预算!$G:$G,SPU监控与预算!$A:$A,$A9)</f>
        <v>117557.33</v>
      </c>
      <c r="G9" s="5" t="n">
        <f aca="false">F9/规则参数!$B$9</f>
        <v>0.0261290093840148</v>
      </c>
      <c r="H9" s="4" t="n">
        <f aca="false">SUMIFS(SPU监控与预算!$I:$I,SPU监控与预算!$A:$A,$A9)</f>
        <v>126941.7</v>
      </c>
      <c r="I9" s="5" t="n">
        <f aca="false">H9/规则参数!$B$10</f>
        <v>0.0262182101669061</v>
      </c>
      <c r="J9" s="6" t="n">
        <f aca="false">IFERROR(H9/D9,0)</f>
        <v>0.140922063560284</v>
      </c>
      <c r="K9" s="6" t="n">
        <f aca="false">IFERROR(F9/D9,0)</f>
        <v>0.130504172625995</v>
      </c>
      <c r="L9" s="3" t="n">
        <f aca="false">COUNTIFS(SPU监控与预算!$A:$A,$A9)</f>
        <v>3</v>
      </c>
      <c r="M9" s="4" t="n">
        <f aca="false">SUMIFS(SPU监控与预算!$W:$W,SPU监控与预算!$A:$A,$A9)</f>
        <v>13715.5700807405</v>
      </c>
      <c r="N9" s="4" t="n">
        <f aca="false">SUMIFS(SPU监控与预算!$X:$X,SPU监控与预算!$A:$A,$A9)</f>
        <v>12669.29481</v>
      </c>
    </row>
    <row r="10" customFormat="false" ht="15" hidden="false" customHeight="false" outlineLevel="0" collapsed="false">
      <c r="A10" s="3" t="s">
        <v>59</v>
      </c>
      <c r="B10" s="3" t="s">
        <v>586</v>
      </c>
      <c r="C10" s="3" t="s">
        <v>587</v>
      </c>
      <c r="D10" s="4" t="n">
        <f aca="false">SUMIFS(SPU监控与预算!$E:$E,SPU监控与预算!$A:$A,$A10)</f>
        <v>779130.84</v>
      </c>
      <c r="E10" s="5" t="n">
        <f aca="false">D10/规则参数!$B$8</f>
        <v>0.0238445762780472</v>
      </c>
      <c r="F10" s="4" t="n">
        <f aca="false">SUMIFS(SPU监控与预算!$G:$G,SPU监控与预算!$A:$A,$A10)</f>
        <v>59132.01</v>
      </c>
      <c r="G10" s="5" t="n">
        <f aca="false">F10/规则参数!$B$9</f>
        <v>0.0131430413074681</v>
      </c>
      <c r="H10" s="4" t="n">
        <f aca="false">SUMIFS(SPU监控与预算!$I:$I,SPU监控与预算!$A:$A,$A10)</f>
        <v>123318.19</v>
      </c>
      <c r="I10" s="5" t="n">
        <f aca="false">H10/规则参数!$B$10</f>
        <v>0.0254698197898914</v>
      </c>
      <c r="J10" s="6" t="n">
        <f aca="false">IFERROR(H10/D10,0)</f>
        <v>0.158276612436494</v>
      </c>
      <c r="K10" s="6" t="n">
        <f aca="false">IFERROR(F10/D10,0)</f>
        <v>0.0758948394341572</v>
      </c>
      <c r="L10" s="3" t="n">
        <f aca="false">COUNTIFS(SPU监控与预算!$A:$A,$A10)</f>
        <v>4</v>
      </c>
      <c r="M10" s="4" t="n">
        <f aca="false">SUMIFS(SPU监控与预算!$W:$W,SPU监控与预算!$A:$A,$A10)</f>
        <v>11988.2845773378</v>
      </c>
      <c r="N10" s="4" t="n">
        <f aca="false">SUMIFS(SPU监控与预算!$X:$X,SPU监控与预算!$A:$A,$A10)</f>
        <v>9928.090842</v>
      </c>
    </row>
    <row r="11" customFormat="false" ht="15" hidden="false" customHeight="false" outlineLevel="0" collapsed="false">
      <c r="A11" s="3" t="s">
        <v>67</v>
      </c>
      <c r="B11" s="3" t="s">
        <v>46</v>
      </c>
      <c r="C11" s="3" t="s">
        <v>588</v>
      </c>
      <c r="D11" s="4" t="n">
        <f aca="false">SUMIFS(SPU监控与预算!$E:$E,SPU监控与预算!$A:$A,$A11)</f>
        <v>684738.95</v>
      </c>
      <c r="E11" s="5" t="n">
        <f aca="false">D11/规则参数!$B$8</f>
        <v>0.0209558000859329</v>
      </c>
      <c r="F11" s="4" t="n">
        <f aca="false">SUMIFS(SPU监控与预算!$G:$G,SPU监控与预算!$A:$A,$A11)</f>
        <v>82943.24</v>
      </c>
      <c r="G11" s="5" t="n">
        <f aca="false">F11/规则参数!$B$9</f>
        <v>0.0184354705597736</v>
      </c>
      <c r="H11" s="4" t="n">
        <f aca="false">SUMIFS(SPU监控与预算!$I:$I,SPU监控与预算!$A:$A,$A11)</f>
        <v>122781.12</v>
      </c>
      <c r="I11" s="5" t="n">
        <f aca="false">H11/规则参数!$B$10</f>
        <v>0.0253588947421385</v>
      </c>
      <c r="J11" s="6" t="n">
        <f aca="false">IFERROR(H11/D11,0)</f>
        <v>0.179310845395899</v>
      </c>
      <c r="K11" s="6" t="n">
        <f aca="false">IFERROR(F11/D11,0)</f>
        <v>0.121131184373256</v>
      </c>
      <c r="L11" s="3" t="n">
        <f aca="false">COUNTIFS(SPU监控与预算!$A:$A,$A11)</f>
        <v>7</v>
      </c>
      <c r="M11" s="4" t="n">
        <f aca="false">SUMIFS(SPU监控与预算!$W:$W,SPU监控与预算!$A:$A,$A11)</f>
        <v>1374.84439177558</v>
      </c>
      <c r="N11" s="4" t="n">
        <f aca="false">SUMIFS(SPU监控与预算!$X:$X,SPU监控与预算!$A:$A,$A11)</f>
        <v>1178.45798</v>
      </c>
    </row>
    <row r="12" customFormat="false" ht="15" hidden="false" customHeight="false" outlineLevel="0" collapsed="false">
      <c r="A12" s="3" t="s">
        <v>73</v>
      </c>
      <c r="B12" s="3" t="s">
        <v>578</v>
      </c>
      <c r="C12" s="3" t="s">
        <v>589</v>
      </c>
      <c r="D12" s="4" t="n">
        <f aca="false">SUMIFS(SPU监控与预算!$E:$E,SPU监控与预算!$A:$A,$A12)</f>
        <v>766016.84</v>
      </c>
      <c r="E12" s="5" t="n">
        <f aca="false">D12/规则参数!$B$8</f>
        <v>0.0234432344786258</v>
      </c>
      <c r="F12" s="4" t="n">
        <f aca="false">SUMIFS(SPU监控与预算!$G:$G,SPU监控与预算!$A:$A,$A12)</f>
        <v>140298.33</v>
      </c>
      <c r="G12" s="5" t="n">
        <f aca="false">F12/规则参数!$B$9</f>
        <v>0.0311835627870385</v>
      </c>
      <c r="H12" s="4" t="n">
        <f aca="false">SUMIFS(SPU监控与预算!$I:$I,SPU监控与预算!$A:$A,$A12)</f>
        <v>113146.81</v>
      </c>
      <c r="I12" s="5" t="n">
        <f aca="false">H12/规则参数!$B$10</f>
        <v>0.0233690492903041</v>
      </c>
      <c r="J12" s="6" t="n">
        <f aca="false">IFERROR(H12/D12,0)</f>
        <v>0.147707992946996</v>
      </c>
      <c r="K12" s="6" t="n">
        <f aca="false">IFERROR(F12/D12,0)</f>
        <v>0.183153062274714</v>
      </c>
      <c r="L12" s="3" t="n">
        <f aca="false">COUNTIFS(SPU监控与预算!$A:$A,$A12)</f>
        <v>6</v>
      </c>
      <c r="M12" s="4" t="n">
        <f aca="false">SUMIFS(SPU监控与预算!$W:$W,SPU监控与预算!$A:$A,$A12)</f>
        <v>12152.7709157129</v>
      </c>
      <c r="N12" s="4" t="n">
        <f aca="false">SUMIFS(SPU监控与预算!$X:$X,SPU监控与预算!$A:$A,$A12)</f>
        <v>11917.108461</v>
      </c>
    </row>
    <row r="13" customFormat="false" ht="15" hidden="false" customHeight="false" outlineLevel="0" collapsed="false">
      <c r="A13" s="3" t="s">
        <v>50</v>
      </c>
      <c r="B13" s="3" t="s">
        <v>578</v>
      </c>
      <c r="C13" s="3" t="s">
        <v>590</v>
      </c>
      <c r="D13" s="4" t="n">
        <f aca="false">SUMIFS(SPU监控与预算!$E:$E,SPU监控与预算!$A:$A,$A13)</f>
        <v>721986.1</v>
      </c>
      <c r="E13" s="5" t="n">
        <f aca="false">D13/规则参数!$B$8</f>
        <v>0.0220957145440935</v>
      </c>
      <c r="F13" s="4" t="n">
        <f aca="false">SUMIFS(SPU监控与预算!$G:$G,SPU监控与预算!$A:$A,$A13)</f>
        <v>93554.34</v>
      </c>
      <c r="G13" s="5" t="n">
        <f aca="false">F13/规则参数!$B$9</f>
        <v>0.0207939583841799</v>
      </c>
      <c r="H13" s="4" t="n">
        <f aca="false">SUMIFS(SPU监控与预算!$I:$I,SPU监控与预算!$A:$A,$A13)</f>
        <v>112367.96</v>
      </c>
      <c r="I13" s="5" t="n">
        <f aca="false">H13/规则参数!$B$10</f>
        <v>0.0232081876271273</v>
      </c>
      <c r="J13" s="6" t="n">
        <f aca="false">IFERROR(H13/D13,0)</f>
        <v>0.155637289969987</v>
      </c>
      <c r="K13" s="6" t="n">
        <f aca="false">IFERROR(F13/D13,0)</f>
        <v>0.129579142867155</v>
      </c>
      <c r="L13" s="3" t="n">
        <f aca="false">COUNTIFS(SPU监控与预算!$A:$A,$A13)</f>
        <v>4</v>
      </c>
      <c r="M13" s="4" t="n">
        <f aca="false">SUMIFS(SPU监控与预算!$W:$W,SPU监控与预算!$A:$A,$A13)</f>
        <v>3181.30661924693</v>
      </c>
      <c r="N13" s="4" t="n">
        <f aca="false">SUMIFS(SPU监控与预算!$X:$X,SPU监控与预算!$A:$A,$A13)</f>
        <v>3181.603944</v>
      </c>
    </row>
    <row r="14" customFormat="false" ht="15" hidden="false" customHeight="false" outlineLevel="0" collapsed="false">
      <c r="A14" s="3" t="s">
        <v>64</v>
      </c>
      <c r="B14" s="3" t="s">
        <v>586</v>
      </c>
      <c r="C14" s="3" t="s">
        <v>591</v>
      </c>
      <c r="D14" s="4" t="n">
        <f aca="false">SUMIFS(SPU监控与预算!$E:$E,SPU监控与预算!$A:$A,$A14)</f>
        <v>664986.41</v>
      </c>
      <c r="E14" s="5" t="n">
        <f aca="false">D14/规则参数!$B$8</f>
        <v>0.0203512919307748</v>
      </c>
      <c r="F14" s="4" t="n">
        <f aca="false">SUMIFS(SPU监控与预算!$G:$G,SPU监控与预算!$A:$A,$A14)</f>
        <v>106801.42</v>
      </c>
      <c r="G14" s="5" t="n">
        <f aca="false">F14/规则参数!$B$9</f>
        <v>0.0237383352055215</v>
      </c>
      <c r="H14" s="4" t="n">
        <f aca="false">SUMIFS(SPU监控与预算!$I:$I,SPU监控与预算!$A:$A,$A14)</f>
        <v>83813.82</v>
      </c>
      <c r="I14" s="5" t="n">
        <f aca="false">H14/规则参数!$B$10</f>
        <v>0.0173106894554842</v>
      </c>
      <c r="J14" s="6" t="n">
        <f aca="false">IFERROR(H14/D14,0)</f>
        <v>0.12603839528089</v>
      </c>
      <c r="K14" s="6" t="n">
        <f aca="false">IFERROR(F14/D14,0)</f>
        <v>0.160606921275278</v>
      </c>
      <c r="L14" s="3" t="n">
        <f aca="false">COUNTIFS(SPU监控与预算!$A:$A,$A14)</f>
        <v>8</v>
      </c>
      <c r="M14" s="4" t="n">
        <f aca="false">SUMIFS(SPU监控与预算!$W:$W,SPU监控与预算!$A:$A,$A14)</f>
        <v>5315.11406545414</v>
      </c>
      <c r="N14" s="4" t="n">
        <f aca="false">SUMIFS(SPU监控与预算!$X:$X,SPU监控与预算!$A:$A,$A14)</f>
        <v>4236.492958</v>
      </c>
    </row>
    <row r="15" customFormat="false" ht="15" hidden="false" customHeight="false" outlineLevel="0" collapsed="false">
      <c r="A15" s="3" t="s">
        <v>98</v>
      </c>
      <c r="B15" s="3" t="s">
        <v>46</v>
      </c>
      <c r="C15" s="3" t="s">
        <v>592</v>
      </c>
      <c r="D15" s="4" t="n">
        <f aca="false">SUMIFS(SPU监控与预算!$E:$E,SPU监控与预算!$A:$A,$A15)</f>
        <v>383465.48</v>
      </c>
      <c r="E15" s="5" t="n">
        <f aca="false">D15/规则参数!$B$8</f>
        <v>0.0117356051364338</v>
      </c>
      <c r="F15" s="4" t="n">
        <f aca="false">SUMIFS(SPU监控与预算!$G:$G,SPU监控与预算!$A:$A,$A15)</f>
        <v>38476.57</v>
      </c>
      <c r="G15" s="5" t="n">
        <f aca="false">F15/规则参数!$B$9</f>
        <v>0.00855203719406269</v>
      </c>
      <c r="H15" s="4" t="n">
        <f aca="false">SUMIFS(SPU监控与预算!$I:$I,SPU监控与预算!$A:$A,$A15)</f>
        <v>68101.34</v>
      </c>
      <c r="I15" s="5" t="n">
        <f aca="false">H15/规则参数!$B$10</f>
        <v>0.0140654745033975</v>
      </c>
      <c r="J15" s="6" t="n">
        <f aca="false">IFERROR(H15/D15,0)</f>
        <v>0.177594447354166</v>
      </c>
      <c r="K15" s="6" t="n">
        <f aca="false">IFERROR(F15/D15,0)</f>
        <v>0.100339070938015</v>
      </c>
      <c r="L15" s="3" t="n">
        <f aca="false">COUNTIFS(SPU监控与预算!$A:$A,$A15)</f>
        <v>3</v>
      </c>
      <c r="M15" s="4" t="n">
        <f aca="false">SUMIFS(SPU监控与预算!$W:$W,SPU监控与预算!$A:$A,$A15)</f>
        <v>11232.8128938534</v>
      </c>
      <c r="N15" s="4" t="n">
        <f aca="false">SUMIFS(SPU监控与预算!$X:$X,SPU监控与预算!$A:$A,$A15)</f>
        <v>9570.11568</v>
      </c>
    </row>
    <row r="16" customFormat="false" ht="15" hidden="false" customHeight="false" outlineLevel="0" collapsed="false">
      <c r="A16" s="3" t="s">
        <v>78</v>
      </c>
      <c r="B16" s="3" t="s">
        <v>578</v>
      </c>
      <c r="C16" s="3" t="s">
        <v>593</v>
      </c>
      <c r="D16" s="4" t="n">
        <f aca="false">SUMIFS(SPU监控与预算!$E:$E,SPU监控与预算!$A:$A,$A16)</f>
        <v>414857.34</v>
      </c>
      <c r="E16" s="5" t="n">
        <f aca="false">D16/规则参数!$B$8</f>
        <v>0.0126963238782048</v>
      </c>
      <c r="F16" s="4" t="n">
        <f aca="false">SUMIFS(SPU监控与预算!$G:$G,SPU监控与预算!$A:$A,$A16)</f>
        <v>63989.84</v>
      </c>
      <c r="G16" s="5" t="n">
        <f aca="false">F16/规则参数!$B$9</f>
        <v>0.0142227722409279</v>
      </c>
      <c r="H16" s="4" t="n">
        <f aca="false">SUMIFS(SPU监控与预算!$I:$I,SPU监控与预算!$A:$A,$A16)</f>
        <v>66768.04</v>
      </c>
      <c r="I16" s="5" t="n">
        <f aca="false">H16/规则参数!$B$10</f>
        <v>0.0137900981722507</v>
      </c>
      <c r="J16" s="6" t="n">
        <f aca="false">IFERROR(H16/D16,0)</f>
        <v>0.160942168698281</v>
      </c>
      <c r="K16" s="6" t="n">
        <f aca="false">IFERROR(F16/D16,0)</f>
        <v>0.154245408795226</v>
      </c>
      <c r="L16" s="3" t="n">
        <f aca="false">COUNTIFS(SPU监控与预算!$A:$A,$A16)</f>
        <v>4</v>
      </c>
      <c r="M16" s="4" t="n">
        <f aca="false">SUMIFS(SPU监控与预算!$W:$W,SPU监控与预算!$A:$A,$A16)</f>
        <v>8010.43773783855</v>
      </c>
      <c r="N16" s="4" t="n">
        <f aca="false">SUMIFS(SPU监控与预算!$X:$X,SPU监控与预算!$A:$A,$A16)</f>
        <v>7494.096648</v>
      </c>
    </row>
    <row r="17" customFormat="false" ht="15" hidden="false" customHeight="false" outlineLevel="0" collapsed="false">
      <c r="A17" s="3" t="s">
        <v>92</v>
      </c>
      <c r="B17" s="3" t="s">
        <v>586</v>
      </c>
      <c r="C17" s="3" t="s">
        <v>594</v>
      </c>
      <c r="D17" s="4" t="n">
        <f aca="false">SUMIFS(SPU监控与预算!$E:$E,SPU监控与预算!$A:$A,$A17)</f>
        <v>481042.44</v>
      </c>
      <c r="E17" s="5" t="n">
        <f aca="false">D17/规则参数!$B$8</f>
        <v>0.0147218574399621</v>
      </c>
      <c r="F17" s="4" t="n">
        <f aca="false">SUMIFS(SPU监控与预算!$G:$G,SPU监控与预算!$A:$A,$A17)</f>
        <v>5871.27</v>
      </c>
      <c r="G17" s="5" t="n">
        <f aca="false">F17/规则参数!$B$9</f>
        <v>0.00130498429086544</v>
      </c>
      <c r="H17" s="4" t="n">
        <f aca="false">SUMIFS(SPU监控与预算!$I:$I,SPU监控与预算!$A:$A,$A17)</f>
        <v>62094.62</v>
      </c>
      <c r="I17" s="5" t="n">
        <f aca="false">H17/规则参数!$B$10</f>
        <v>0.0128248621012179</v>
      </c>
      <c r="J17" s="6" t="n">
        <f aca="false">IFERROR(H17/D17,0)</f>
        <v>0.129083454673978</v>
      </c>
      <c r="K17" s="6" t="n">
        <f aca="false">IFERROR(F17/D17,0)</f>
        <v>0.0122053056275035</v>
      </c>
      <c r="L17" s="3" t="n">
        <f aca="false">COUNTIFS(SPU监控与预算!$A:$A,$A17)</f>
        <v>3</v>
      </c>
      <c r="M17" s="4" t="n">
        <f aca="false">SUMIFS(SPU监控与预算!$W:$W,SPU监控与预算!$A:$A,$A17)</f>
        <v>1726.11175787045</v>
      </c>
      <c r="N17" s="4" t="n">
        <f aca="false">SUMIFS(SPU监控与预算!$X:$X,SPU监控与预算!$A:$A,$A17)</f>
        <v>840.270704</v>
      </c>
    </row>
    <row r="18" customFormat="false" ht="15" hidden="false" customHeight="false" outlineLevel="0" collapsed="false">
      <c r="A18" s="3" t="s">
        <v>144</v>
      </c>
      <c r="B18" s="3" t="s">
        <v>586</v>
      </c>
      <c r="C18" s="3" t="s">
        <v>595</v>
      </c>
      <c r="D18" s="4" t="n">
        <f aca="false">SUMIFS(SPU监控与预算!$E:$E,SPU监控与预算!$A:$A,$A18)</f>
        <v>343918.41</v>
      </c>
      <c r="E18" s="5" t="n">
        <f aca="false">D18/规则参数!$B$8</f>
        <v>0.0105253037611368</v>
      </c>
      <c r="F18" s="4" t="n">
        <f aca="false">SUMIFS(SPU监控与预算!$G:$G,SPU监控与预算!$A:$A,$A18)</f>
        <v>17810.89</v>
      </c>
      <c r="G18" s="5" t="n">
        <f aca="false">F18/规则参数!$B$9</f>
        <v>0.00395875707578298</v>
      </c>
      <c r="H18" s="4" t="n">
        <f aca="false">SUMIFS(SPU监控与预算!$I:$I,SPU监控与预算!$A:$A,$A18)</f>
        <v>60829.28</v>
      </c>
      <c r="I18" s="5" t="n">
        <f aca="false">H18/规则参数!$B$10</f>
        <v>0.0125635220525767</v>
      </c>
      <c r="J18" s="6" t="n">
        <f aca="false">IFERROR(H18/D18,0)</f>
        <v>0.176871252690427</v>
      </c>
      <c r="K18" s="6" t="n">
        <f aca="false">IFERROR(F18/D18,0)</f>
        <v>0.0517881261430582</v>
      </c>
      <c r="L18" s="3" t="n">
        <f aca="false">COUNTIFS(SPU监控与预算!$A:$A,$A18)</f>
        <v>5</v>
      </c>
      <c r="M18" s="4" t="n">
        <f aca="false">SUMIFS(SPU监控与预算!$W:$W,SPU监控与预算!$A:$A,$A18)</f>
        <v>4791.13744499584</v>
      </c>
      <c r="N18" s="4" t="n">
        <f aca="false">SUMIFS(SPU监控与预算!$X:$X,SPU监控与预算!$A:$A,$A18)</f>
        <v>4180.596005</v>
      </c>
    </row>
    <row r="19" customFormat="false" ht="15" hidden="false" customHeight="false" outlineLevel="0" collapsed="false">
      <c r="A19" s="3" t="s">
        <v>80</v>
      </c>
      <c r="B19" s="3" t="s">
        <v>586</v>
      </c>
      <c r="C19" s="3" t="s">
        <v>596</v>
      </c>
      <c r="D19" s="4" t="n">
        <f aca="false">SUMIFS(SPU监控与预算!$E:$E,SPU监控与预算!$A:$A,$A19)</f>
        <v>225787.94</v>
      </c>
      <c r="E19" s="5" t="n">
        <f aca="false">D19/规则参数!$B$8</f>
        <v>0.00691003035894863</v>
      </c>
      <c r="F19" s="4" t="n">
        <f aca="false">SUMIFS(SPU监控与预算!$G:$G,SPU监控与预算!$A:$A,$A19)</f>
        <v>33293.86</v>
      </c>
      <c r="G19" s="5" t="n">
        <f aca="false">F19/规则参数!$B$9</f>
        <v>0.00740009644970734</v>
      </c>
      <c r="H19" s="4" t="n">
        <f aca="false">SUMIFS(SPU监控与预算!$I:$I,SPU监控与预算!$A:$A,$A19)</f>
        <v>60227.77</v>
      </c>
      <c r="I19" s="5" t="n">
        <f aca="false">H19/规则参数!$B$10</f>
        <v>0.0124392877340077</v>
      </c>
      <c r="J19" s="6" t="n">
        <f aca="false">IFERROR(H19/D19,0)</f>
        <v>0.266744849171307</v>
      </c>
      <c r="K19" s="6" t="n">
        <f aca="false">IFERROR(F19/D19,0)</f>
        <v>0.147456325612431</v>
      </c>
      <c r="L19" s="3" t="n">
        <f aca="false">COUNTIFS(SPU监控与预算!$A:$A,$A19)</f>
        <v>3</v>
      </c>
      <c r="M19" s="4" t="n">
        <f aca="false">SUMIFS(SPU监控与预算!$W:$W,SPU监控与预算!$A:$A,$A19)</f>
        <v>5528.19203684928</v>
      </c>
      <c r="N19" s="4" t="n">
        <f aca="false">SUMIFS(SPU监控与预算!$X:$X,SPU监控与预算!$A:$A,$A19)</f>
        <v>3554.814423</v>
      </c>
    </row>
    <row r="20" customFormat="false" ht="15" hidden="false" customHeight="false" outlineLevel="0" collapsed="false">
      <c r="A20" s="3" t="s">
        <v>75</v>
      </c>
      <c r="B20" s="3" t="s">
        <v>578</v>
      </c>
      <c r="C20" s="3" t="s">
        <v>597</v>
      </c>
      <c r="D20" s="4" t="n">
        <f aca="false">SUMIFS(SPU监控与预算!$E:$E,SPU监控与预算!$A:$A,$A20)</f>
        <v>576464.5</v>
      </c>
      <c r="E20" s="5" t="n">
        <f aca="false">D20/规则参数!$B$8</f>
        <v>0.0176421610288669</v>
      </c>
      <c r="F20" s="4" t="n">
        <f aca="false">SUMIFS(SPU监控与预算!$G:$G,SPU监控与预算!$A:$A,$A20)</f>
        <v>84147.96</v>
      </c>
      <c r="G20" s="5" t="n">
        <f aca="false">F20/规则参数!$B$9</f>
        <v>0.01870323897698</v>
      </c>
      <c r="H20" s="4" t="n">
        <f aca="false">SUMIFS(SPU监控与预算!$I:$I,SPU监控与预算!$A:$A,$A20)</f>
        <v>58835.22</v>
      </c>
      <c r="I20" s="5" t="n">
        <f aca="false">H20/规则参数!$B$10</f>
        <v>0.012151674061212</v>
      </c>
      <c r="J20" s="6" t="n">
        <f aca="false">IFERROR(H20/D20,0)</f>
        <v>0.102062173819897</v>
      </c>
      <c r="K20" s="6" t="n">
        <f aca="false">IFERROR(F20/D20,0)</f>
        <v>0.145972492668673</v>
      </c>
      <c r="L20" s="3" t="n">
        <f aca="false">COUNTIFS(SPU监控与预算!$A:$A,$A20)</f>
        <v>5</v>
      </c>
      <c r="M20" s="4" t="n">
        <f aca="false">SUMIFS(SPU监控与预算!$W:$W,SPU监控与预算!$A:$A,$A20)</f>
        <v>6163.09791689484</v>
      </c>
      <c r="N20" s="4" t="n">
        <f aca="false">SUMIFS(SPU监控与预算!$X:$X,SPU监控与预算!$A:$A,$A20)</f>
        <v>5963.986994</v>
      </c>
    </row>
    <row r="21" customFormat="false" ht="15" hidden="false" customHeight="false" outlineLevel="0" collapsed="false">
      <c r="A21" s="3" t="s">
        <v>169</v>
      </c>
      <c r="B21" s="3" t="s">
        <v>578</v>
      </c>
      <c r="C21" s="3" t="s">
        <v>598</v>
      </c>
      <c r="D21" s="4" t="n">
        <f aca="false">SUMIFS(SPU监控与预算!$E:$E,SPU监控与预算!$A:$A,$A21)</f>
        <v>344802.08</v>
      </c>
      <c r="E21" s="5" t="n">
        <f aca="false">D21/规则参数!$B$8</f>
        <v>0.0105523476613881</v>
      </c>
      <c r="F21" s="4" t="n">
        <f aca="false">SUMIFS(SPU监控与预算!$G:$G,SPU监控与预算!$A:$A,$A21)</f>
        <v>46666.06</v>
      </c>
      <c r="G21" s="5" t="n">
        <f aca="false">F21/规则参数!$B$9</f>
        <v>0.010372283205607</v>
      </c>
      <c r="H21" s="4" t="n">
        <f aca="false">SUMIFS(SPU监控与预算!$I:$I,SPU监控与预算!$A:$A,$A21)</f>
        <v>56212.4</v>
      </c>
      <c r="I21" s="5" t="n">
        <f aca="false">H21/规则参数!$B$10</f>
        <v>0.0116099636068069</v>
      </c>
      <c r="J21" s="6" t="n">
        <f aca="false">IFERROR(H21/D21,0)</f>
        <v>0.163028018856499</v>
      </c>
      <c r="K21" s="6" t="n">
        <f aca="false">IFERROR(F21/D21,0)</f>
        <v>0.135341584946355</v>
      </c>
      <c r="L21" s="3" t="n">
        <f aca="false">COUNTIFS(SPU监控与预算!$A:$A,$A21)</f>
        <v>12</v>
      </c>
      <c r="M21" s="4" t="n">
        <f aca="false">SUMIFS(SPU监控与预算!$W:$W,SPU监控与预算!$A:$A,$A21)</f>
        <v>6521.20703437198</v>
      </c>
      <c r="N21" s="4" t="n">
        <f aca="false">SUMIFS(SPU监控与预算!$X:$X,SPU监控与预算!$A:$A,$A21)</f>
        <v>5407.878479</v>
      </c>
    </row>
    <row r="22" customFormat="false" ht="15" hidden="false" customHeight="false" outlineLevel="0" collapsed="false">
      <c r="A22" s="3" t="s">
        <v>134</v>
      </c>
      <c r="B22" s="3" t="s">
        <v>586</v>
      </c>
      <c r="C22" s="3" t="s">
        <v>599</v>
      </c>
      <c r="D22" s="4" t="n">
        <f aca="false">SUMIFS(SPU监控与预算!$E:$E,SPU监控与预算!$A:$A,$A22)</f>
        <v>241125.61</v>
      </c>
      <c r="E22" s="5" t="n">
        <f aca="false">D22/规则参数!$B$8</f>
        <v>0.00737942551502089</v>
      </c>
      <c r="F22" s="4" t="n">
        <f aca="false">SUMIFS(SPU监控与预算!$G:$G,SPU监控与预算!$A:$A,$A22)</f>
        <v>-18861.89</v>
      </c>
      <c r="G22" s="5" t="n">
        <f aca="false">F22/规则参数!$B$9</f>
        <v>-0.00419235874794242</v>
      </c>
      <c r="H22" s="4" t="n">
        <f aca="false">SUMIFS(SPU监控与预算!$I:$I,SPU监控与预算!$A:$A,$A22)</f>
        <v>47078.54</v>
      </c>
      <c r="I22" s="5" t="n">
        <f aca="false">H22/规则参数!$B$10</f>
        <v>0.00972347980270547</v>
      </c>
      <c r="J22" s="6" t="n">
        <f aca="false">IFERROR(H22/D22,0)</f>
        <v>0.195244876726284</v>
      </c>
      <c r="K22" s="6" t="n">
        <f aca="false">IFERROR(F22/D22,0)</f>
        <v>-0.0782243329524392</v>
      </c>
      <c r="L22" s="3" t="n">
        <f aca="false">COUNTIFS(SPU监控与预算!$A:$A,$A22)</f>
        <v>3</v>
      </c>
      <c r="M22" s="4" t="n">
        <f aca="false">SUMIFS(SPU监控与预算!$W:$W,SPU监控与预算!$A:$A,$A22)</f>
        <v>3808.44946310265</v>
      </c>
      <c r="N22" s="4" t="n">
        <f aca="false">SUMIFS(SPU监控与预算!$X:$X,SPU监控与预算!$A:$A,$A22)</f>
        <v>1584.836977</v>
      </c>
    </row>
    <row r="23" customFormat="false" ht="15" hidden="false" customHeight="false" outlineLevel="0" collapsed="false">
      <c r="A23" s="3" t="s">
        <v>83</v>
      </c>
      <c r="B23" s="3" t="s">
        <v>586</v>
      </c>
      <c r="C23" s="3" t="s">
        <v>600</v>
      </c>
      <c r="D23" s="4" t="n">
        <f aca="false">SUMIFS(SPU监控与预算!$E:$E,SPU监控与预算!$A:$A,$A23)</f>
        <v>344145.18</v>
      </c>
      <c r="E23" s="5" t="n">
        <f aca="false">D23/规则参数!$B$8</f>
        <v>0.0105322438465307</v>
      </c>
      <c r="F23" s="4" t="n">
        <f aca="false">SUMIFS(SPU监控与预算!$G:$G,SPU监控与预算!$A:$A,$A23)</f>
        <v>-36953.05</v>
      </c>
      <c r="G23" s="5" t="n">
        <f aca="false">F23/规则参数!$B$9</f>
        <v>-0.00821341034385493</v>
      </c>
      <c r="H23" s="4" t="n">
        <f aca="false">SUMIFS(SPU监控与预算!$I:$I,SPU监控与预算!$A:$A,$A23)</f>
        <v>44617.11</v>
      </c>
      <c r="I23" s="5" t="n">
        <f aca="false">H23/规则参数!$B$10</f>
        <v>0.00921510242118996</v>
      </c>
      <c r="J23" s="6" t="n">
        <f aca="false">IFERROR(H23/D23,0)</f>
        <v>0.129646185949779</v>
      </c>
      <c r="K23" s="6" t="n">
        <f aca="false">IFERROR(F23/D23,0)</f>
        <v>-0.107376340415403</v>
      </c>
      <c r="L23" s="3" t="n">
        <f aca="false">COUNTIFS(SPU监控与预算!$A:$A,$A23)</f>
        <v>1</v>
      </c>
      <c r="M23" s="4" t="n">
        <f aca="false">SUMIFS(SPU监控与预算!$W:$W,SPU监控与预算!$A:$A,$A23)</f>
        <v>2015.58202726216</v>
      </c>
      <c r="N23" s="4" t="n">
        <f aca="false">SUMIFS(SPU监控与预算!$X:$X,SPU监控与预算!$A:$A,$A23)</f>
        <v>0</v>
      </c>
    </row>
    <row r="24" customFormat="false" ht="15" hidden="false" customHeight="false" outlineLevel="0" collapsed="false">
      <c r="A24" s="3" t="s">
        <v>88</v>
      </c>
      <c r="B24" s="3" t="s">
        <v>46</v>
      </c>
      <c r="C24" s="3" t="s">
        <v>601</v>
      </c>
      <c r="D24" s="4" t="n">
        <f aca="false">SUMIFS(SPU监控与预算!$E:$E,SPU监控与预算!$A:$A,$A24)</f>
        <v>267894.4</v>
      </c>
      <c r="E24" s="5" t="n">
        <f aca="false">D24/规则参数!$B$8</f>
        <v>0.00819865948992815</v>
      </c>
      <c r="F24" s="4" t="n">
        <f aca="false">SUMIFS(SPU监控与预算!$G:$G,SPU监控与预算!$A:$A,$A24)</f>
        <v>50441.16</v>
      </c>
      <c r="G24" s="5" t="n">
        <f aca="false">F24/规则参数!$B$9</f>
        <v>0.0112113599635224</v>
      </c>
      <c r="H24" s="4" t="n">
        <f aca="false">SUMIFS(SPU监控与预算!$I:$I,SPU监控与预算!$A:$A,$A24)</f>
        <v>44150.66</v>
      </c>
      <c r="I24" s="5" t="n">
        <f aca="false">H24/规则参数!$B$10</f>
        <v>0.009118763045458</v>
      </c>
      <c r="J24" s="6" t="n">
        <f aca="false">IFERROR(H24/D24,0)</f>
        <v>0.16480620722195</v>
      </c>
      <c r="K24" s="6" t="n">
        <f aca="false">IFERROR(F24/D24,0)</f>
        <v>0.188287474467551</v>
      </c>
      <c r="L24" s="3" t="n">
        <f aca="false">COUNTIFS(SPU监控与预算!$A:$A,$A24)</f>
        <v>1</v>
      </c>
      <c r="M24" s="4" t="n">
        <f aca="false">SUMIFS(SPU监控与预算!$W:$W,SPU监控与预算!$A:$A,$A24)</f>
        <v>1355.61180944208</v>
      </c>
      <c r="N24" s="4" t="n">
        <f aca="false">SUMIFS(SPU监控与预算!$X:$X,SPU监控与预算!$A:$A,$A24)</f>
        <v>1355.560752</v>
      </c>
    </row>
    <row r="25" customFormat="false" ht="15" hidden="false" customHeight="false" outlineLevel="0" collapsed="false">
      <c r="A25" s="3" t="s">
        <v>100</v>
      </c>
      <c r="B25" s="3" t="s">
        <v>578</v>
      </c>
      <c r="C25" s="3" t="s">
        <v>602</v>
      </c>
      <c r="D25" s="4" t="n">
        <f aca="false">SUMIFS(SPU监控与预算!$E:$E,SPU监控与预算!$A:$A,$A25)</f>
        <v>324725.53</v>
      </c>
      <c r="E25" s="5" t="n">
        <f aca="false">D25/规则参数!$B$8</f>
        <v>0.0099379234808807</v>
      </c>
      <c r="F25" s="4" t="n">
        <f aca="false">SUMIFS(SPU监控与预算!$G:$G,SPU监控与预算!$A:$A,$A25)</f>
        <v>53500.56</v>
      </c>
      <c r="G25" s="5" t="n">
        <f aca="false">F25/规则参数!$B$9</f>
        <v>0.0118913608729464</v>
      </c>
      <c r="H25" s="4" t="n">
        <f aca="false">SUMIFS(SPU监控与预算!$I:$I,SPU监控与预算!$A:$A,$A25)</f>
        <v>41439.44</v>
      </c>
      <c r="I25" s="5" t="n">
        <f aca="false">H25/规则参数!$B$10</f>
        <v>0.00855879468385012</v>
      </c>
      <c r="J25" s="6" t="n">
        <f aca="false">IFERROR(H25/D25,0)</f>
        <v>0.127613741980805</v>
      </c>
      <c r="K25" s="6" t="n">
        <f aca="false">IFERROR(F25/D25,0)</f>
        <v>0.164756248145934</v>
      </c>
      <c r="L25" s="3" t="n">
        <f aca="false">COUNTIFS(SPU监控与预算!$A:$A,$A25)</f>
        <v>2</v>
      </c>
      <c r="M25" s="4" t="n">
        <f aca="false">SUMIFS(SPU监控与预算!$W:$W,SPU监控与预算!$A:$A,$A25)</f>
        <v>7645.06682709765</v>
      </c>
      <c r="N25" s="4" t="n">
        <f aca="false">SUMIFS(SPU监控与预算!$X:$X,SPU监控与预算!$A:$A,$A25)</f>
        <v>6933.063091</v>
      </c>
    </row>
    <row r="26" customFormat="false" ht="15" hidden="false" customHeight="false" outlineLevel="0" collapsed="false">
      <c r="A26" s="3" t="s">
        <v>141</v>
      </c>
      <c r="B26" s="3" t="s">
        <v>586</v>
      </c>
      <c r="C26" s="3" t="s">
        <v>603</v>
      </c>
      <c r="D26" s="4" t="n">
        <f aca="false">SUMIFS(SPU监控与预算!$E:$E,SPU监控与预算!$A:$A,$A26)</f>
        <v>180695</v>
      </c>
      <c r="E26" s="5" t="n">
        <f aca="false">D26/规则参数!$B$8</f>
        <v>0.00553000277920168</v>
      </c>
      <c r="F26" s="4" t="n">
        <f aca="false">SUMIFS(SPU监控与预算!$G:$G,SPU监控与预算!$A:$A,$A26)</f>
        <v>18981.46</v>
      </c>
      <c r="G26" s="5" t="n">
        <f aca="false">F26/规则参数!$B$9</f>
        <v>0.00421893510563996</v>
      </c>
      <c r="H26" s="4" t="n">
        <f aca="false">SUMIFS(SPU监控与预算!$I:$I,SPU监控与预算!$A:$A,$A26)</f>
        <v>41303.73</v>
      </c>
      <c r="I26" s="5" t="n">
        <f aca="false">H26/规则参数!$B$10</f>
        <v>0.00853076549169536</v>
      </c>
      <c r="J26" s="6" t="n">
        <f aca="false">IFERROR(H26/D26,0)</f>
        <v>0.228582583912117</v>
      </c>
      <c r="K26" s="6" t="n">
        <f aca="false">IFERROR(F26/D26,0)</f>
        <v>0.105046957580453</v>
      </c>
      <c r="L26" s="3" t="n">
        <f aca="false">COUNTIFS(SPU监控与预算!$A:$A,$A26)</f>
        <v>2</v>
      </c>
      <c r="M26" s="4" t="n">
        <f aca="false">SUMIFS(SPU监控与预算!$W:$W,SPU监控与预算!$A:$A,$A26)</f>
        <v>6878.60412231609</v>
      </c>
      <c r="N26" s="4" t="n">
        <f aca="false">SUMIFS(SPU监控与预算!$X:$X,SPU监控与预算!$A:$A,$A26)</f>
        <v>5973.2604</v>
      </c>
    </row>
    <row r="27" customFormat="false" ht="15" hidden="false" customHeight="false" outlineLevel="0" collapsed="false">
      <c r="A27" s="3" t="s">
        <v>105</v>
      </c>
      <c r="B27" s="3" t="s">
        <v>578</v>
      </c>
      <c r="C27" s="3" t="s">
        <v>604</v>
      </c>
      <c r="D27" s="4" t="n">
        <f aca="false">SUMIFS(SPU监控与预算!$E:$E,SPU监控与预算!$A:$A,$A27)</f>
        <v>271360.02</v>
      </c>
      <c r="E27" s="5" t="n">
        <f aca="false">D27/规则参数!$B$8</f>
        <v>0.00830472157372491</v>
      </c>
      <c r="F27" s="4" t="n">
        <f aca="false">SUMIFS(SPU监控与预算!$G:$G,SPU监控与预算!$A:$A,$A27)</f>
        <v>40097.51</v>
      </c>
      <c r="G27" s="5" t="n">
        <f aca="false">F27/规则参数!$B$9</f>
        <v>0.00891231720783065</v>
      </c>
      <c r="H27" s="4" t="n">
        <f aca="false">SUMIFS(SPU监控与预算!$I:$I,SPU监控与预算!$A:$A,$A27)</f>
        <v>35422.04</v>
      </c>
      <c r="I27" s="5" t="n">
        <f aca="false">H27/规则参数!$B$10</f>
        <v>0.00731597646211257</v>
      </c>
      <c r="J27" s="6" t="n">
        <f aca="false">IFERROR(H27/D27,0)</f>
        <v>0.130535220332015</v>
      </c>
      <c r="K27" s="6" t="n">
        <f aca="false">IFERROR(F27/D27,0)</f>
        <v>0.147764987635246</v>
      </c>
      <c r="L27" s="3" t="n">
        <f aca="false">COUNTIFS(SPU监控与预算!$A:$A,$A27)</f>
        <v>1</v>
      </c>
      <c r="M27" s="4" t="n">
        <f aca="false">SUMIFS(SPU监控与预算!$W:$W,SPU监控与预算!$A:$A,$A27)</f>
        <v>4067.73592528185</v>
      </c>
      <c r="N27" s="4" t="n">
        <f aca="false">SUMIFS(SPU监控与预算!$X:$X,SPU监控与预算!$A:$A,$A27)</f>
        <v>4066.63839</v>
      </c>
    </row>
    <row r="28" customFormat="false" ht="15" hidden="false" customHeight="false" outlineLevel="0" collapsed="false">
      <c r="A28" s="3" t="s">
        <v>115</v>
      </c>
      <c r="B28" s="3" t="s">
        <v>578</v>
      </c>
      <c r="C28" s="3" t="s">
        <v>605</v>
      </c>
      <c r="D28" s="4" t="n">
        <f aca="false">SUMIFS(SPU监控与预算!$E:$E,SPU监控与预算!$A:$A,$A28)</f>
        <v>281390.22</v>
      </c>
      <c r="E28" s="5" t="n">
        <f aca="false">D28/规则参数!$B$8</f>
        <v>0.00861168653609769</v>
      </c>
      <c r="F28" s="4" t="n">
        <f aca="false">SUMIFS(SPU监控与预算!$G:$G,SPU监控与预算!$A:$A,$A28)</f>
        <v>33940.2</v>
      </c>
      <c r="G28" s="5" t="n">
        <f aca="false">F28/规则参数!$B$9</f>
        <v>0.00754375592143287</v>
      </c>
      <c r="H28" s="4" t="n">
        <f aca="false">SUMIFS(SPU监控与预算!$I:$I,SPU监控与预算!$A:$A,$A28)</f>
        <v>34379.96</v>
      </c>
      <c r="I28" s="5" t="n">
        <f aca="false">H28/规则参数!$B$10</f>
        <v>0.00710074795602884</v>
      </c>
      <c r="J28" s="6" t="n">
        <f aca="false">IFERROR(H28/D28,0)</f>
        <v>0.122178944243336</v>
      </c>
      <c r="K28" s="6" t="n">
        <f aca="false">IFERROR(F28/D28,0)</f>
        <v>0.120616132287753</v>
      </c>
      <c r="L28" s="3" t="n">
        <f aca="false">COUNTIFS(SPU监控与预算!$A:$A,$A28)</f>
        <v>2</v>
      </c>
      <c r="M28" s="4" t="n">
        <f aca="false">SUMIFS(SPU监控与预算!$W:$W,SPU监控与预算!$A:$A,$A28)</f>
        <v>3105.61241282476</v>
      </c>
      <c r="N28" s="4" t="n">
        <f aca="false">SUMIFS(SPU监控与预算!$X:$X,SPU监控与预算!$A:$A,$A28)</f>
        <v>3106.420626</v>
      </c>
    </row>
    <row r="29" customFormat="false" ht="15" hidden="false" customHeight="false" outlineLevel="0" collapsed="false">
      <c r="A29" s="3" t="s">
        <v>148</v>
      </c>
      <c r="B29" s="3" t="s">
        <v>578</v>
      </c>
      <c r="C29" s="3" t="s">
        <v>606</v>
      </c>
      <c r="D29" s="4" t="n">
        <f aca="false">SUMIFS(SPU监控与预算!$E:$E,SPU监控与预算!$A:$A,$A29)</f>
        <v>222954.6</v>
      </c>
      <c r="E29" s="5" t="n">
        <f aca="false">D29/规则参数!$B$8</f>
        <v>0.00682331861775809</v>
      </c>
      <c r="F29" s="4" t="n">
        <f aca="false">SUMIFS(SPU监控与预算!$G:$G,SPU监控与预算!$A:$A,$A29)</f>
        <v>28246.7</v>
      </c>
      <c r="G29" s="5" t="n">
        <f aca="false">F29/规则参数!$B$9</f>
        <v>0.00627828387534363</v>
      </c>
      <c r="H29" s="4" t="n">
        <f aca="false">SUMIFS(SPU监控与预算!$I:$I,SPU监控与预算!$A:$A,$A29)</f>
        <v>33463.36</v>
      </c>
      <c r="I29" s="5" t="n">
        <f aca="false">H29/规则参数!$B$10</f>
        <v>0.00691143576437719</v>
      </c>
      <c r="J29" s="6" t="n">
        <f aca="false">IFERROR(H29/D29,0)</f>
        <v>0.150090466848408</v>
      </c>
      <c r="K29" s="6" t="n">
        <f aca="false">IFERROR(F29/D29,0)</f>
        <v>0.126692609167965</v>
      </c>
      <c r="L29" s="3" t="n">
        <f aca="false">COUNTIFS(SPU监控与预算!$A:$A,$A29)</f>
        <v>2</v>
      </c>
      <c r="M29" s="4" t="n">
        <f aca="false">SUMIFS(SPU监控与预算!$W:$W,SPU监控与预算!$A:$A,$A29)</f>
        <v>3838.40894896505</v>
      </c>
      <c r="N29" s="4" t="n">
        <f aca="false">SUMIFS(SPU监控与预算!$X:$X,SPU监控与预算!$A:$A,$A29)</f>
        <v>3328.95646</v>
      </c>
    </row>
    <row r="30" customFormat="false" ht="15" hidden="false" customHeight="false" outlineLevel="0" collapsed="false">
      <c r="A30" s="3" t="s">
        <v>184</v>
      </c>
      <c r="B30" s="3" t="s">
        <v>578</v>
      </c>
      <c r="C30" s="3" t="s">
        <v>607</v>
      </c>
      <c r="D30" s="4" t="n">
        <f aca="false">SUMIFS(SPU监控与预算!$E:$E,SPU监控与预算!$A:$A,$A30)</f>
        <v>247807.96</v>
      </c>
      <c r="E30" s="5" t="n">
        <f aca="false">D30/规则参数!$B$8</f>
        <v>0.00758393263514928</v>
      </c>
      <c r="F30" s="4" t="n">
        <f aca="false">SUMIFS(SPU监控与预算!$G:$G,SPU监控与预算!$A:$A,$A30)</f>
        <v>39050.01</v>
      </c>
      <c r="G30" s="5" t="n">
        <f aca="false">F30/规则参数!$B$9</f>
        <v>0.00867949346702474</v>
      </c>
      <c r="H30" s="4" t="n">
        <f aca="false">SUMIFS(SPU监控与预算!$I:$I,SPU监控与预算!$A:$A,$A30)</f>
        <v>31268.17</v>
      </c>
      <c r="I30" s="5" t="n">
        <f aca="false">H30/规则参数!$B$10</f>
        <v>0.00645804690337808</v>
      </c>
      <c r="J30" s="6" t="n">
        <f aca="false">IFERROR(H30/D30,0)</f>
        <v>0.126179037993776</v>
      </c>
      <c r="K30" s="6" t="n">
        <f aca="false">IFERROR(F30/D30,0)</f>
        <v>0.157581741926288</v>
      </c>
      <c r="L30" s="3" t="n">
        <f aca="false">COUNTIFS(SPU监控与预算!$A:$A,$A30)</f>
        <v>5</v>
      </c>
      <c r="M30" s="4" t="n">
        <f aca="false">SUMIFS(SPU监控与预算!$W:$W,SPU监控与预算!$A:$A,$A30)</f>
        <v>4649.06258244006</v>
      </c>
      <c r="N30" s="4" t="n">
        <f aca="false">SUMIFS(SPU监控与预算!$X:$X,SPU监控与预算!$A:$A,$A30)</f>
        <v>4398.890539</v>
      </c>
    </row>
    <row r="31" customFormat="false" ht="15" hidden="false" customHeight="false" outlineLevel="0" collapsed="false">
      <c r="A31" s="3" t="s">
        <v>196</v>
      </c>
      <c r="B31" s="3" t="s">
        <v>586</v>
      </c>
      <c r="C31" s="3" t="s">
        <v>608</v>
      </c>
      <c r="D31" s="4" t="n">
        <f aca="false">SUMIFS(SPU监控与预算!$E:$E,SPU监控与预算!$A:$A,$A31)</f>
        <v>257103.73</v>
      </c>
      <c r="E31" s="5" t="n">
        <f aca="false">D31/规则参数!$B$8</f>
        <v>0.00786842104896715</v>
      </c>
      <c r="F31" s="4" t="n">
        <f aca="false">SUMIFS(SPU监控与预算!$G:$G,SPU监控与预算!$A:$A,$A31)</f>
        <v>18078.48</v>
      </c>
      <c r="G31" s="5" t="n">
        <f aca="false">F31/规则参数!$B$9</f>
        <v>0.00401823326175172</v>
      </c>
      <c r="H31" s="4" t="n">
        <f aca="false">SUMIFS(SPU监控与预算!$I:$I,SPU监控与预算!$A:$A,$A31)</f>
        <v>29731.62</v>
      </c>
      <c r="I31" s="5" t="n">
        <f aca="false">H31/规则参数!$B$10</f>
        <v>0.00614069184328388</v>
      </c>
      <c r="J31" s="6" t="n">
        <f aca="false">IFERROR(H31/D31,0)</f>
        <v>0.115640562663171</v>
      </c>
      <c r="K31" s="6" t="n">
        <f aca="false">IFERROR(F31/D31,0)</f>
        <v>0.0703158993453732</v>
      </c>
      <c r="L31" s="3" t="n">
        <f aca="false">COUNTIFS(SPU监控与预算!$A:$A,$A31)</f>
        <v>9</v>
      </c>
      <c r="M31" s="4" t="n">
        <f aca="false">SUMIFS(SPU监控与预算!$W:$W,SPU监控与预算!$A:$A,$A31)</f>
        <v>4477.71526974537</v>
      </c>
      <c r="N31" s="4" t="n">
        <f aca="false">SUMIFS(SPU监控与预算!$X:$X,SPU监控与预算!$A:$A,$A31)</f>
        <v>4136.402737</v>
      </c>
    </row>
    <row r="32" customFormat="false" ht="15" hidden="false" customHeight="false" outlineLevel="0" collapsed="false">
      <c r="A32" s="3" t="s">
        <v>123</v>
      </c>
      <c r="B32" s="3" t="s">
        <v>56</v>
      </c>
      <c r="C32" s="3" t="s">
        <v>609</v>
      </c>
      <c r="D32" s="4" t="n">
        <f aca="false">SUMIFS(SPU监控与预算!$E:$E,SPU监控与预算!$A:$A,$A32)</f>
        <v>300917.23</v>
      </c>
      <c r="E32" s="5" t="n">
        <f aca="false">D32/规则参数!$B$8</f>
        <v>0.00920929255491115</v>
      </c>
      <c r="F32" s="4" t="n">
        <f aca="false">SUMIFS(SPU监控与预算!$G:$G,SPU监控与预算!$A:$A,$A32)</f>
        <v>89554.13</v>
      </c>
      <c r="G32" s="5" t="n">
        <f aca="false">F32/规则参数!$B$9</f>
        <v>0.0199048473042666</v>
      </c>
      <c r="H32" s="4" t="n">
        <f aca="false">SUMIFS(SPU监控与预算!$I:$I,SPU监控与预算!$A:$A,$A32)</f>
        <v>26885.37</v>
      </c>
      <c r="I32" s="5" t="n">
        <f aca="false">H32/规则参数!$B$10</f>
        <v>0.00555283473496127</v>
      </c>
      <c r="J32" s="6" t="n">
        <f aca="false">IFERROR(H32/D32,0)</f>
        <v>0.0893447344307935</v>
      </c>
      <c r="K32" s="6" t="n">
        <f aca="false">IFERROR(F32/D32,0)</f>
        <v>0.297603862696729</v>
      </c>
      <c r="L32" s="3" t="n">
        <f aca="false">COUNTIFS(SPU监控与预算!$A:$A,$A32)</f>
        <v>1</v>
      </c>
      <c r="M32" s="4" t="n">
        <f aca="false">SUMIFS(SPU监控与预算!$W:$W,SPU监控与预算!$A:$A,$A32)</f>
        <v>2780.0150186548</v>
      </c>
      <c r="N32" s="4" t="n">
        <f aca="false">SUMIFS(SPU监控与预算!$X:$X,SPU监控与预算!$A:$A,$A32)</f>
        <v>3612.52116</v>
      </c>
    </row>
    <row r="33" customFormat="false" ht="15" hidden="false" customHeight="false" outlineLevel="0" collapsed="false">
      <c r="A33" s="3" t="s">
        <v>205</v>
      </c>
      <c r="B33" s="3" t="s">
        <v>586</v>
      </c>
      <c r="C33" s="3" t="s">
        <v>610</v>
      </c>
      <c r="D33" s="4" t="n">
        <f aca="false">SUMIFS(SPU监控与预算!$E:$E,SPU监控与预算!$A:$A,$A33)</f>
        <v>132067.7</v>
      </c>
      <c r="E33" s="5" t="n">
        <f aca="false">D33/规则参数!$B$8</f>
        <v>0.00404180939175281</v>
      </c>
      <c r="F33" s="4" t="n">
        <f aca="false">SUMIFS(SPU监控与预算!$G:$G,SPU监控与预算!$A:$A,$A33)</f>
        <v>9539.49</v>
      </c>
      <c r="G33" s="5" t="n">
        <f aca="false">F33/规则参数!$B$9</f>
        <v>0.00212030524790513</v>
      </c>
      <c r="H33" s="4" t="n">
        <f aca="false">SUMIFS(SPU监控与预算!$I:$I,SPU监控与预算!$A:$A,$A33)</f>
        <v>24793.01</v>
      </c>
      <c r="I33" s="5" t="n">
        <f aca="false">H33/规则参数!$B$10</f>
        <v>0.00512068411601708</v>
      </c>
      <c r="J33" s="6" t="n">
        <f aca="false">IFERROR(H33/D33,0)</f>
        <v>0.187729550828855</v>
      </c>
      <c r="K33" s="6" t="n">
        <f aca="false">IFERROR(F33/D33,0)</f>
        <v>0.0722318174693737</v>
      </c>
      <c r="L33" s="3" t="n">
        <f aca="false">COUNTIFS(SPU监控与预算!$A:$A,$A33)</f>
        <v>6</v>
      </c>
      <c r="M33" s="4" t="n">
        <f aca="false">SUMIFS(SPU监控与预算!$W:$W,SPU监控与预算!$A:$A,$A33)</f>
        <v>4110.81206124979</v>
      </c>
      <c r="N33" s="4" t="n">
        <f aca="false">SUMIFS(SPU监控与预算!$X:$X,SPU监控与预算!$A:$A,$A33)</f>
        <v>3539.193397</v>
      </c>
    </row>
    <row r="34" customFormat="false" ht="15" hidden="false" customHeight="false" outlineLevel="0" collapsed="false">
      <c r="A34" s="3" t="s">
        <v>160</v>
      </c>
      <c r="B34" s="3" t="s">
        <v>578</v>
      </c>
      <c r="C34" s="3" t="s">
        <v>611</v>
      </c>
      <c r="D34" s="4" t="n">
        <f aca="false">SUMIFS(SPU监控与预算!$E:$E,SPU监控与预算!$A:$A,$A34)</f>
        <v>193380.3</v>
      </c>
      <c r="E34" s="5" t="n">
        <f aca="false">D34/规则参数!$B$8</f>
        <v>0.0059182246129824</v>
      </c>
      <c r="F34" s="4" t="n">
        <f aca="false">SUMIFS(SPU监控与预算!$G:$G,SPU监控与预算!$A:$A,$A34)</f>
        <v>28277.75</v>
      </c>
      <c r="G34" s="5" t="n">
        <f aca="false">F34/规则参数!$B$9</f>
        <v>0.00628518523777993</v>
      </c>
      <c r="H34" s="4" t="n">
        <f aca="false">SUMIFS(SPU监控与预算!$I:$I,SPU监控与预算!$A:$A,$A34)</f>
        <v>24506.63</v>
      </c>
      <c r="I34" s="5" t="n">
        <f aca="false">H34/规则参数!$B$10</f>
        <v>0.00506153593202712</v>
      </c>
      <c r="J34" s="6" t="n">
        <f aca="false">IFERROR(H34/D34,0)</f>
        <v>0.126727644956596</v>
      </c>
      <c r="K34" s="6" t="n">
        <f aca="false">IFERROR(F34/D34,0)</f>
        <v>0.146228700648411</v>
      </c>
      <c r="L34" s="3" t="n">
        <f aca="false">COUNTIFS(SPU监控与预算!$A:$A,$A34)</f>
        <v>3</v>
      </c>
      <c r="M34" s="4" t="n">
        <f aca="false">SUMIFS(SPU监控与预算!$W:$W,SPU监控与预算!$A:$A,$A34)</f>
        <v>2096.02340972298</v>
      </c>
      <c r="N34" s="4" t="n">
        <f aca="false">SUMIFS(SPU监控与预算!$X:$X,SPU监控与预算!$A:$A,$A34)</f>
        <v>1924.305016</v>
      </c>
    </row>
    <row r="35" customFormat="false" ht="15" hidden="false" customHeight="false" outlineLevel="0" collapsed="false">
      <c r="A35" s="3" t="s">
        <v>223</v>
      </c>
      <c r="B35" s="3" t="s">
        <v>586</v>
      </c>
      <c r="C35" s="3" t="s">
        <v>612</v>
      </c>
      <c r="D35" s="4" t="n">
        <f aca="false">SUMIFS(SPU监控与预算!$E:$E,SPU监控与预算!$A:$A,$A35)</f>
        <v>110084.47</v>
      </c>
      <c r="E35" s="5" t="n">
        <f aca="false">D35/规则参数!$B$8</f>
        <v>0.00336903303935883</v>
      </c>
      <c r="F35" s="4" t="n">
        <f aca="false">SUMIFS(SPU监控与预算!$G:$G,SPU监控与预算!$A:$A,$A35)</f>
        <v>9863.16</v>
      </c>
      <c r="G35" s="5" t="n">
        <f aca="false">F35/规则参数!$B$9</f>
        <v>0.0021922461168184</v>
      </c>
      <c r="H35" s="4" t="n">
        <f aca="false">SUMIFS(SPU监控与预算!$I:$I,SPU监控与预算!$A:$A,$A35)</f>
        <v>20227.91</v>
      </c>
      <c r="I35" s="5" t="n">
        <f aca="false">H35/规则参数!$B$10</f>
        <v>0.00417782017742997</v>
      </c>
      <c r="J35" s="6" t="n">
        <f aca="false">IFERROR(H35/D35,0)</f>
        <v>0.183748988390461</v>
      </c>
      <c r="K35" s="6" t="n">
        <f aca="false">IFERROR(F35/D35,0)</f>
        <v>0.0895962891041761</v>
      </c>
      <c r="L35" s="3" t="n">
        <f aca="false">COUNTIFS(SPU监控与预算!$A:$A,$A35)</f>
        <v>3</v>
      </c>
      <c r="M35" s="4" t="n">
        <f aca="false">SUMIFS(SPU监控与预算!$W:$W,SPU监控与预算!$A:$A,$A35)</f>
        <v>1897.75023065793</v>
      </c>
      <c r="N35" s="4" t="n">
        <f aca="false">SUMIFS(SPU监控与预算!$X:$X,SPU监控与预算!$A:$A,$A35)</f>
        <v>1611.8701</v>
      </c>
    </row>
    <row r="36" customFormat="false" ht="15" hidden="false" customHeight="false" outlineLevel="0" collapsed="false">
      <c r="A36" s="3" t="s">
        <v>163</v>
      </c>
      <c r="B36" s="3" t="s">
        <v>46</v>
      </c>
      <c r="C36" s="3" t="s">
        <v>613</v>
      </c>
      <c r="D36" s="4" t="n">
        <f aca="false">SUMIFS(SPU监控与预算!$E:$E,SPU监控与预算!$A:$A,$A36)</f>
        <v>137287.78</v>
      </c>
      <c r="E36" s="5" t="n">
        <f aca="false">D36/规则参数!$B$8</f>
        <v>0.00420156509560546</v>
      </c>
      <c r="F36" s="4" t="n">
        <f aca="false">SUMIFS(SPU监控与预算!$G:$G,SPU监控与预算!$A:$A,$A36)</f>
        <v>17043.6</v>
      </c>
      <c r="G36" s="5" t="n">
        <f aca="false">F36/规则参数!$B$9</f>
        <v>0.00378821451914053</v>
      </c>
      <c r="H36" s="4" t="n">
        <f aca="false">SUMIFS(SPU监控与预算!$I:$I,SPU监控与预算!$A:$A,$A36)</f>
        <v>18119.99</v>
      </c>
      <c r="I36" s="5" t="n">
        <f aca="false">H36/规则参数!$B$10</f>
        <v>0.00374245583635824</v>
      </c>
      <c r="J36" s="6" t="n">
        <f aca="false">IFERROR(H36/D36,0)</f>
        <v>0.1319854542043</v>
      </c>
      <c r="K36" s="6" t="n">
        <f aca="false">IFERROR(F36/D36,0)</f>
        <v>0.124145062291779</v>
      </c>
      <c r="L36" s="3" t="n">
        <f aca="false">COUNTIFS(SPU监控与预算!$A:$A,$A36)</f>
        <v>1</v>
      </c>
      <c r="M36" s="4" t="n">
        <f aca="false">SUMIFS(SPU监控与预算!$W:$W,SPU监控与预算!$A:$A,$A36)</f>
        <v>1872.17275239719</v>
      </c>
      <c r="N36" s="4" t="n">
        <f aca="false">SUMIFS(SPU监控与预算!$X:$X,SPU监控与预算!$A:$A,$A36)</f>
        <v>1872.37908</v>
      </c>
    </row>
    <row r="37" customFormat="false" ht="15" hidden="false" customHeight="false" outlineLevel="0" collapsed="false">
      <c r="A37" s="3" t="s">
        <v>238</v>
      </c>
      <c r="B37" s="3" t="s">
        <v>46</v>
      </c>
      <c r="C37" s="3" t="s">
        <v>614</v>
      </c>
      <c r="D37" s="4" t="n">
        <f aca="false">SUMIFS(SPU监控与预算!$E:$E,SPU监控与预算!$A:$A,$A37)</f>
        <v>181053.77</v>
      </c>
      <c r="E37" s="5" t="n">
        <f aca="false">D37/规则参数!$B$8</f>
        <v>0.0055409826020916</v>
      </c>
      <c r="F37" s="4" t="n">
        <f aca="false">SUMIFS(SPU监控与预算!$G:$G,SPU监控与预算!$A:$A,$A37)</f>
        <v>22070.61</v>
      </c>
      <c r="G37" s="5" t="n">
        <f aca="false">F37/规则参数!$B$9</f>
        <v>0.00490554843156892</v>
      </c>
      <c r="H37" s="4" t="n">
        <f aca="false">SUMIFS(SPU监控与预算!$I:$I,SPU监控与预算!$A:$A,$A37)</f>
        <v>18003.16</v>
      </c>
      <c r="I37" s="5" t="n">
        <f aca="false">H37/规则参数!$B$10</f>
        <v>0.00371832607053819</v>
      </c>
      <c r="J37" s="6" t="n">
        <f aca="false">IFERROR(H37/D37,0)</f>
        <v>0.0994354329103448</v>
      </c>
      <c r="K37" s="6" t="n">
        <f aca="false">IFERROR(F37/D37,0)</f>
        <v>0.121900858512916</v>
      </c>
      <c r="L37" s="3" t="n">
        <f aca="false">COUNTIFS(SPU监控与预算!$A:$A,$A37)</f>
        <v>2</v>
      </c>
      <c r="M37" s="4" t="n">
        <f aca="false">SUMIFS(SPU监控与预算!$W:$W,SPU监控与预算!$A:$A,$A37)</f>
        <v>854.047069726422</v>
      </c>
      <c r="N37" s="4" t="n">
        <f aca="false">SUMIFS(SPU监控与预算!$X:$X,SPU监控与预算!$A:$A,$A37)</f>
        <v>854.3817</v>
      </c>
    </row>
    <row r="38" customFormat="false" ht="15" hidden="false" customHeight="false" outlineLevel="0" collapsed="false">
      <c r="A38" s="3" t="s">
        <v>171</v>
      </c>
      <c r="B38" s="3" t="s">
        <v>578</v>
      </c>
      <c r="C38" s="3" t="s">
        <v>615</v>
      </c>
      <c r="D38" s="4" t="n">
        <f aca="false">SUMIFS(SPU监控与预算!$E:$E,SPU监控与预算!$A:$A,$A38)</f>
        <v>109200.6</v>
      </c>
      <c r="E38" s="5" t="n">
        <f aca="false">D38/规则参数!$B$8</f>
        <v>0.00334198301829321</v>
      </c>
      <c r="F38" s="4" t="n">
        <f aca="false">SUMIFS(SPU监控与预算!$G:$G,SPU监控与预算!$A:$A,$A38)</f>
        <v>8875.52</v>
      </c>
      <c r="G38" s="5" t="n">
        <f aca="false">F38/规则参数!$B$9</f>
        <v>0.00197272722481882</v>
      </c>
      <c r="H38" s="4" t="n">
        <f aca="false">SUMIFS(SPU监控与预算!$I:$I,SPU监控与预算!$A:$A,$A38)</f>
        <v>16960.62</v>
      </c>
      <c r="I38" s="5" t="n">
        <f aca="false">H38/规则参数!$B$10</f>
        <v>0.00350300255724503</v>
      </c>
      <c r="J38" s="6" t="n">
        <f aca="false">IFERROR(H38/D38,0)</f>
        <v>0.155316179581431</v>
      </c>
      <c r="K38" s="6" t="n">
        <f aca="false">IFERROR(F38/D38,0)</f>
        <v>0.0812772090995837</v>
      </c>
      <c r="L38" s="3" t="n">
        <f aca="false">COUNTIFS(SPU监控与预算!$A:$A,$A38)</f>
        <v>2</v>
      </c>
      <c r="M38" s="4" t="n">
        <f aca="false">SUMIFS(SPU监控与预算!$W:$W,SPU监控与预算!$A:$A,$A38)</f>
        <v>1116.35778563842</v>
      </c>
      <c r="N38" s="4" t="n">
        <f aca="false">SUMIFS(SPU监控与预算!$X:$X,SPU监控与预算!$A:$A,$A38)</f>
        <v>982.38448</v>
      </c>
    </row>
    <row r="39" customFormat="false" ht="15" hidden="false" customHeight="false" outlineLevel="0" collapsed="false">
      <c r="A39" s="3" t="s">
        <v>227</v>
      </c>
      <c r="B39" s="3" t="s">
        <v>586</v>
      </c>
      <c r="C39" s="3" t="s">
        <v>616</v>
      </c>
      <c r="D39" s="4" t="n">
        <f aca="false">SUMIFS(SPU监控与预算!$E:$E,SPU监控与预算!$A:$A,$A39)</f>
        <v>78066.35</v>
      </c>
      <c r="E39" s="5" t="n">
        <f aca="false">D39/规则参数!$B$8</f>
        <v>0.00238914819149468</v>
      </c>
      <c r="F39" s="4" t="n">
        <f aca="false">SUMIFS(SPU监控与预算!$G:$G,SPU监控与预算!$A:$A,$A39)</f>
        <v>-6850.72</v>
      </c>
      <c r="G39" s="5" t="n">
        <f aca="false">F39/规则参数!$B$9</f>
        <v>-0.00152268282349776</v>
      </c>
      <c r="H39" s="4" t="n">
        <f aca="false">SUMIFS(SPU监控与预算!$I:$I,SPU监控与预算!$A:$A,$A39)</f>
        <v>16599.6</v>
      </c>
      <c r="I39" s="5" t="n">
        <f aca="false">H39/规则参数!$B$10</f>
        <v>0.00342843842083866</v>
      </c>
      <c r="J39" s="6" t="n">
        <f aca="false">IFERROR(H39/D39,0)</f>
        <v>0.21263450897858</v>
      </c>
      <c r="K39" s="6" t="n">
        <f aca="false">IFERROR(F39/D39,0)</f>
        <v>-0.0877550955052977</v>
      </c>
      <c r="L39" s="3" t="n">
        <f aca="false">COUNTIFS(SPU监控与预算!$A:$A,$A39)</f>
        <v>3</v>
      </c>
      <c r="M39" s="4" t="n">
        <f aca="false">SUMIFS(SPU监控与预算!$W:$W,SPU监控与预算!$A:$A,$A39)</f>
        <v>2773.70237345721</v>
      </c>
      <c r="N39" s="4" t="n">
        <f aca="false">SUMIFS(SPU监控与预算!$X:$X,SPU监控与预算!$A:$A,$A39)</f>
        <v>1414.77232</v>
      </c>
    </row>
    <row r="40" customFormat="false" ht="15" hidden="false" customHeight="false" outlineLevel="0" collapsed="false">
      <c r="A40" s="3" t="s">
        <v>179</v>
      </c>
      <c r="B40" s="3" t="s">
        <v>586</v>
      </c>
      <c r="C40" s="3" t="s">
        <v>617</v>
      </c>
      <c r="D40" s="4" t="n">
        <f aca="false">SUMIFS(SPU监控与预算!$E:$E,SPU监控与预算!$A:$A,$A40)</f>
        <v>151929.9</v>
      </c>
      <c r="E40" s="5" t="n">
        <f aca="false">D40/规则参数!$B$8</f>
        <v>0.00464967358943985</v>
      </c>
      <c r="F40" s="4" t="n">
        <f aca="false">SUMIFS(SPU监控与预算!$G:$G,SPU监控与预算!$A:$A,$A40)</f>
        <v>6148.52</v>
      </c>
      <c r="G40" s="5" t="n">
        <f aca="false">F40/规则参数!$B$9</f>
        <v>0.00136660756736992</v>
      </c>
      <c r="H40" s="4" t="n">
        <f aca="false">SUMIFS(SPU监控与预算!$I:$I,SPU监控与预算!$A:$A,$A40)</f>
        <v>16357.91</v>
      </c>
      <c r="I40" s="5" t="n">
        <f aca="false">H40/规则参数!$B$10</f>
        <v>0.00337852039378183</v>
      </c>
      <c r="J40" s="6" t="n">
        <f aca="false">IFERROR(H40/D40,0)</f>
        <v>0.107667483490741</v>
      </c>
      <c r="K40" s="6" t="n">
        <f aca="false">IFERROR(F40/D40,0)</f>
        <v>0.0404694533465763</v>
      </c>
      <c r="L40" s="3" t="n">
        <f aca="false">COUNTIFS(SPU监控与预算!$A:$A,$A40)</f>
        <v>10</v>
      </c>
      <c r="M40" s="4" t="n">
        <f aca="false">SUMIFS(SPU监控与预算!$W:$W,SPU监控与预算!$A:$A,$A40)</f>
        <v>1366.82544291825</v>
      </c>
      <c r="N40" s="4" t="n">
        <f aca="false">SUMIFS(SPU监控与预算!$X:$X,SPU监控与预算!$A:$A,$A40)</f>
        <v>1292.443045</v>
      </c>
    </row>
    <row r="41" customFormat="false" ht="15" hidden="false" customHeight="false" outlineLevel="0" collapsed="false">
      <c r="A41" s="3" t="s">
        <v>182</v>
      </c>
      <c r="B41" s="3" t="s">
        <v>586</v>
      </c>
      <c r="C41" s="3" t="s">
        <v>618</v>
      </c>
      <c r="D41" s="4" t="n">
        <f aca="false">SUMIFS(SPU监控与预算!$E:$E,SPU监控与预算!$A:$A,$A41)</f>
        <v>126292.99</v>
      </c>
      <c r="E41" s="5" t="n">
        <f aca="false">D41/规则参数!$B$8</f>
        <v>0.00386507975148006</v>
      </c>
      <c r="F41" s="4" t="n">
        <f aca="false">SUMIFS(SPU监控与预算!$G:$G,SPU监控与预算!$A:$A,$A41)</f>
        <v>7737.53</v>
      </c>
      <c r="G41" s="5" t="n">
        <f aca="false">F41/规则参数!$B$9</f>
        <v>0.00171979062453269</v>
      </c>
      <c r="H41" s="4" t="n">
        <f aca="false">SUMIFS(SPU监控与预算!$I:$I,SPU监控与预算!$A:$A,$A41)</f>
        <v>16256.21</v>
      </c>
      <c r="I41" s="5" t="n">
        <f aca="false">H41/规则参数!$B$10</f>
        <v>0.00335751553900224</v>
      </c>
      <c r="J41" s="6" t="n">
        <f aca="false">IFERROR(H41/D41,0)</f>
        <v>0.128718228937331</v>
      </c>
      <c r="K41" s="6" t="n">
        <f aca="false">IFERROR(F41/D41,0)</f>
        <v>0.0612665041820611</v>
      </c>
      <c r="L41" s="3" t="n">
        <f aca="false">COUNTIFS(SPU监控与预算!$A:$A,$A41)</f>
        <v>2</v>
      </c>
      <c r="M41" s="4" t="n">
        <f aca="false">SUMIFS(SPU监控与预算!$W:$W,SPU监控与预算!$A:$A,$A41)</f>
        <v>3907.69105361651</v>
      </c>
      <c r="N41" s="4" t="n">
        <f aca="false">SUMIFS(SPU监控与预算!$X:$X,SPU监控与预算!$A:$A,$A41)</f>
        <v>3179.470125</v>
      </c>
    </row>
    <row r="42" customFormat="false" ht="15" hidden="false" customHeight="false" outlineLevel="0" collapsed="false">
      <c r="A42" s="3" t="s">
        <v>173</v>
      </c>
      <c r="B42" s="3" t="s">
        <v>46</v>
      </c>
      <c r="C42" s="3" t="s">
        <v>619</v>
      </c>
      <c r="D42" s="4" t="n">
        <f aca="false">SUMIFS(SPU监控与预算!$E:$E,SPU监控与预算!$A:$A,$A42)</f>
        <v>73817.39</v>
      </c>
      <c r="E42" s="5" t="n">
        <f aca="false">D42/规则参数!$B$8</f>
        <v>0.00225911271398442</v>
      </c>
      <c r="F42" s="4" t="n">
        <f aca="false">SUMIFS(SPU监控与预算!$G:$G,SPU监控与预算!$A:$A,$A42)</f>
        <v>7182.38</v>
      </c>
      <c r="G42" s="5" t="n">
        <f aca="false">F42/规则参数!$B$9</f>
        <v>0.00159639959855808</v>
      </c>
      <c r="H42" s="4" t="n">
        <f aca="false">SUMIFS(SPU监控与预算!$I:$I,SPU监控与预算!$A:$A,$A42)</f>
        <v>16028.59</v>
      </c>
      <c r="I42" s="5" t="n">
        <f aca="false">H42/规则参数!$B$10</f>
        <v>0.00331050349332938</v>
      </c>
      <c r="J42" s="6" t="n">
        <f aca="false">IFERROR(H42/D42,0)</f>
        <v>0.217138400585553</v>
      </c>
      <c r="K42" s="6" t="n">
        <f aca="false">IFERROR(F42/D42,0)</f>
        <v>0.0972992949222399</v>
      </c>
      <c r="L42" s="3" t="n">
        <f aca="false">COUNTIFS(SPU监控与预算!$A:$A,$A42)</f>
        <v>2</v>
      </c>
      <c r="M42" s="4" t="n">
        <f aca="false">SUMIFS(SPU监控与预算!$W:$W,SPU监控与预算!$A:$A,$A42)</f>
        <v>2856.26819790487</v>
      </c>
      <c r="N42" s="4" t="n">
        <f aca="false">SUMIFS(SPU监控与预算!$X:$X,SPU监控与预算!$A:$A,$A42)</f>
        <v>2855.71314</v>
      </c>
    </row>
    <row r="43" customFormat="false" ht="15" hidden="false" customHeight="false" outlineLevel="0" collapsed="false">
      <c r="A43" s="3" t="s">
        <v>225</v>
      </c>
      <c r="B43" s="3" t="s">
        <v>56</v>
      </c>
      <c r="C43" s="3" t="s">
        <v>620</v>
      </c>
      <c r="D43" s="4" t="n">
        <f aca="false">SUMIFS(SPU监控与预算!$E:$E,SPU监控与预算!$A:$A,$A43)</f>
        <v>136802.94</v>
      </c>
      <c r="E43" s="5" t="n">
        <f aca="false">D43/规则参数!$B$8</f>
        <v>0.00418672701736606</v>
      </c>
      <c r="F43" s="4" t="n">
        <f aca="false">SUMIFS(SPU监控与预算!$G:$G,SPU监控与预算!$A:$A,$A43)</f>
        <v>22860.61</v>
      </c>
      <c r="G43" s="5" t="n">
        <f aca="false">F43/规则参数!$B$9</f>
        <v>0.00508113865136527</v>
      </c>
      <c r="H43" s="4" t="n">
        <f aca="false">SUMIFS(SPU监控与预算!$I:$I,SPU监控与预算!$A:$A,$A43)</f>
        <v>15626.58</v>
      </c>
      <c r="I43" s="5" t="n">
        <f aca="false">H43/规则参数!$B$10</f>
        <v>0.00322747338841352</v>
      </c>
      <c r="J43" s="6" t="n">
        <f aca="false">IFERROR(H43/D43,0)</f>
        <v>0.114226931087885</v>
      </c>
      <c r="K43" s="6" t="n">
        <f aca="false">IFERROR(F43/D43,0)</f>
        <v>0.167106130906251</v>
      </c>
      <c r="L43" s="3" t="n">
        <f aca="false">COUNTIFS(SPU监控与预算!$A:$A,$A43)</f>
        <v>3</v>
      </c>
      <c r="M43" s="4" t="n">
        <f aca="false">SUMIFS(SPU监控与预算!$W:$W,SPU监控与预算!$A:$A,$A43)</f>
        <v>2745.59863209494</v>
      </c>
      <c r="N43" s="4" t="n">
        <f aca="false">SUMIFS(SPU监控与预算!$X:$X,SPU监控与预算!$A:$A,$A43)</f>
        <v>2800.763719</v>
      </c>
    </row>
    <row r="44" customFormat="false" ht="15" hidden="false" customHeight="false" outlineLevel="0" collapsed="false">
      <c r="A44" s="3" t="s">
        <v>327</v>
      </c>
      <c r="B44" s="3" t="s">
        <v>586</v>
      </c>
      <c r="C44" s="3" t="s">
        <v>621</v>
      </c>
      <c r="D44" s="4" t="n">
        <f aca="false">SUMIFS(SPU监控与预算!$E:$E,SPU监控与预算!$A:$A,$A44)</f>
        <v>85434.91</v>
      </c>
      <c r="E44" s="5" t="n">
        <f aca="false">D44/规则参数!$B$8</f>
        <v>0.00261465613182902</v>
      </c>
      <c r="F44" s="4" t="n">
        <f aca="false">SUMIFS(SPU监控与预算!$G:$G,SPU监控与预算!$A:$A,$A44)</f>
        <v>7966.39</v>
      </c>
      <c r="G44" s="5" t="n">
        <f aca="false">F44/规则参数!$B$9</f>
        <v>0.00177065844440939</v>
      </c>
      <c r="H44" s="4" t="n">
        <f aca="false">SUMIFS(SPU监控与预算!$I:$I,SPU监控与预算!$A:$A,$A44)</f>
        <v>14239.57</v>
      </c>
      <c r="I44" s="5" t="n">
        <f aca="false">H44/规则参数!$B$10</f>
        <v>0.0029410039328792</v>
      </c>
      <c r="J44" s="6" t="n">
        <f aca="false">IFERROR(H44/D44,0)</f>
        <v>0.166671563181842</v>
      </c>
      <c r="K44" s="6" t="n">
        <f aca="false">IFERROR(F44/D44,0)</f>
        <v>0.0932451383164095</v>
      </c>
      <c r="L44" s="3" t="n">
        <f aca="false">COUNTIFS(SPU监控与预算!$A:$A,$A44)</f>
        <v>6</v>
      </c>
      <c r="M44" s="4" t="n">
        <f aca="false">SUMIFS(SPU监控与预算!$W:$W,SPU监控与预算!$A:$A,$A44)</f>
        <v>2309.85215857614</v>
      </c>
      <c r="N44" s="4" t="n">
        <f aca="false">SUMIFS(SPU监控与预算!$X:$X,SPU监控与预算!$A:$A,$A44)</f>
        <v>2103.755241</v>
      </c>
    </row>
    <row r="45" customFormat="false" ht="15" hidden="false" customHeight="false" outlineLevel="0" collapsed="false">
      <c r="A45" s="3" t="s">
        <v>187</v>
      </c>
      <c r="B45" s="3" t="s">
        <v>586</v>
      </c>
      <c r="C45" s="3" t="s">
        <v>622</v>
      </c>
      <c r="D45" s="4" t="n">
        <f aca="false">SUMIFS(SPU监控与预算!$E:$E,SPU监控与预算!$A:$A,$A45)</f>
        <v>64579.38</v>
      </c>
      <c r="E45" s="5" t="n">
        <f aca="false">D45/规则参数!$B$8</f>
        <v>0.00197639199136181</v>
      </c>
      <c r="F45" s="4" t="n">
        <f aca="false">SUMIFS(SPU监控与预算!$G:$G,SPU监控与预算!$A:$A,$A45)</f>
        <v>4849.17</v>
      </c>
      <c r="G45" s="5" t="n">
        <f aca="false">F45/规则参数!$B$9</f>
        <v>0.00107780610902513</v>
      </c>
      <c r="H45" s="4" t="n">
        <f aca="false">SUMIFS(SPU监控与预算!$I:$I,SPU监控与预算!$A:$A,$A45)</f>
        <v>13029.07</v>
      </c>
      <c r="I45" s="5" t="n">
        <f aca="false">H45/规则参数!$B$10</f>
        <v>0.00269099039590089</v>
      </c>
      <c r="J45" s="6" t="n">
        <f aca="false">IFERROR(H45/D45,0)</f>
        <v>0.201752788583601</v>
      </c>
      <c r="K45" s="6" t="n">
        <f aca="false">IFERROR(F45/D45,0)</f>
        <v>0.0750885189668901</v>
      </c>
      <c r="L45" s="3" t="n">
        <f aca="false">COUNTIFS(SPU监控与预算!$A:$A,$A45)</f>
        <v>1</v>
      </c>
      <c r="M45" s="4" t="n">
        <f aca="false">SUMIFS(SPU监控与预算!$W:$W,SPU监控与预算!$A:$A,$A45)</f>
        <v>567.189632072962</v>
      </c>
      <c r="N45" s="4" t="n">
        <f aca="false">SUMIFS(SPU监控与预算!$X:$X,SPU监控与预算!$A:$A,$A45)</f>
        <v>497.039608</v>
      </c>
    </row>
    <row r="46" customFormat="false" ht="15" hidden="false" customHeight="false" outlineLevel="0" collapsed="false">
      <c r="A46" s="3" t="s">
        <v>192</v>
      </c>
      <c r="B46" s="3" t="s">
        <v>578</v>
      </c>
      <c r="C46" s="3" t="s">
        <v>623</v>
      </c>
      <c r="D46" s="4" t="n">
        <f aca="false">SUMIFS(SPU监控与预算!$E:$E,SPU监控与预算!$A:$A,$A46)</f>
        <v>158519.6</v>
      </c>
      <c r="E46" s="5" t="n">
        <f aca="false">D46/规则参数!$B$8</f>
        <v>0.00485134524230299</v>
      </c>
      <c r="F46" s="4" t="n">
        <f aca="false">SUMIFS(SPU监控与预算!$G:$G,SPU监控与预算!$A:$A,$A46)</f>
        <v>43497.82</v>
      </c>
      <c r="G46" s="5" t="n">
        <f aca="false">F46/规则参数!$B$9</f>
        <v>0.00966809085374928</v>
      </c>
      <c r="H46" s="4" t="n">
        <f aca="false">SUMIFS(SPU监控与预算!$I:$I,SPU监控与预算!$A:$A,$A46)</f>
        <v>12962.33</v>
      </c>
      <c r="I46" s="5" t="n">
        <f aca="false">H46/规则参数!$B$10</f>
        <v>0.00267720608903766</v>
      </c>
      <c r="J46" s="6" t="n">
        <f aca="false">IFERROR(H46/D46,0)</f>
        <v>0.0817711500659855</v>
      </c>
      <c r="K46" s="6" t="n">
        <f aca="false">IFERROR(F46/D46,0)</f>
        <v>0.274400263437455</v>
      </c>
      <c r="L46" s="3" t="n">
        <f aca="false">COUNTIFS(SPU监控与预算!$A:$A,$A46)</f>
        <v>1</v>
      </c>
      <c r="M46" s="4" t="n">
        <f aca="false">SUMIFS(SPU监控与预算!$W:$W,SPU监控与预算!$A:$A,$A46)</f>
        <v>19.3944813726504</v>
      </c>
      <c r="N46" s="4" t="n">
        <f aca="false">SUMIFS(SPU监控与预算!$X:$X,SPU监控与预算!$A:$A,$A46)</f>
        <v>19.401324</v>
      </c>
    </row>
    <row r="47" customFormat="false" ht="15" hidden="false" customHeight="false" outlineLevel="0" collapsed="false">
      <c r="A47" s="3" t="s">
        <v>201</v>
      </c>
      <c r="B47" s="3" t="s">
        <v>586</v>
      </c>
      <c r="C47" s="3" t="s">
        <v>624</v>
      </c>
      <c r="D47" s="4" t="n">
        <f aca="false">SUMIFS(SPU监控与预算!$E:$E,SPU监控与预算!$A:$A,$A47)</f>
        <v>55678.72</v>
      </c>
      <c r="E47" s="5" t="n">
        <f aca="false">D47/规则参数!$B$8</f>
        <v>0.00170399555240816</v>
      </c>
      <c r="F47" s="4" t="n">
        <f aca="false">SUMIFS(SPU监控与预算!$G:$G,SPU监控与预算!$A:$A,$A47)</f>
        <v>-1195.17</v>
      </c>
      <c r="G47" s="5" t="n">
        <f aca="false">F47/规则参数!$B$9</f>
        <v>-0.000265645775941772</v>
      </c>
      <c r="H47" s="4" t="n">
        <f aca="false">SUMIFS(SPU监控与预算!$I:$I,SPU监控与预算!$A:$A,$A47)</f>
        <v>12325.73</v>
      </c>
      <c r="I47" s="5" t="n">
        <f aca="false">H47/规则参数!$B$10</f>
        <v>0.00254572437268872</v>
      </c>
      <c r="J47" s="6" t="n">
        <f aca="false">IFERROR(H47/D47,0)</f>
        <v>0.221372366318766</v>
      </c>
      <c r="K47" s="6" t="n">
        <f aca="false">IFERROR(F47/D47,0)</f>
        <v>-0.0214654719074002</v>
      </c>
      <c r="L47" s="3" t="n">
        <f aca="false">COUNTIFS(SPU监控与预算!$A:$A,$A47)</f>
        <v>1</v>
      </c>
      <c r="M47" s="4" t="n">
        <f aca="false">SUMIFS(SPU监控与预算!$W:$W,SPU监控与预算!$A:$A,$A47)</f>
        <v>1949.35192843514</v>
      </c>
      <c r="N47" s="4" t="n">
        <f aca="false">SUMIFS(SPU监控与预算!$X:$X,SPU监控与预算!$A:$A,$A47)</f>
        <v>879.695424</v>
      </c>
    </row>
    <row r="48" customFormat="false" ht="15" hidden="false" customHeight="false" outlineLevel="0" collapsed="false">
      <c r="A48" s="3" t="s">
        <v>220</v>
      </c>
      <c r="B48" s="3" t="s">
        <v>578</v>
      </c>
      <c r="C48" s="3" t="s">
        <v>625</v>
      </c>
      <c r="D48" s="4" t="n">
        <f aca="false">SUMIFS(SPU监控与预算!$E:$E,SPU监控与预算!$A:$A,$A48)</f>
        <v>108409.62</v>
      </c>
      <c r="E48" s="5" t="n">
        <f aca="false">D48/规则参数!$B$8</f>
        <v>0.00331777580947009</v>
      </c>
      <c r="F48" s="4" t="n">
        <f aca="false">SUMIFS(SPU监控与预算!$G:$G,SPU监控与预算!$A:$A,$A48)</f>
        <v>24869.73</v>
      </c>
      <c r="G48" s="5" t="n">
        <f aca="false">F48/规则参数!$B$9</f>
        <v>0.00552769792022253</v>
      </c>
      <c r="H48" s="4" t="n">
        <f aca="false">SUMIFS(SPU监控与预算!$I:$I,SPU监控与预算!$A:$A,$A48)</f>
        <v>11375.95</v>
      </c>
      <c r="I48" s="5" t="n">
        <f aca="false">H48/规则参数!$B$10</f>
        <v>0.0023495592697137</v>
      </c>
      <c r="J48" s="6" t="n">
        <f aca="false">IFERROR(H48/D48,0)</f>
        <v>0.10493487570568</v>
      </c>
      <c r="K48" s="6" t="n">
        <f aca="false">IFERROR(F48/D48,0)</f>
        <v>0.229405194852634</v>
      </c>
      <c r="L48" s="3" t="n">
        <f aca="false">COUNTIFS(SPU监控与预算!$A:$A,$A48)</f>
        <v>2</v>
      </c>
      <c r="M48" s="4" t="n">
        <f aca="false">SUMIFS(SPU监控与预算!$W:$W,SPU监控与预算!$A:$A,$A48)</f>
        <v>1015.22727715556</v>
      </c>
      <c r="N48" s="4" t="n">
        <f aca="false">SUMIFS(SPU监控与预算!$X:$X,SPU监控与预算!$A:$A,$A48)</f>
        <v>991.519605</v>
      </c>
    </row>
    <row r="49" customFormat="false" ht="15" hidden="false" customHeight="false" outlineLevel="0" collapsed="false">
      <c r="A49" s="3" t="s">
        <v>212</v>
      </c>
      <c r="B49" s="3" t="s">
        <v>578</v>
      </c>
      <c r="C49" s="3" t="s">
        <v>626</v>
      </c>
      <c r="D49" s="4" t="n">
        <f aca="false">SUMIFS(SPU监控与预算!$E:$E,SPU监控与预算!$A:$A,$A49)</f>
        <v>72026.24</v>
      </c>
      <c r="E49" s="5" t="n">
        <f aca="false">D49/规则参数!$B$8</f>
        <v>0.00220429623052905</v>
      </c>
      <c r="F49" s="4" t="n">
        <f aca="false">SUMIFS(SPU监控与预算!$G:$G,SPU监控与预算!$A:$A,$A49)</f>
        <v>15040.52</v>
      </c>
      <c r="G49" s="5" t="n">
        <f aca="false">F49/规则参数!$B$9</f>
        <v>0.00334299773753335</v>
      </c>
      <c r="H49" s="4" t="n">
        <f aca="false">SUMIFS(SPU监控与预算!$I:$I,SPU监控与预算!$A:$A,$A49)</f>
        <v>11112.4</v>
      </c>
      <c r="I49" s="5" t="n">
        <f aca="false">H49/规则参数!$B$10</f>
        <v>0.00229512633483503</v>
      </c>
      <c r="J49" s="6" t="n">
        <f aca="false">IFERROR(H49/D49,0)</f>
        <v>0.154282661430057</v>
      </c>
      <c r="K49" s="6" t="n">
        <f aca="false">IFERROR(F49/D49,0)</f>
        <v>0.208820007819373</v>
      </c>
      <c r="L49" s="3" t="n">
        <f aca="false">COUNTIFS(SPU监控与预算!$A:$A,$A49)</f>
        <v>1</v>
      </c>
      <c r="M49" s="4" t="n">
        <f aca="false">SUMIFS(SPU监控与预算!$W:$W,SPU监控与预算!$A:$A,$A49)</f>
        <v>1907.59865354626</v>
      </c>
      <c r="N49" s="4" t="n">
        <f aca="false">SUMIFS(SPU监控与预算!$X:$X,SPU监控与预算!$A:$A,$A49)</f>
        <v>1907.813033</v>
      </c>
    </row>
    <row r="50" customFormat="false" ht="15" hidden="false" customHeight="false" outlineLevel="0" collapsed="false">
      <c r="A50" s="3" t="s">
        <v>217</v>
      </c>
      <c r="B50" s="3" t="s">
        <v>46</v>
      </c>
      <c r="C50" s="3" t="s">
        <v>627</v>
      </c>
      <c r="D50" s="4" t="n">
        <f aca="false">SUMIFS(SPU监控与预算!$E:$E,SPU监控与预算!$A:$A,$A50)</f>
        <v>89857.68</v>
      </c>
      <c r="E50" s="5" t="n">
        <f aca="false">D50/规则参数!$B$8</f>
        <v>0.00275001090308318</v>
      </c>
      <c r="F50" s="4" t="n">
        <f aca="false">SUMIFS(SPU监控与预算!$G:$G,SPU监控与预算!$A:$A,$A50)</f>
        <v>14956.92</v>
      </c>
      <c r="G50" s="5" t="n">
        <f aca="false">F50/规则参数!$B$9</f>
        <v>0.00332441629148908</v>
      </c>
      <c r="H50" s="4" t="n">
        <f aca="false">SUMIFS(SPU监控与预算!$I:$I,SPU监控与预算!$A:$A,$A50)</f>
        <v>11096.43</v>
      </c>
      <c r="I50" s="5" t="n">
        <f aca="false">H50/规则参数!$B$10</f>
        <v>0.00229182793236866</v>
      </c>
      <c r="J50" s="6" t="n">
        <f aca="false">IFERROR(H50/D50,0)</f>
        <v>0.123488943849875</v>
      </c>
      <c r="K50" s="6" t="n">
        <f aca="false">IFERROR(F50/D50,0)</f>
        <v>0.166451214854423</v>
      </c>
      <c r="L50" s="3" t="n">
        <f aca="false">COUNTIFS(SPU监控与预算!$A:$A,$A50)</f>
        <v>2</v>
      </c>
      <c r="M50" s="4" t="n">
        <f aca="false">SUMIFS(SPU监控与预算!$W:$W,SPU监控与预算!$A:$A,$A50)</f>
        <v>701.904677135965</v>
      </c>
      <c r="N50" s="4" t="n">
        <f aca="false">SUMIFS(SPU监控与预算!$X:$X,SPU监控与预算!$A:$A,$A50)</f>
        <v>701.846534</v>
      </c>
    </row>
    <row r="51" customFormat="false" ht="15" hidden="false" customHeight="false" outlineLevel="0" collapsed="false">
      <c r="A51" s="3" t="s">
        <v>244</v>
      </c>
      <c r="B51" s="3" t="s">
        <v>578</v>
      </c>
      <c r="C51" s="3" t="s">
        <v>628</v>
      </c>
      <c r="D51" s="4" t="n">
        <f aca="false">SUMIFS(SPU监控与预算!$E:$E,SPU监控与预算!$A:$A,$A51)</f>
        <v>90151.32</v>
      </c>
      <c r="E51" s="5" t="n">
        <f aca="false">D51/规则参数!$B$8</f>
        <v>0.00275899748276765</v>
      </c>
      <c r="F51" s="4" t="n">
        <f aca="false">SUMIFS(SPU监控与预算!$G:$G,SPU监控与预算!$A:$A,$A51)</f>
        <v>9088.06</v>
      </c>
      <c r="G51" s="5" t="n">
        <f aca="false">F51/规则参数!$B$9</f>
        <v>0.00201996766192707</v>
      </c>
      <c r="H51" s="4" t="n">
        <f aca="false">SUMIFS(SPU监控与预算!$I:$I,SPU监控与预算!$A:$A,$A51)</f>
        <v>10425.69</v>
      </c>
      <c r="I51" s="5" t="n">
        <f aca="false">H51/规则参数!$B$10</f>
        <v>0.00215329502878102</v>
      </c>
      <c r="J51" s="6" t="n">
        <f aca="false">IFERROR(H51/D51,0)</f>
        <v>0.115646559584485</v>
      </c>
      <c r="K51" s="6" t="n">
        <f aca="false">IFERROR(F51/D51,0)</f>
        <v>0.100808950994838</v>
      </c>
      <c r="L51" s="3" t="n">
        <f aca="false">COUNTIFS(SPU监控与预算!$A:$A,$A51)</f>
        <v>3</v>
      </c>
      <c r="M51" s="4" t="n">
        <f aca="false">SUMIFS(SPU监控与预算!$W:$W,SPU监控与预算!$A:$A,$A51)</f>
        <v>637.198671227297</v>
      </c>
      <c r="N51" s="4" t="n">
        <f aca="false">SUMIFS(SPU监控与预算!$X:$X,SPU监控与预算!$A:$A,$A51)</f>
        <v>637.081297</v>
      </c>
    </row>
    <row r="52" customFormat="false" ht="15" hidden="false" customHeight="false" outlineLevel="0" collapsed="false">
      <c r="A52" s="3" t="s">
        <v>234</v>
      </c>
      <c r="B52" s="3" t="s">
        <v>586</v>
      </c>
      <c r="C52" s="3" t="s">
        <v>629</v>
      </c>
      <c r="D52" s="4" t="n">
        <f aca="false">SUMIFS(SPU监控与预算!$E:$E,SPU监控与预算!$A:$A,$A52)</f>
        <v>48241.85</v>
      </c>
      <c r="E52" s="5" t="n">
        <f aca="false">D52/规则参数!$B$8</f>
        <v>0.00147639704791959</v>
      </c>
      <c r="F52" s="4" t="n">
        <f aca="false">SUMIFS(SPU监控与预算!$G:$G,SPU监控与预算!$A:$A,$A52)</f>
        <v>5574.51</v>
      </c>
      <c r="G52" s="5" t="n">
        <f aca="false">F52/规则参数!$B$9</f>
        <v>0.0012390246027303</v>
      </c>
      <c r="H52" s="4" t="n">
        <f aca="false">SUMIFS(SPU监控与预算!$I:$I,SPU监控与预算!$A:$A,$A52)</f>
        <v>9816.64</v>
      </c>
      <c r="I52" s="5" t="n">
        <f aca="false">H52/规则参数!$B$10</f>
        <v>0.00202750341812704</v>
      </c>
      <c r="J52" s="6" t="n">
        <f aca="false">IFERROR(H52/D52,0)</f>
        <v>0.203488050313162</v>
      </c>
      <c r="K52" s="6" t="n">
        <f aca="false">IFERROR(F52/D52,0)</f>
        <v>0.11555340435742</v>
      </c>
      <c r="L52" s="3" t="n">
        <f aca="false">COUNTIFS(SPU监控与预算!$A:$A,$A52)</f>
        <v>1</v>
      </c>
      <c r="M52" s="4" t="n">
        <f aca="false">SUMIFS(SPU监控与预算!$W:$W,SPU监控与预算!$A:$A,$A52)</f>
        <v>1122.79618961545</v>
      </c>
      <c r="N52" s="4" t="n">
        <f aca="false">SUMIFS(SPU监控与预算!$X:$X,SPU监控与预算!$A:$A,$A52)</f>
        <v>827.6625</v>
      </c>
    </row>
    <row r="53" customFormat="false" ht="15" hidden="false" customHeight="false" outlineLevel="0" collapsed="false">
      <c r="A53" s="3" t="s">
        <v>273</v>
      </c>
      <c r="B53" s="3" t="s">
        <v>586</v>
      </c>
      <c r="C53" s="3" t="s">
        <v>630</v>
      </c>
      <c r="D53" s="4" t="n">
        <f aca="false">SUMIFS(SPU监控与预算!$E:$E,SPU监控与预算!$A:$A,$A53)</f>
        <v>49107.4</v>
      </c>
      <c r="E53" s="5" t="n">
        <f aca="false">D53/规则参数!$B$8</f>
        <v>0.00150288640238727</v>
      </c>
      <c r="F53" s="4" t="n">
        <f aca="false">SUMIFS(SPU监控与预算!$G:$G,SPU监控与预算!$A:$A,$A53)</f>
        <v>153.61</v>
      </c>
      <c r="G53" s="5" t="n">
        <f aca="false">F53/规则参数!$B$9</f>
        <v>3.41422957758441E-005</v>
      </c>
      <c r="H53" s="4" t="n">
        <f aca="false">SUMIFS(SPU监控与预算!$I:$I,SPU监控与预算!$A:$A,$A53)</f>
        <v>9722.73</v>
      </c>
      <c r="I53" s="5" t="n">
        <f aca="false">H53/规则参数!$B$10</f>
        <v>0.00200810748978534</v>
      </c>
      <c r="J53" s="6" t="n">
        <f aca="false">IFERROR(H53/D53,0)</f>
        <v>0.197989101438887</v>
      </c>
      <c r="K53" s="6" t="n">
        <f aca="false">IFERROR(F53/D53,0)</f>
        <v>0.00312804180225384</v>
      </c>
      <c r="L53" s="3" t="n">
        <f aca="false">COUNTIFS(SPU监控与预算!$A:$A,$A53)</f>
        <v>2</v>
      </c>
      <c r="M53" s="4" t="n">
        <f aca="false">SUMIFS(SPU监控与预算!$W:$W,SPU监控与预算!$A:$A,$A53)</f>
        <v>771.093238131276</v>
      </c>
      <c r="N53" s="4" t="n">
        <f aca="false">SUMIFS(SPU监控与预算!$X:$X,SPU监控与预算!$A:$A,$A53)</f>
        <v>394.158672</v>
      </c>
    </row>
    <row r="54" customFormat="false" ht="15" hidden="false" customHeight="false" outlineLevel="0" collapsed="false">
      <c r="A54" s="3" t="s">
        <v>251</v>
      </c>
      <c r="B54" s="3" t="s">
        <v>578</v>
      </c>
      <c r="C54" s="3" t="s">
        <v>631</v>
      </c>
      <c r="D54" s="4" t="n">
        <f aca="false">SUMIFS(SPU监控与预算!$E:$E,SPU监控与预算!$A:$A,$A54)</f>
        <v>66049.51</v>
      </c>
      <c r="E54" s="5" t="n">
        <f aca="false">D54/规则参数!$B$8</f>
        <v>0.00202138395564298</v>
      </c>
      <c r="F54" s="4" t="n">
        <f aca="false">SUMIFS(SPU监控与预算!$G:$G,SPU监控与预算!$A:$A,$A54)</f>
        <v>8028.91</v>
      </c>
      <c r="G54" s="5" t="n">
        <f aca="false">F54/规则参数!$B$9</f>
        <v>0.00178455452104441</v>
      </c>
      <c r="H54" s="4" t="n">
        <f aca="false">SUMIFS(SPU监控与预算!$I:$I,SPU监控与预算!$A:$A,$A54)</f>
        <v>9674.15</v>
      </c>
      <c r="I54" s="5" t="n">
        <f aca="false">H54/规则参数!$B$10</f>
        <v>0.00199807390232032</v>
      </c>
      <c r="J54" s="6" t="n">
        <f aca="false">IFERROR(H54/D54,0)</f>
        <v>0.14646815699314</v>
      </c>
      <c r="K54" s="6" t="n">
        <f aca="false">IFERROR(F54/D54,0)</f>
        <v>0.121558963874221</v>
      </c>
      <c r="L54" s="3" t="n">
        <f aca="false">COUNTIFS(SPU监控与预算!$A:$A,$A54)</f>
        <v>2</v>
      </c>
      <c r="M54" s="4" t="n">
        <f aca="false">SUMIFS(SPU监控与预算!$W:$W,SPU监控与预算!$A:$A,$A54)</f>
        <v>3324.36674495853</v>
      </c>
      <c r="N54" s="4" t="n">
        <f aca="false">SUMIFS(SPU监控与预算!$X:$X,SPU监控与预算!$A:$A,$A54)</f>
        <v>3324.008442</v>
      </c>
    </row>
    <row r="55" customFormat="false" ht="15" hidden="false" customHeight="false" outlineLevel="0" collapsed="false">
      <c r="A55" s="3" t="s">
        <v>246</v>
      </c>
      <c r="B55" s="3" t="s">
        <v>586</v>
      </c>
      <c r="C55" s="3" t="s">
        <v>632</v>
      </c>
      <c r="D55" s="4" t="n">
        <f aca="false">SUMIFS(SPU监控与预算!$E:$E,SPU监控与预算!$A:$A,$A55)</f>
        <v>40365.34</v>
      </c>
      <c r="E55" s="5" t="n">
        <f aca="false">D55/规则参数!$B$8</f>
        <v>0.00123534376924331</v>
      </c>
      <c r="F55" s="4" t="n">
        <f aca="false">SUMIFS(SPU监控与预算!$G:$G,SPU监控与预算!$A:$A,$A55)</f>
        <v>-948.91</v>
      </c>
      <c r="G55" s="5" t="n">
        <f aca="false">F55/规则参数!$B$9</f>
        <v>-0.000210910525907533</v>
      </c>
      <c r="H55" s="4" t="n">
        <f aca="false">SUMIFS(SPU监控与预算!$I:$I,SPU监控与预算!$A:$A,$A55)</f>
        <v>8795.92</v>
      </c>
      <c r="I55" s="5" t="n">
        <f aca="false">H55/规则参数!$B$10</f>
        <v>0.00181668655115926</v>
      </c>
      <c r="J55" s="6" t="n">
        <f aca="false">IFERROR(H55/D55,0)</f>
        <v>0.217907739659817</v>
      </c>
      <c r="K55" s="6" t="n">
        <f aca="false">IFERROR(F55/D55,0)</f>
        <v>-0.0235080393228448</v>
      </c>
      <c r="L55" s="3" t="n">
        <f aca="false">COUNTIFS(SPU监控与预算!$A:$A,$A55)</f>
        <v>2</v>
      </c>
      <c r="M55" s="4" t="n">
        <f aca="false">SUMIFS(SPU监控与预算!$W:$W,SPU监控与预算!$A:$A,$A55)</f>
        <v>252.896045128424</v>
      </c>
      <c r="N55" s="4" t="n">
        <f aca="false">SUMIFS(SPU监控与预算!$X:$X,SPU监控与预算!$A:$A,$A55)</f>
        <v>167.668038</v>
      </c>
    </row>
    <row r="56" customFormat="false" ht="15" hidden="false" customHeight="false" outlineLevel="0" collapsed="false">
      <c r="A56" s="3" t="s">
        <v>298</v>
      </c>
      <c r="B56" s="3" t="s">
        <v>586</v>
      </c>
      <c r="C56" s="3" t="s">
        <v>633</v>
      </c>
      <c r="D56" s="4" t="n">
        <f aca="false">SUMIFS(SPU监控与预算!$E:$E,SPU监控与预算!$A:$A,$A56)</f>
        <v>42098.53</v>
      </c>
      <c r="E56" s="5" t="n">
        <f aca="false">D56/规则参数!$B$8</f>
        <v>0.00128838644068904</v>
      </c>
      <c r="F56" s="4" t="n">
        <f aca="false">SUMIFS(SPU监控与预算!$G:$G,SPU监控与预算!$A:$A,$A56)</f>
        <v>512.18</v>
      </c>
      <c r="G56" s="5" t="n">
        <f aca="false">F56/规则参数!$B$9</f>
        <v>0.000113840251614295</v>
      </c>
      <c r="H56" s="4" t="n">
        <f aca="false">SUMIFS(SPU监控与预算!$I:$I,SPU监控与预算!$A:$A,$A56)</f>
        <v>8319.2</v>
      </c>
      <c r="I56" s="5" t="n">
        <f aca="false">H56/规则参数!$B$10</f>
        <v>0.00171822603620816</v>
      </c>
      <c r="J56" s="6" t="n">
        <f aca="false">IFERROR(H56/D56,0)</f>
        <v>0.197612600725013</v>
      </c>
      <c r="K56" s="6" t="n">
        <f aca="false">IFERROR(F56/D56,0)</f>
        <v>0.0121662205307406</v>
      </c>
      <c r="L56" s="3" t="n">
        <f aca="false">COUNTIFS(SPU监控与预算!$A:$A,$A56)</f>
        <v>2</v>
      </c>
      <c r="M56" s="4" t="n">
        <f aca="false">SUMIFS(SPU监控与预算!$W:$W,SPU监控与预算!$A:$A,$A56)</f>
        <v>476.844322203258</v>
      </c>
      <c r="N56" s="4" t="n">
        <f aca="false">SUMIFS(SPU监控与预算!$X:$X,SPU监控与预算!$A:$A,$A56)</f>
        <v>270.611663</v>
      </c>
    </row>
    <row r="57" customFormat="false" ht="15" hidden="false" customHeight="false" outlineLevel="0" collapsed="false">
      <c r="A57" s="3" t="s">
        <v>318</v>
      </c>
      <c r="B57" s="3" t="s">
        <v>586</v>
      </c>
      <c r="C57" s="3" t="s">
        <v>634</v>
      </c>
      <c r="D57" s="4" t="n">
        <f aca="false">SUMIFS(SPU监控与预算!$E:$E,SPU监控与预算!$A:$A,$A57)</f>
        <v>50443.79</v>
      </c>
      <c r="E57" s="5" t="n">
        <f aca="false">D57/规则参数!$B$8</f>
        <v>0.0015437853780872</v>
      </c>
      <c r="F57" s="4" t="n">
        <f aca="false">SUMIFS(SPU监控与预算!$G:$G,SPU监控与预算!$A:$A,$A57)</f>
        <v>-1591.8</v>
      </c>
      <c r="G57" s="5" t="n">
        <f aca="false">F57/规则参数!$B$9</f>
        <v>-0.000353803179584588</v>
      </c>
      <c r="H57" s="4" t="n">
        <f aca="false">SUMIFS(SPU监控与预算!$I:$I,SPU监控与预算!$A:$A,$A57)</f>
        <v>8224.74</v>
      </c>
      <c r="I57" s="5" t="n">
        <f aca="false">H57/规则参数!$B$10</f>
        <v>0.00169871651228997</v>
      </c>
      <c r="J57" s="6" t="n">
        <f aca="false">IFERROR(H57/D57,0)</f>
        <v>0.163047621917386</v>
      </c>
      <c r="K57" s="6" t="n">
        <f aca="false">IFERROR(F57/D57,0)</f>
        <v>-0.0315559160007605</v>
      </c>
      <c r="L57" s="3" t="n">
        <f aca="false">COUNTIFS(SPU监控与预算!$A:$A,$A57)</f>
        <v>2</v>
      </c>
      <c r="M57" s="4" t="n">
        <f aca="false">SUMIFS(SPU监控与预算!$W:$W,SPU监控与预算!$A:$A,$A57)</f>
        <v>172.472334370686</v>
      </c>
      <c r="N57" s="4" t="n">
        <f aca="false">SUMIFS(SPU监控与预算!$X:$X,SPU监控与预算!$A:$A,$A57)</f>
        <v>120.587504</v>
      </c>
    </row>
    <row r="58" customFormat="false" ht="15" hidden="false" customHeight="false" outlineLevel="0" collapsed="false">
      <c r="A58" s="3" t="s">
        <v>321</v>
      </c>
      <c r="B58" s="3" t="s">
        <v>56</v>
      </c>
      <c r="C58" s="3" t="s">
        <v>635</v>
      </c>
      <c r="D58" s="4" t="n">
        <f aca="false">SUMIFS(SPU监控与预算!$E:$E,SPU监控与预算!$A:$A,$A58)</f>
        <v>95627.52</v>
      </c>
      <c r="E58" s="5" t="n">
        <f aca="false">D58/规则参数!$B$8</f>
        <v>0.00292659150152558</v>
      </c>
      <c r="F58" s="4" t="n">
        <f aca="false">SUMIFS(SPU监控与预算!$G:$G,SPU监控与预算!$A:$A,$A58)</f>
        <v>20175.59</v>
      </c>
      <c r="G58" s="5" t="n">
        <f aca="false">F58/规则参数!$B$9</f>
        <v>0.00448434972483668</v>
      </c>
      <c r="H58" s="4" t="n">
        <f aca="false">SUMIFS(SPU监控与预算!$I:$I,SPU监控与预算!$A:$A,$A58)</f>
        <v>8038.56</v>
      </c>
      <c r="I58" s="5" t="n">
        <f aca="false">H58/规则参数!$B$10</f>
        <v>0.0016602633769619</v>
      </c>
      <c r="J58" s="6" t="n">
        <f aca="false">IFERROR(H58/D58,0)</f>
        <v>0.0840611572902863</v>
      </c>
      <c r="K58" s="6" t="n">
        <f aca="false">IFERROR(F58/D58,0)</f>
        <v>0.210981002121565</v>
      </c>
      <c r="L58" s="3" t="n">
        <f aca="false">COUNTIFS(SPU监控与预算!$A:$A,$A58)</f>
        <v>7</v>
      </c>
      <c r="M58" s="4" t="n">
        <f aca="false">SUMIFS(SPU监控与预算!$W:$W,SPU监控与预算!$A:$A,$A58)</f>
        <v>895.478009534236</v>
      </c>
      <c r="N58" s="4" t="n">
        <f aca="false">SUMIFS(SPU监控与预算!$X:$X,SPU监控与预算!$A:$A,$A58)</f>
        <v>1057.756323</v>
      </c>
    </row>
    <row r="59" customFormat="false" ht="15" hidden="false" customHeight="false" outlineLevel="0" collapsed="false">
      <c r="A59" s="3" t="s">
        <v>271</v>
      </c>
      <c r="B59" s="3" t="s">
        <v>586</v>
      </c>
      <c r="C59" s="3" t="s">
        <v>636</v>
      </c>
      <c r="D59" s="4" t="n">
        <f aca="false">SUMIFS(SPU监控与预算!$E:$E,SPU监控与预算!$A:$A,$A59)</f>
        <v>40206.1</v>
      </c>
      <c r="E59" s="5" t="n">
        <f aca="false">D59/规则参数!$B$8</f>
        <v>0.00123047037682759</v>
      </c>
      <c r="F59" s="4" t="n">
        <f aca="false">SUMIFS(SPU监控与预算!$G:$G,SPU监控与预算!$A:$A,$A59)</f>
        <v>2941.75</v>
      </c>
      <c r="G59" s="5" t="n">
        <f aca="false">F59/规则参数!$B$9</f>
        <v>0.000653851302640384</v>
      </c>
      <c r="H59" s="4" t="n">
        <f aca="false">SUMIFS(SPU监控与预算!$I:$I,SPU监控与预算!$A:$A,$A59)</f>
        <v>7172.28</v>
      </c>
      <c r="I59" s="5" t="n">
        <f aca="false">H59/规则参数!$B$10</f>
        <v>0.0014813441478718</v>
      </c>
      <c r="J59" s="6" t="n">
        <f aca="false">IFERROR(H59/D59,0)</f>
        <v>0.178387856569028</v>
      </c>
      <c r="K59" s="6" t="n">
        <f aca="false">IFERROR(F59/D59,0)</f>
        <v>0.0731667582779728</v>
      </c>
      <c r="L59" s="3" t="n">
        <f aca="false">COUNTIFS(SPU监控与预算!$A:$A,$A59)</f>
        <v>1</v>
      </c>
      <c r="M59" s="4" t="n">
        <f aca="false">SUMIFS(SPU监控与预算!$W:$W,SPU监控与预算!$A:$A,$A59)</f>
        <v>1086.16441332037</v>
      </c>
      <c r="N59" s="4" t="n">
        <f aca="false">SUMIFS(SPU监控与预算!$X:$X,SPU监控与预算!$A:$A,$A59)</f>
        <v>1086.238352</v>
      </c>
    </row>
    <row r="60" customFormat="false" ht="15" hidden="false" customHeight="false" outlineLevel="0" collapsed="false">
      <c r="A60" s="3" t="s">
        <v>290</v>
      </c>
      <c r="B60" s="3" t="s">
        <v>586</v>
      </c>
      <c r="C60" s="3" t="s">
        <v>637</v>
      </c>
      <c r="D60" s="4" t="n">
        <f aca="false">SUMIFS(SPU监控与预算!$E:$E,SPU监控与预算!$A:$A,$A60)</f>
        <v>25236.46</v>
      </c>
      <c r="E60" s="5" t="n">
        <f aca="false">D60/规则参数!$B$8</f>
        <v>0.000772338437351404</v>
      </c>
      <c r="F60" s="4" t="n">
        <f aca="false">SUMIFS(SPU监控与预算!$G:$G,SPU监控与预算!$A:$A,$A60)</f>
        <v>1219.31</v>
      </c>
      <c r="G60" s="5" t="n">
        <f aca="false">F60/规则参数!$B$9</f>
        <v>0.000271011279620106</v>
      </c>
      <c r="H60" s="4" t="n">
        <f aca="false">SUMIFS(SPU监控与预算!$I:$I,SPU监控与预算!$A:$A,$A60)</f>
        <v>6325.26</v>
      </c>
      <c r="I60" s="5" t="n">
        <f aca="false">H60/规则参数!$B$10</f>
        <v>0.00130640282933287</v>
      </c>
      <c r="J60" s="6" t="n">
        <f aca="false">IFERROR(H60/D60,0)</f>
        <v>0.250639748998077</v>
      </c>
      <c r="K60" s="6" t="n">
        <f aca="false">IFERROR(F60/D60,0)</f>
        <v>0.0483154134930176</v>
      </c>
      <c r="L60" s="3" t="n">
        <f aca="false">COUNTIFS(SPU监控与预算!$A:$A,$A60)</f>
        <v>1</v>
      </c>
      <c r="M60" s="4" t="n">
        <f aca="false">SUMIFS(SPU监控与预算!$W:$W,SPU监控与预算!$A:$A,$A60)</f>
        <v>240.007610845578</v>
      </c>
      <c r="N60" s="4" t="n">
        <f aca="false">SUMIFS(SPU监控与预算!$X:$X,SPU监控与预算!$A:$A,$A60)</f>
        <v>143.637</v>
      </c>
    </row>
    <row r="61" customFormat="false" ht="15" hidden="false" customHeight="false" outlineLevel="0" collapsed="false">
      <c r="A61" s="3" t="s">
        <v>293</v>
      </c>
      <c r="B61" s="3" t="s">
        <v>586</v>
      </c>
      <c r="C61" s="3" t="s">
        <v>638</v>
      </c>
      <c r="D61" s="4" t="n">
        <f aca="false">SUMIFS(SPU监控与预算!$E:$E,SPU监控与预算!$A:$A,$A61)</f>
        <v>13876.52</v>
      </c>
      <c r="E61" s="5" t="n">
        <f aca="false">D61/规则参数!$B$8</f>
        <v>0.000424678016357108</v>
      </c>
      <c r="F61" s="4" t="n">
        <f aca="false">SUMIFS(SPU监控与预算!$G:$G,SPU监控与预算!$A:$A,$A61)</f>
        <v>-405.1</v>
      </c>
      <c r="G61" s="5" t="n">
        <f aca="false">F61/规则参数!$B$9</f>
        <v>-9.00399975183545E-005</v>
      </c>
      <c r="H61" s="4" t="n">
        <f aca="false">SUMIFS(SPU监控与预算!$I:$I,SPU监控与预算!$A:$A,$A61)</f>
        <v>6194.22</v>
      </c>
      <c r="I61" s="5" t="n">
        <f aca="false">H61/规则参数!$B$10</f>
        <v>0.00127933816689121</v>
      </c>
      <c r="J61" s="6" t="n">
        <f aca="false">IFERROR(H61/D61,0)</f>
        <v>0.446381369392326</v>
      </c>
      <c r="K61" s="6" t="n">
        <f aca="false">IFERROR(F61/D61,0)</f>
        <v>-0.0291931982946733</v>
      </c>
      <c r="L61" s="3" t="n">
        <f aca="false">COUNTIFS(SPU监控与预算!$A:$A,$A61)</f>
        <v>1</v>
      </c>
      <c r="M61" s="4" t="n">
        <f aca="false">SUMIFS(SPU监控与预算!$W:$W,SPU监控与预算!$A:$A,$A61)</f>
        <v>671.82628000392</v>
      </c>
      <c r="N61" s="4" t="n">
        <f aca="false">SUMIFS(SPU监控与预算!$X:$X,SPU监控与预算!$A:$A,$A61)</f>
        <v>270.909</v>
      </c>
    </row>
    <row r="62" customFormat="false" ht="15" hidden="false" customHeight="false" outlineLevel="0" collapsed="false">
      <c r="A62" s="3" t="s">
        <v>296</v>
      </c>
      <c r="B62" s="3" t="s">
        <v>578</v>
      </c>
      <c r="C62" s="3" t="s">
        <v>639</v>
      </c>
      <c r="D62" s="4" t="n">
        <f aca="false">SUMIFS(SPU监控与预算!$E:$E,SPU监控与预算!$A:$A,$A62)</f>
        <v>35620.39</v>
      </c>
      <c r="E62" s="5" t="n">
        <f aca="false">D62/规则参数!$B$8</f>
        <v>0.00109012897809152</v>
      </c>
      <c r="F62" s="4" t="n">
        <f aca="false">SUMIFS(SPU监控与预算!$G:$G,SPU监控与预算!$A:$A,$A62)</f>
        <v>5611.58</v>
      </c>
      <c r="G62" s="5" t="n">
        <f aca="false">F62/规则参数!$B$9</f>
        <v>0.00124726400709466</v>
      </c>
      <c r="H62" s="4" t="n">
        <f aca="false">SUMIFS(SPU监控与预算!$I:$I,SPU监控与预算!$A:$A,$A62)</f>
        <v>6018.54</v>
      </c>
      <c r="I62" s="5" t="n">
        <f aca="false">H62/规则参数!$B$10</f>
        <v>0.00124305367438699</v>
      </c>
      <c r="J62" s="6" t="n">
        <f aca="false">IFERROR(H62/D62,0)</f>
        <v>0.168963338133019</v>
      </c>
      <c r="K62" s="6" t="n">
        <f aca="false">IFERROR(F62/D62,0)</f>
        <v>0.157538421112178</v>
      </c>
      <c r="L62" s="3" t="n">
        <f aca="false">COUNTIFS(SPU监控与预算!$A:$A,$A62)</f>
        <v>1</v>
      </c>
      <c r="M62" s="4" t="n">
        <f aca="false">SUMIFS(SPU监控与预算!$W:$W,SPU监控与预算!$A:$A,$A62)</f>
        <v>699.927248949267</v>
      </c>
      <c r="N62" s="4" t="n">
        <f aca="false">SUMIFS(SPU监控与预算!$X:$X,SPU监控与预算!$A:$A,$A62)</f>
        <v>700.07912</v>
      </c>
    </row>
    <row r="63" customFormat="false" ht="15" hidden="false" customHeight="false" outlineLevel="0" collapsed="false">
      <c r="A63" s="3" t="s">
        <v>370</v>
      </c>
      <c r="B63" s="3" t="s">
        <v>56</v>
      </c>
      <c r="C63" s="3" t="s">
        <v>640</v>
      </c>
      <c r="D63" s="4" t="n">
        <f aca="false">SUMIFS(SPU监控与预算!$E:$E,SPU监控与预算!$A:$A,$A63)</f>
        <v>116679.6</v>
      </c>
      <c r="E63" s="5" t="n">
        <f aca="false">D63/规则参数!$B$8</f>
        <v>0.00357087087233261</v>
      </c>
      <c r="F63" s="4" t="n">
        <f aca="false">SUMIFS(SPU监控与预算!$G:$G,SPU监控与预算!$A:$A,$A63)</f>
        <v>24799.3</v>
      </c>
      <c r="G63" s="5" t="n">
        <f aca="false">F63/规则参数!$B$9</f>
        <v>0.00551204371872853</v>
      </c>
      <c r="H63" s="4" t="n">
        <f aca="false">SUMIFS(SPU监控与预算!$I:$I,SPU监控与预算!$A:$A,$A63)</f>
        <v>5139.09</v>
      </c>
      <c r="I63" s="5" t="n">
        <f aca="false">H63/规则参数!$B$10</f>
        <v>0.00106141434758354</v>
      </c>
      <c r="J63" s="6" t="n">
        <f aca="false">IFERROR(H63/D63,0)</f>
        <v>0.0440444602141248</v>
      </c>
      <c r="K63" s="6" t="n">
        <f aca="false">IFERROR(F63/D63,0)</f>
        <v>0.212541866787339</v>
      </c>
      <c r="L63" s="3" t="n">
        <f aca="false">COUNTIFS(SPU监控与预算!$A:$A,$A63)</f>
        <v>5</v>
      </c>
      <c r="M63" s="4" t="n">
        <f aca="false">SUMIFS(SPU监控与预算!$W:$W,SPU监控与预算!$A:$A,$A63)</f>
        <v>117.827180199264</v>
      </c>
      <c r="N63" s="4" t="n">
        <f aca="false">SUMIFS(SPU监控与预算!$X:$X,SPU监控与预算!$A:$A,$A63)</f>
        <v>147.51031</v>
      </c>
    </row>
    <row r="64" customFormat="false" ht="15" hidden="false" customHeight="false" outlineLevel="0" collapsed="false">
      <c r="A64" s="3" t="s">
        <v>324</v>
      </c>
      <c r="B64" s="3" t="s">
        <v>46</v>
      </c>
      <c r="C64" s="3" t="s">
        <v>641</v>
      </c>
      <c r="D64" s="4" t="n">
        <f aca="false">SUMIFS(SPU监控与预算!$E:$E,SPU监控与预算!$A:$A,$A64)</f>
        <v>36106.43</v>
      </c>
      <c r="E64" s="5" t="n">
        <f aca="false">D64/规则参数!$B$8</f>
        <v>0.00110500378121725</v>
      </c>
      <c r="F64" s="4" t="n">
        <f aca="false">SUMIFS(SPU监控与预算!$G:$G,SPU监控与预算!$A:$A,$A64)</f>
        <v>5930.78</v>
      </c>
      <c r="G64" s="5" t="n">
        <f aca="false">F64/规则参数!$B$9</f>
        <v>0.00131821134653643</v>
      </c>
      <c r="H64" s="4" t="n">
        <f aca="false">SUMIFS(SPU监控与预算!$I:$I,SPU监控与预算!$A:$A,$A64)</f>
        <v>4316.76</v>
      </c>
      <c r="I64" s="5" t="n">
        <f aca="false">H64/规则参数!$B$10</f>
        <v>0.000891572437741843</v>
      </c>
      <c r="J64" s="6" t="n">
        <f aca="false">IFERROR(H64/D64,0)</f>
        <v>0.119556544360658</v>
      </c>
      <c r="K64" s="6" t="n">
        <f aca="false">IFERROR(F64/D64,0)</f>
        <v>0.164258277542255</v>
      </c>
      <c r="L64" s="3" t="n">
        <f aca="false">COUNTIFS(SPU监控与预算!$A:$A,$A64)</f>
        <v>1</v>
      </c>
      <c r="M64" s="4" t="n">
        <f aca="false">SUMIFS(SPU监控与预算!$W:$W,SPU监控与预算!$A:$A,$A64)</f>
        <v>100.21109991766</v>
      </c>
      <c r="N64" s="4" t="n">
        <f aca="false">SUMIFS(SPU监控与预算!$X:$X,SPU监控与预算!$A:$A,$A64)</f>
        <v>100.247524</v>
      </c>
    </row>
    <row r="65" customFormat="false" ht="15" hidden="false" customHeight="false" outlineLevel="0" collapsed="false">
      <c r="A65" s="9" t="s">
        <v>419</v>
      </c>
      <c r="B65" s="3" t="s">
        <v>46</v>
      </c>
      <c r="C65" s="3" t="s">
        <v>642</v>
      </c>
      <c r="D65" s="4" t="n">
        <f aca="false">SUMIFS(SPU监控与预算!$E:$E,SPU监控与预算!$A:$A,$A65)</f>
        <v>59313.98</v>
      </c>
      <c r="E65" s="5" t="n">
        <f aca="false">D65/规则参数!$B$8</f>
        <v>0.00181524931096883</v>
      </c>
      <c r="F65" s="4" t="n">
        <f aca="false">SUMIFS(SPU监控与预算!$G:$G,SPU监控与预算!$A:$A,$A65)</f>
        <v>16937.19</v>
      </c>
      <c r="G65" s="5" t="n">
        <f aca="false">F65/规则参数!$B$9</f>
        <v>0.00376456318333226</v>
      </c>
      <c r="H65" s="4" t="n">
        <f aca="false">SUMIFS(SPU监控与预算!$I:$I,SPU监控与预算!$A:$A,$A65)</f>
        <v>3896.88</v>
      </c>
      <c r="I65" s="5" t="n">
        <f aca="false">H65/规则参数!$B$10</f>
        <v>0.000804851509277197</v>
      </c>
      <c r="J65" s="6" t="n">
        <f aca="false">IFERROR(H65/D65,0)</f>
        <v>0.0656991825535902</v>
      </c>
      <c r="K65" s="6" t="n">
        <f aca="false">IFERROR(F65/D65,0)</f>
        <v>0.285551399518292</v>
      </c>
      <c r="L65" s="3" t="n">
        <f aca="false">COUNTIFS(SPU监控与预算!$A:$A,$A65)</f>
        <v>11</v>
      </c>
      <c r="M65" s="4" t="n">
        <f aca="false">SUMIFS(SPU监控与预算!$W:$W,SPU监控与预算!$A:$A,$A65)</f>
        <v>64.9197414333841</v>
      </c>
      <c r="N65" s="4" t="n">
        <f aca="false">SUMIFS(SPU监控与预算!$X:$X,SPU监控与预算!$A:$A,$A65)</f>
        <v>64.965108</v>
      </c>
    </row>
    <row r="66" customFormat="false" ht="15" hidden="false" customHeight="false" outlineLevel="0" collapsed="false">
      <c r="A66" s="3" t="s">
        <v>335</v>
      </c>
      <c r="B66" s="3" t="s">
        <v>46</v>
      </c>
      <c r="C66" s="3" t="s">
        <v>643</v>
      </c>
      <c r="D66" s="4" t="n">
        <f aca="false">SUMIFS(SPU监控与预算!$E:$E,SPU监控与预算!$A:$A,$A66)</f>
        <v>31340.99</v>
      </c>
      <c r="E66" s="5" t="n">
        <f aca="false">D66/规则参数!$B$8</f>
        <v>0.000959161912631407</v>
      </c>
      <c r="F66" s="4" t="n">
        <f aca="false">SUMIFS(SPU监控与预算!$G:$G,SPU监控与预算!$A:$A,$A66)</f>
        <v>7149.91</v>
      </c>
      <c r="G66" s="5" t="n">
        <f aca="false">F66/规则参数!$B$9</f>
        <v>0.00158918261825835</v>
      </c>
      <c r="H66" s="4" t="n">
        <f aca="false">SUMIFS(SPU监控与预算!$I:$I,SPU监控与预算!$A:$A,$A66)</f>
        <v>3892.52</v>
      </c>
      <c r="I66" s="5" t="n">
        <f aca="false">H66/规则参数!$B$10</f>
        <v>0.000803951006161769</v>
      </c>
      <c r="J66" s="6" t="n">
        <f aca="false">IFERROR(H66/D66,0)</f>
        <v>0.124199012220099</v>
      </c>
      <c r="K66" s="6" t="n">
        <f aca="false">IFERROR(F66/D66,0)</f>
        <v>0.228132870084831</v>
      </c>
      <c r="L66" s="3" t="n">
        <f aca="false">COUNTIFS(SPU监控与预算!$A:$A,$A66)</f>
        <v>1</v>
      </c>
      <c r="M66" s="4" t="n">
        <f aca="false">SUMIFS(SPU监控与预算!$W:$W,SPU监控与预算!$A:$A,$A66)</f>
        <v>391.573403737406</v>
      </c>
      <c r="N66" s="4" t="n">
        <f aca="false">SUMIFS(SPU监控与预算!$X:$X,SPU监控与预算!$A:$A,$A66)</f>
        <v>391.576518</v>
      </c>
    </row>
    <row r="67" customFormat="false" ht="15" hidden="false" customHeight="false" outlineLevel="0" collapsed="false">
      <c r="A67" s="3" t="s">
        <v>339</v>
      </c>
      <c r="B67" s="3" t="s">
        <v>586</v>
      </c>
      <c r="C67" s="3" t="s">
        <v>644</v>
      </c>
      <c r="D67" s="4" t="n">
        <f aca="false">SUMIFS(SPU监控与预算!$E:$E,SPU监控与预算!$A:$A,$A67)</f>
        <v>12610.83</v>
      </c>
      <c r="E67" s="5" t="n">
        <f aca="false">D67/规则参数!$B$8</f>
        <v>0.000385942748543346</v>
      </c>
      <c r="F67" s="4" t="n">
        <f aca="false">SUMIFS(SPU监控与预算!$G:$G,SPU监控与预算!$A:$A,$A67)</f>
        <v>-4244.5</v>
      </c>
      <c r="G67" s="5" t="n">
        <f aca="false">F67/规则参数!$B$9</f>
        <v>-0.0009434084657286</v>
      </c>
      <c r="H67" s="4" t="n">
        <f aca="false">SUMIFS(SPU监控与预算!$I:$I,SPU监控与预算!$A:$A,$A67)</f>
        <v>3703.5</v>
      </c>
      <c r="I67" s="5" t="n">
        <f aca="false">H67/规则参数!$B$10</f>
        <v>0.000764911304584206</v>
      </c>
      <c r="J67" s="6" t="n">
        <f aca="false">IFERROR(H67/D67,0)</f>
        <v>0.293676149785541</v>
      </c>
      <c r="K67" s="6" t="n">
        <f aca="false">IFERROR(F67/D67,0)</f>
        <v>-0.336575784464623</v>
      </c>
      <c r="L67" s="3" t="n">
        <f aca="false">COUNTIFS(SPU监控与预算!$A:$A,$A67)</f>
        <v>1</v>
      </c>
      <c r="M67" s="4" t="n">
        <f aca="false">SUMIFS(SPU监控与预算!$W:$W,SPU监控与预算!$A:$A,$A67)</f>
        <v>117.446965822234</v>
      </c>
      <c r="N67" s="4" t="n">
        <f aca="false">SUMIFS(SPU监控与预算!$X:$X,SPU监控与预算!$A:$A,$A67)</f>
        <v>0</v>
      </c>
    </row>
    <row r="68" customFormat="false" ht="15" hidden="false" customHeight="false" outlineLevel="0" collapsed="false">
      <c r="A68" s="9" t="s">
        <v>346</v>
      </c>
      <c r="B68" s="3" t="s">
        <v>586</v>
      </c>
      <c r="C68" s="3" t="s">
        <v>645</v>
      </c>
      <c r="D68" s="4" t="n">
        <f aca="false">SUMIFS(SPU监控与预算!$E:$E,SPU监控与预算!$A:$A,$A68)</f>
        <v>3206.27</v>
      </c>
      <c r="E68" s="5" t="n">
        <f aca="false">D68/规则参数!$B$8</f>
        <v>9.81249177391238E-005</v>
      </c>
      <c r="F68" s="4" t="n">
        <f aca="false">SUMIFS(SPU监控与预算!$G:$G,SPU监控与预算!$A:$A,$A68)</f>
        <v>-3102.23</v>
      </c>
      <c r="G68" s="5" t="n">
        <f aca="false">F68/规则参数!$B$9</f>
        <v>-0.000689520566530153</v>
      </c>
      <c r="H68" s="4" t="n">
        <f aca="false">SUMIFS(SPU监控与预算!$I:$I,SPU监控与预算!$A:$A,$A68)</f>
        <v>3603.12</v>
      </c>
      <c r="I68" s="5" t="n">
        <f aca="false">H68/规则参数!$B$10</f>
        <v>0.000744179079188185</v>
      </c>
      <c r="J68" s="6" t="n">
        <f aca="false">IFERROR(H68/D68,0)</f>
        <v>1.12377310706834</v>
      </c>
      <c r="K68" s="6" t="n">
        <f aca="false">IFERROR(F68/D68,0)</f>
        <v>-0.967551079603402</v>
      </c>
      <c r="L68" s="3" t="n">
        <f aca="false">COUNTIFS(SPU监控与预算!$A:$A,$A68)</f>
        <v>2</v>
      </c>
      <c r="M68" s="4" t="n">
        <f aca="false">SUMIFS(SPU监控与预算!$W:$W,SPU监控与预算!$A:$A,$A68)</f>
        <v>14.3851567812713</v>
      </c>
      <c r="N68" s="4" t="n">
        <f aca="false">SUMIFS(SPU监控与预算!$X:$X,SPU监控与预算!$A:$A,$A68)</f>
        <v>1.370752</v>
      </c>
    </row>
    <row r="69" customFormat="false" ht="15" hidden="false" customHeight="false" outlineLevel="0" collapsed="false">
      <c r="A69" s="3" t="s">
        <v>386</v>
      </c>
      <c r="B69" s="3" t="s">
        <v>578</v>
      </c>
      <c r="C69" s="3" t="s">
        <v>646</v>
      </c>
      <c r="D69" s="4" t="n">
        <f aca="false">SUMIFS(SPU监控与预算!$E:$E,SPU监控与预算!$A:$A,$A69)</f>
        <v>29907.88</v>
      </c>
      <c r="E69" s="5" t="n">
        <f aca="false">D69/规则参数!$B$8</f>
        <v>0.000915302911093447</v>
      </c>
      <c r="F69" s="4" t="n">
        <f aca="false">SUMIFS(SPU监控与预算!$G:$G,SPU监控与预算!$A:$A,$A69)</f>
        <v>4431.21</v>
      </c>
      <c r="G69" s="5" t="n">
        <f aca="false">F69/规则参数!$B$9</f>
        <v>0.00098490776944781</v>
      </c>
      <c r="H69" s="4" t="n">
        <f aca="false">SUMIFS(SPU监控与预算!$I:$I,SPU监控与预算!$A:$A,$A69)</f>
        <v>2573.34</v>
      </c>
      <c r="I69" s="5" t="n">
        <f aca="false">H69/规则参数!$B$10</f>
        <v>0.000531490983269534</v>
      </c>
      <c r="J69" s="6" t="n">
        <f aca="false">IFERROR(H69/D69,0)</f>
        <v>0.0860422069367672</v>
      </c>
      <c r="K69" s="6" t="n">
        <f aca="false">IFERROR(F69/D69,0)</f>
        <v>0.148161955979494</v>
      </c>
      <c r="L69" s="3" t="n">
        <f aca="false">COUNTIFS(SPU监控与预算!$A:$A,$A69)</f>
        <v>6</v>
      </c>
      <c r="M69" s="4" t="n">
        <f aca="false">SUMIFS(SPU监控与预算!$W:$W,SPU监控与预算!$A:$A,$A69)</f>
        <v>282.495153919312</v>
      </c>
      <c r="N69" s="4" t="n">
        <f aca="false">SUMIFS(SPU监控与预算!$X:$X,SPU监控与预算!$A:$A,$A69)</f>
        <v>282.58432</v>
      </c>
    </row>
    <row r="70" customFormat="false" ht="15" hidden="false" customHeight="false" outlineLevel="0" collapsed="false">
      <c r="A70" s="3" t="s">
        <v>372</v>
      </c>
      <c r="B70" s="3" t="s">
        <v>578</v>
      </c>
      <c r="C70" s="3" t="s">
        <v>647</v>
      </c>
      <c r="D70" s="4" t="n">
        <f aca="false">SUMIFS(SPU监控与预算!$E:$E,SPU监控与预算!$A:$A,$A70)</f>
        <v>21835.03</v>
      </c>
      <c r="E70" s="5" t="n">
        <f aca="false">D70/规则参数!$B$8</f>
        <v>0.000668240828932467</v>
      </c>
      <c r="F70" s="4" t="n">
        <f aca="false">SUMIFS(SPU监控与预算!$G:$G,SPU监控与预算!$A:$A,$A70)</f>
        <v>4856.89</v>
      </c>
      <c r="G70" s="5" t="n">
        <f aca="false">F70/规则参数!$B$9</f>
        <v>0.00107952200332491</v>
      </c>
      <c r="H70" s="4" t="n">
        <f aca="false">SUMIFS(SPU监控与预算!$I:$I,SPU监控与预算!$A:$A,$A70)</f>
        <v>2288.1</v>
      </c>
      <c r="I70" s="5" t="n">
        <f aca="false">H70/规则参数!$B$10</f>
        <v>0.000472578251929019</v>
      </c>
      <c r="J70" s="6" t="n">
        <f aca="false">IFERROR(H70/D70,0)</f>
        <v>0.104790330033895</v>
      </c>
      <c r="K70" s="6" t="n">
        <f aca="false">IFERROR(F70/D70,0)</f>
        <v>0.222435691638619</v>
      </c>
      <c r="L70" s="3" t="n">
        <f aca="false">COUNTIFS(SPU监控与预算!$A:$A,$A70)</f>
        <v>1</v>
      </c>
      <c r="M70" s="4" t="n">
        <f aca="false">SUMIFS(SPU监控与预算!$W:$W,SPU监控与预算!$A:$A,$A70)</f>
        <v>1357.03267813234</v>
      </c>
      <c r="N70" s="4" t="n">
        <f aca="false">SUMIFS(SPU监控与预算!$X:$X,SPU监控与预算!$A:$A,$A70)</f>
        <v>1357.157904</v>
      </c>
    </row>
    <row r="71" customFormat="false" ht="15" hidden="false" customHeight="false" outlineLevel="0" collapsed="false">
      <c r="A71" s="3" t="s">
        <v>374</v>
      </c>
      <c r="B71" s="3" t="s">
        <v>46</v>
      </c>
      <c r="C71" s="3" t="s">
        <v>648</v>
      </c>
      <c r="D71" s="4" t="n">
        <f aca="false">SUMIFS(SPU监控与预算!$E:$E,SPU监控与预算!$A:$A,$A71)</f>
        <v>12171.45</v>
      </c>
      <c r="E71" s="5" t="n">
        <f aca="false">D71/规则参数!$B$8</f>
        <v>0.000372495931414341</v>
      </c>
      <c r="F71" s="4" t="n">
        <f aca="false">SUMIFS(SPU监控与预算!$G:$G,SPU监控与预算!$A:$A,$A71)</f>
        <v>1890.16</v>
      </c>
      <c r="G71" s="5" t="n">
        <f aca="false">F71/规则参数!$B$9</f>
        <v>0.000420118493481345</v>
      </c>
      <c r="H71" s="4" t="n">
        <f aca="false">SUMIFS(SPU监控与预算!$I:$I,SPU监控与预算!$A:$A,$A71)</f>
        <v>2146.34</v>
      </c>
      <c r="I71" s="5" t="n">
        <f aca="false">H71/规则参数!$B$10</f>
        <v>0.000443299508432905</v>
      </c>
      <c r="J71" s="6" t="n">
        <f aca="false">IFERROR(H71/D71,0)</f>
        <v>0.17634217780133</v>
      </c>
      <c r="K71" s="6" t="n">
        <f aca="false">IFERROR(F71/D71,0)</f>
        <v>0.155294562274832</v>
      </c>
      <c r="L71" s="3" t="n">
        <f aca="false">COUNTIFS(SPU监控与预算!$A:$A,$A71)</f>
        <v>1</v>
      </c>
      <c r="M71" s="4" t="n">
        <f aca="false">SUMIFS(SPU监控与预算!$W:$W,SPU监控与预算!$A:$A,$A71)</f>
        <v>737.4118483336</v>
      </c>
      <c r="N71" s="4" t="n">
        <f aca="false">SUMIFS(SPU监控与预算!$X:$X,SPU监控与预算!$A:$A,$A71)</f>
        <v>627.2565</v>
      </c>
    </row>
    <row r="72" customFormat="false" ht="15" hidden="false" customHeight="false" outlineLevel="0" collapsed="false">
      <c r="A72" s="3" t="s">
        <v>415</v>
      </c>
      <c r="B72" s="3" t="s">
        <v>578</v>
      </c>
      <c r="C72" s="3" t="s">
        <v>649</v>
      </c>
      <c r="D72" s="4" t="n">
        <f aca="false">SUMIFS(SPU监控与预算!$E:$E,SPU监控与预算!$A:$A,$A72)</f>
        <v>9658.08</v>
      </c>
      <c r="E72" s="5" t="n">
        <f aca="false">D72/规则参数!$B$8</f>
        <v>0.000295576575122456</v>
      </c>
      <c r="F72" s="4" t="n">
        <f aca="false">SUMIFS(SPU监控与预算!$G:$G,SPU监控与预算!$A:$A,$A72)</f>
        <v>-2808.95</v>
      </c>
      <c r="G72" s="5" t="n">
        <f aca="false">F72/规则参数!$B$9</f>
        <v>-0.000624334364426517</v>
      </c>
      <c r="H72" s="4" t="n">
        <f aca="false">SUMIFS(SPU监控与预算!$I:$I,SPU监控与预算!$A:$A,$A72)</f>
        <v>1375.84</v>
      </c>
      <c r="I72" s="5" t="n">
        <f aca="false">H72/规则参数!$B$10</f>
        <v>0.000284162432644561</v>
      </c>
      <c r="J72" s="6" t="n">
        <f aca="false">IFERROR(H72/D72,0)</f>
        <v>0.142454815035701</v>
      </c>
      <c r="K72" s="6" t="n">
        <f aca="false">IFERROR(F72/D72,0)</f>
        <v>-0.290839380083826</v>
      </c>
      <c r="L72" s="3" t="n">
        <f aca="false">COUNTIFS(SPU监控与预算!$A:$A,$A72)</f>
        <v>2</v>
      </c>
      <c r="M72" s="4" t="n">
        <f aca="false">SUMIFS(SPU监控与预算!$W:$W,SPU监控与预算!$A:$A,$A72)</f>
        <v>0</v>
      </c>
      <c r="N72" s="4" t="n">
        <f aca="false">SUMIFS(SPU监控与预算!$X:$X,SPU监控与预算!$A:$A,$A72)</f>
        <v>0</v>
      </c>
    </row>
    <row r="73" customFormat="false" ht="15" hidden="false" customHeight="false" outlineLevel="0" collapsed="false">
      <c r="A73" s="3" t="s">
        <v>424</v>
      </c>
      <c r="B73" s="3" t="s">
        <v>578</v>
      </c>
      <c r="C73" s="3" t="s">
        <v>649</v>
      </c>
      <c r="D73" s="4" t="n">
        <f aca="false">SUMIFS(SPU监控与预算!$E:$E,SPU监控与预算!$A:$A,$A73)</f>
        <v>9237.73</v>
      </c>
      <c r="E73" s="5" t="n">
        <f aca="false">D73/规则参数!$B$8</f>
        <v>0.000282712153482469</v>
      </c>
      <c r="F73" s="4" t="n">
        <f aca="false">SUMIFS(SPU监控与预算!$G:$G,SPU监控与预算!$A:$A,$A73)</f>
        <v>1010.49</v>
      </c>
      <c r="G73" s="5" t="n">
        <f aca="false">F73/规则参数!$B$9</f>
        <v>0.000224597672407608</v>
      </c>
      <c r="H73" s="4" t="n">
        <f aca="false">SUMIFS(SPU监控与预算!$I:$I,SPU监控与预算!$A:$A,$A73)</f>
        <v>1124.37</v>
      </c>
      <c r="I73" s="5" t="n">
        <f aca="false">H73/规则参数!$B$10</f>
        <v>0.000232224469700376</v>
      </c>
      <c r="J73" s="6" t="n">
        <f aca="false">IFERROR(H73/D73,0)</f>
        <v>0.12171496677214</v>
      </c>
      <c r="K73" s="6" t="n">
        <f aca="false">IFERROR(F73/D73,0)</f>
        <v>0.109387262888177</v>
      </c>
      <c r="L73" s="3" t="n">
        <f aca="false">COUNTIFS(SPU监控与预算!$A:$A,$A73)</f>
        <v>6</v>
      </c>
      <c r="M73" s="4" t="n">
        <f aca="false">SUMIFS(SPU监控与预算!$W:$W,SPU监控与预算!$A:$A,$A73)</f>
        <v>0</v>
      </c>
      <c r="N73" s="4" t="n">
        <f aca="false">SUMIFS(SPU监控与预算!$X:$X,SPU监控与预算!$A:$A,$A73)</f>
        <v>0</v>
      </c>
    </row>
    <row r="74" customFormat="false" ht="15" hidden="false" customHeight="false" outlineLevel="0" collapsed="false">
      <c r="A74" s="3" t="s">
        <v>412</v>
      </c>
      <c r="B74" s="3" t="s">
        <v>578</v>
      </c>
      <c r="C74" s="3" t="s">
        <v>649</v>
      </c>
      <c r="D74" s="4" t="n">
        <f aca="false">SUMIFS(SPU监控与预算!$E:$E,SPU监控与预算!$A:$A,$A74)</f>
        <v>15297.97</v>
      </c>
      <c r="E74" s="5" t="n">
        <f aca="false">D74/规则参数!$B$8</f>
        <v>0.000468180174416248</v>
      </c>
      <c r="F74" s="4" t="n">
        <f aca="false">SUMIFS(SPU监控与预算!$G:$G,SPU监控与预算!$A:$A,$A74)</f>
        <v>-8689.65</v>
      </c>
      <c r="G74" s="5" t="n">
        <f aca="false">F74/规则参数!$B$9</f>
        <v>-0.00193141462462446</v>
      </c>
      <c r="H74" s="4" t="n">
        <f aca="false">SUMIFS(SPU监控与预算!$I:$I,SPU监控与预算!$A:$A,$A74)</f>
        <v>987.72</v>
      </c>
      <c r="I74" s="5" t="n">
        <f aca="false">H74/规则参数!$B$10</f>
        <v>0.000204001132378537</v>
      </c>
      <c r="J74" s="6" t="n">
        <f aca="false">IFERROR(H74/D74,0)</f>
        <v>0.0645654292693736</v>
      </c>
      <c r="K74" s="6" t="n">
        <f aca="false">IFERROR(F74/D74,0)</f>
        <v>-0.568026345979238</v>
      </c>
      <c r="L74" s="3" t="n">
        <f aca="false">COUNTIFS(SPU监控与预算!$A:$A,$A74)</f>
        <v>3</v>
      </c>
      <c r="M74" s="4" t="n">
        <f aca="false">SUMIFS(SPU监控与预算!$W:$W,SPU监控与预算!$A:$A,$A74)</f>
        <v>0</v>
      </c>
      <c r="N74" s="4" t="n">
        <f aca="false">SUMIFS(SPU监控与预算!$X:$X,SPU监控与预算!$A:$A,$A74)</f>
        <v>0</v>
      </c>
    </row>
    <row r="75" customFormat="false" ht="15" hidden="false" customHeight="false" outlineLevel="0" collapsed="false">
      <c r="A75" s="3" t="s">
        <v>434</v>
      </c>
      <c r="B75" s="3" t="s">
        <v>578</v>
      </c>
      <c r="C75" s="3" t="s">
        <v>649</v>
      </c>
      <c r="D75" s="4" t="n">
        <f aca="false">SUMIFS(SPU监控与预算!$E:$E,SPU监控与预算!$A:$A,$A75)</f>
        <v>3106.5</v>
      </c>
      <c r="E75" s="5" t="n">
        <f aca="false">D75/规则参数!$B$8</f>
        <v>9.50715494816681E-005</v>
      </c>
      <c r="F75" s="4" t="n">
        <f aca="false">SUMIFS(SPU监控与预算!$G:$G,SPU监控与预算!$A:$A,$A75)</f>
        <v>335.39</v>
      </c>
      <c r="G75" s="5" t="n">
        <f aca="false">F75/规则参数!$B$9</f>
        <v>7.45458276170845E-005</v>
      </c>
      <c r="H75" s="4" t="n">
        <f aca="false">SUMIFS(SPU监控与预算!$I:$I,SPU监控与预算!$A:$A,$A75)</f>
        <v>703.26</v>
      </c>
      <c r="I75" s="5" t="n">
        <f aca="false">H75/规则参数!$B$10</f>
        <v>0.000145249500219222</v>
      </c>
      <c r="J75" s="6" t="n">
        <f aca="false">IFERROR(H75/D75,0)</f>
        <v>0.226383389666828</v>
      </c>
      <c r="K75" s="6" t="n">
        <f aca="false">IFERROR(F75/D75,0)</f>
        <v>0.107963946563657</v>
      </c>
      <c r="L75" s="3" t="n">
        <f aca="false">COUNTIFS(SPU监控与预算!$A:$A,$A75)</f>
        <v>1</v>
      </c>
      <c r="M75" s="4" t="n">
        <f aca="false">SUMIFS(SPU监控与预算!$W:$W,SPU监控与预算!$A:$A,$A75)</f>
        <v>431.160748623853</v>
      </c>
      <c r="N75" s="4" t="n">
        <f aca="false">SUMIFS(SPU监控与预算!$X:$X,SPU监控与预算!$A:$A,$A75)</f>
        <v>342.8208</v>
      </c>
    </row>
    <row r="76" customFormat="false" ht="15" hidden="false" customHeight="false" outlineLevel="0" collapsed="false">
      <c r="A76" s="3" t="s">
        <v>486</v>
      </c>
      <c r="B76" s="3" t="s">
        <v>578</v>
      </c>
      <c r="C76" s="3" t="s">
        <v>649</v>
      </c>
      <c r="D76" s="4" t="n">
        <f aca="false">SUMIFS(SPU监控与预算!$E:$E,SPU监控与预算!$A:$A,$A76)</f>
        <v>4376.11</v>
      </c>
      <c r="E76" s="5" t="n">
        <f aca="false">D76/规则参数!$B$8</f>
        <v>0.000133926785257435</v>
      </c>
      <c r="F76" s="4" t="n">
        <f aca="false">SUMIFS(SPU监控与预算!$G:$G,SPU监控与预算!$A:$A,$A76)</f>
        <v>272.35</v>
      </c>
      <c r="G76" s="5" t="n">
        <f aca="false">F76/规则参数!$B$9</f>
        <v>6.0534172609538E-005</v>
      </c>
      <c r="H76" s="4" t="n">
        <f aca="false">SUMIFS(SPU监控与预算!$I:$I,SPU监控与预算!$A:$A,$A76)</f>
        <v>87.85</v>
      </c>
      <c r="I76" s="5" t="n">
        <f aca="false">H76/规则参数!$B$10</f>
        <v>1.81443116262245E-005</v>
      </c>
      <c r="J76" s="6" t="n">
        <f aca="false">IFERROR(H76/D76,0)</f>
        <v>0.0200749067093834</v>
      </c>
      <c r="K76" s="6" t="n">
        <f aca="false">IFERROR(F76/D76,0)</f>
        <v>0.0622356385008604</v>
      </c>
      <c r="L76" s="3" t="n">
        <f aca="false">COUNTIFS(SPU监控与预算!$A:$A,$A76)</f>
        <v>3</v>
      </c>
      <c r="M76" s="4" t="n">
        <f aca="false">SUMIFS(SPU监控与预算!$W:$W,SPU监控与预算!$A:$A,$A76)</f>
        <v>0</v>
      </c>
      <c r="N76" s="4" t="n">
        <f aca="false">SUMIFS(SPU监控与预算!$X:$X,SPU监控与预算!$A:$A,$A76)</f>
        <v>0</v>
      </c>
    </row>
    <row r="77" customFormat="false" ht="15" hidden="false" customHeight="false" outlineLevel="0" collapsed="false">
      <c r="A77" s="3" t="s">
        <v>495</v>
      </c>
      <c r="B77" s="3" t="s">
        <v>578</v>
      </c>
      <c r="C77" s="3" t="s">
        <v>649</v>
      </c>
      <c r="D77" s="4" t="n">
        <f aca="false">SUMIFS(SPU监控与预算!$E:$E,SPU监控与预算!$A:$A,$A77)</f>
        <v>543.53</v>
      </c>
      <c r="E77" s="5" t="n">
        <f aca="false">D77/规则参数!$B$8</f>
        <v>1.66342312215584E-005</v>
      </c>
      <c r="F77" s="4" t="n">
        <f aca="false">SUMIFS(SPU监控与预算!$G:$G,SPU监控与预算!$A:$A,$A77)</f>
        <v>-1617.93</v>
      </c>
      <c r="G77" s="5" t="n">
        <f aca="false">F77/规则参数!$B$9</f>
        <v>-0.000359610992803928</v>
      </c>
      <c r="H77" s="4" t="n">
        <f aca="false">SUMIFS(SPU监控与预算!$I:$I,SPU监控与预算!$A:$A,$A77)</f>
        <v>27.59</v>
      </c>
      <c r="I77" s="5" t="n">
        <f aca="false">H77/规则参数!$B$10</f>
        <v>5.69836719143465E-006</v>
      </c>
      <c r="J77" s="6" t="n">
        <f aca="false">IFERROR(H77/D77,0)</f>
        <v>0.0507607675749269</v>
      </c>
      <c r="K77" s="6" t="n">
        <f aca="false">IFERROR(F77/D77,0)</f>
        <v>-2.97670781741578</v>
      </c>
      <c r="L77" s="3" t="n">
        <f aca="false">COUNTIFS(SPU监控与预算!$A:$A,$A77)</f>
        <v>4</v>
      </c>
      <c r="M77" s="4" t="n">
        <f aca="false">SUMIFS(SPU监控与预算!$W:$W,SPU监控与预算!$A:$A,$A77)</f>
        <v>0</v>
      </c>
      <c r="N77" s="4" t="n">
        <f aca="false">SUMIFS(SPU监控与预算!$X:$X,SPU监控与预算!$A:$A,$A77)</f>
        <v>0</v>
      </c>
    </row>
    <row r="78" customFormat="false" ht="15" hidden="false" customHeight="false" outlineLevel="0" collapsed="false">
      <c r="A78" s="3" t="s">
        <v>511</v>
      </c>
      <c r="B78" s="3" t="s">
        <v>578</v>
      </c>
      <c r="C78" s="3" t="s">
        <v>649</v>
      </c>
      <c r="D78" s="4" t="n">
        <f aca="false">SUMIFS(SPU监控与预算!$E:$E,SPU监控与预算!$A:$A,$A78)</f>
        <v>0</v>
      </c>
      <c r="E78" s="5" t="n">
        <f aca="false">D78/规则参数!$B$8</f>
        <v>0</v>
      </c>
      <c r="F78" s="4" t="n">
        <f aca="false">SUMIFS(SPU监控与预算!$G:$G,SPU监控与预算!$A:$A,$A78)</f>
        <v>-0.81</v>
      </c>
      <c r="G78" s="5" t="n">
        <f aca="false">F78/规则参数!$B$9</f>
        <v>-1.80035541816507E-007</v>
      </c>
      <c r="H78" s="4" t="n">
        <f aca="false">SUMIFS(SPU监控与预算!$I:$I,SPU监控与预算!$A:$A,$A78)</f>
        <v>0.75</v>
      </c>
      <c r="I78" s="5" t="n">
        <f aca="false">H78/规则参数!$B$10</f>
        <v>1.54903058846538E-007</v>
      </c>
      <c r="J78" s="6" t="n">
        <f aca="false">IFERROR(H78/D78,0)</f>
        <v>0</v>
      </c>
      <c r="K78" s="6" t="n">
        <f aca="false">IFERROR(F78/D78,0)</f>
        <v>0</v>
      </c>
      <c r="L78" s="3" t="n">
        <f aca="false">COUNTIFS(SPU监控与预算!$A:$A,$A78)</f>
        <v>1</v>
      </c>
      <c r="M78" s="4" t="n">
        <f aca="false">SUMIFS(SPU监控与预算!$W:$W,SPU监控与预算!$A:$A,$A78)</f>
        <v>0</v>
      </c>
      <c r="N78" s="4" t="n">
        <f aca="false">SUMIFS(SPU监控与预算!$X:$X,SPU监控与预算!$A:$A,$A78)</f>
        <v>0</v>
      </c>
    </row>
    <row r="79" customFormat="false" ht="15" hidden="false" customHeight="false" outlineLevel="0" collapsed="false">
      <c r="A79" s="9" t="s">
        <v>517</v>
      </c>
      <c r="B79" s="3" t="s">
        <v>578</v>
      </c>
      <c r="C79" s="3" t="s">
        <v>649</v>
      </c>
      <c r="D79" s="4" t="n">
        <f aca="false">SUMIFS(SPU监控与预算!$E:$E,SPU监控与预算!$A:$A,$A79)</f>
        <v>32.47</v>
      </c>
      <c r="E79" s="5" t="n">
        <f aca="false">D79/规则参数!$B$8</f>
        <v>9.93714215892407E-007</v>
      </c>
      <c r="F79" s="4" t="n">
        <f aca="false">SUMIFS(SPU监控与预算!$G:$G,SPU监控与预算!$A:$A,$A79)</f>
        <v>8.82</v>
      </c>
      <c r="G79" s="5" t="n">
        <f aca="false">F79/规则参数!$B$9</f>
        <v>1.96038701089086E-006</v>
      </c>
      <c r="H79" s="4" t="n">
        <f aca="false">SUMIFS(SPU监控与预算!$I:$I,SPU监控与预算!$A:$A,$A79)</f>
        <v>0</v>
      </c>
      <c r="I79" s="5" t="n">
        <f aca="false">H79/规则参数!$B$10</f>
        <v>0</v>
      </c>
      <c r="J79" s="6" t="n">
        <f aca="false">IFERROR(H79/D79,0)</f>
        <v>0</v>
      </c>
      <c r="K79" s="6" t="n">
        <f aca="false">IFERROR(F79/D79,0)</f>
        <v>0.271635355712966</v>
      </c>
      <c r="L79" s="3" t="n">
        <f aca="false">COUNTIFS(SPU监控与预算!$A:$A,$A79)</f>
        <v>1</v>
      </c>
      <c r="M79" s="4" t="n">
        <f aca="false">SUMIFS(SPU监控与预算!$W:$W,SPU监控与预算!$A:$A,$A79)</f>
        <v>0</v>
      </c>
      <c r="N79" s="4" t="n">
        <f aca="false">SUMIFS(SPU监控与预算!$X:$X,SPU监控与预算!$A:$A,$A79)</f>
        <v>0</v>
      </c>
    </row>
    <row r="80" customFormat="false" ht="15" hidden="false" customHeight="false" outlineLevel="0" collapsed="false">
      <c r="A80" s="9" t="s">
        <v>519</v>
      </c>
      <c r="B80" s="3" t="s">
        <v>578</v>
      </c>
      <c r="C80" s="3" t="s">
        <v>649</v>
      </c>
      <c r="D80" s="4" t="n">
        <f aca="false">SUMIFS(SPU监控与预算!$E:$E,SPU监控与预算!$A:$A,$A80)</f>
        <v>226.97</v>
      </c>
      <c r="E80" s="5" t="n">
        <f aca="false">D80/规则参数!$B$8</f>
        <v>6.94620620822604E-006</v>
      </c>
      <c r="F80" s="4" t="n">
        <f aca="false">SUMIFS(SPU监控与预算!$G:$G,SPU监控与预算!$A:$A,$A80)</f>
        <v>66.41</v>
      </c>
      <c r="G80" s="5" t="n">
        <f aca="false">F80/规则参数!$B$9</f>
        <v>1.47606917679435E-005</v>
      </c>
      <c r="H80" s="4" t="n">
        <f aca="false">SUMIFS(SPU监控与预算!$I:$I,SPU监控与预算!$A:$A,$A80)</f>
        <v>0</v>
      </c>
      <c r="I80" s="5" t="n">
        <f aca="false">H80/规则参数!$B$10</f>
        <v>0</v>
      </c>
      <c r="J80" s="6" t="n">
        <f aca="false">IFERROR(H80/D80,0)</f>
        <v>0</v>
      </c>
      <c r="K80" s="6" t="n">
        <f aca="false">IFERROR(F80/D80,0)</f>
        <v>0.292593734854827</v>
      </c>
      <c r="L80" s="3" t="n">
        <f aca="false">COUNTIFS(SPU监控与预算!$A:$A,$A80)</f>
        <v>2</v>
      </c>
      <c r="M80" s="4" t="n">
        <f aca="false">SUMIFS(SPU监控与预算!$W:$W,SPU监控与预算!$A:$A,$A80)</f>
        <v>0</v>
      </c>
      <c r="N80" s="4" t="n">
        <f aca="false">SUMIFS(SPU监控与预算!$X:$X,SPU监控与预算!$A:$A,$A80)</f>
        <v>0</v>
      </c>
    </row>
    <row r="81" customFormat="false" ht="15" hidden="false" customHeight="false" outlineLevel="0" collapsed="false">
      <c r="A81" s="3" t="s">
        <v>523</v>
      </c>
      <c r="B81" s="3" t="s">
        <v>578</v>
      </c>
      <c r="C81" s="3" t="s">
        <v>649</v>
      </c>
      <c r="D81" s="4" t="n">
        <f aca="false">SUMIFS(SPU监控与预算!$E:$E,SPU监控与预算!$A:$A,$A81)</f>
        <v>2527.53</v>
      </c>
      <c r="E81" s="5" t="n">
        <f aca="false">D81/规则参数!$B$8</f>
        <v>7.73527099505555E-005</v>
      </c>
      <c r="F81" s="4" t="n">
        <f aca="false">SUMIFS(SPU监控与预算!$G:$G,SPU监控与预算!$A:$A,$A81)</f>
        <v>-1271.1</v>
      </c>
      <c r="G81" s="5" t="n">
        <f aca="false">F81/规则参数!$B$9</f>
        <v>-0.000282522440991312</v>
      </c>
      <c r="H81" s="4" t="n">
        <f aca="false">SUMIFS(SPU监控与预算!$I:$I,SPU监控与预算!$A:$A,$A81)</f>
        <v>0</v>
      </c>
      <c r="I81" s="5" t="n">
        <f aca="false">H81/规则参数!$B$10</f>
        <v>0</v>
      </c>
      <c r="J81" s="6" t="n">
        <f aca="false">IFERROR(H81/D81,0)</f>
        <v>0</v>
      </c>
      <c r="K81" s="6" t="n">
        <f aca="false">IFERROR(F81/D81,0)</f>
        <v>-0.502902042705725</v>
      </c>
      <c r="L81" s="3" t="n">
        <f aca="false">COUNTIFS(SPU监控与预算!$A:$A,$A81)</f>
        <v>1</v>
      </c>
      <c r="M81" s="4" t="n">
        <f aca="false">SUMIFS(SPU监控与预算!$W:$W,SPU监控与预算!$A:$A,$A81)</f>
        <v>0</v>
      </c>
      <c r="N81" s="4" t="n">
        <f aca="false">SUMIFS(SPU监控与预算!$X:$X,SPU监控与预算!$A:$A,$A81)</f>
        <v>0</v>
      </c>
    </row>
    <row r="82" customFormat="false" ht="15" hidden="false" customHeight="false" outlineLevel="0" collapsed="false">
      <c r="A82" s="9" t="s">
        <v>527</v>
      </c>
      <c r="B82" s="3" t="s">
        <v>578</v>
      </c>
      <c r="C82" s="3" t="s">
        <v>649</v>
      </c>
      <c r="D82" s="4" t="n">
        <f aca="false">SUMIFS(SPU监控与预算!$E:$E,SPU监控与预算!$A:$A,$A82)</f>
        <v>92.25</v>
      </c>
      <c r="E82" s="5" t="n">
        <f aca="false">D82/规则参数!$B$8</f>
        <v>2.82322563646673E-006</v>
      </c>
      <c r="F82" s="4" t="n">
        <f aca="false">SUMIFS(SPU监控与预算!$G:$G,SPU监控与预算!$A:$A,$A82)</f>
        <v>-26.02</v>
      </c>
      <c r="G82" s="5" t="n">
        <f aca="false">F82/规则参数!$B$9</f>
        <v>-5.78336394822904E-006</v>
      </c>
      <c r="H82" s="4" t="n">
        <f aca="false">SUMIFS(SPU监控与预算!$I:$I,SPU监控与预算!$A:$A,$A82)</f>
        <v>0</v>
      </c>
      <c r="I82" s="5" t="n">
        <f aca="false">H82/规则参数!$B$10</f>
        <v>0</v>
      </c>
      <c r="J82" s="6" t="n">
        <f aca="false">IFERROR(H82/D82,0)</f>
        <v>0</v>
      </c>
      <c r="K82" s="6" t="n">
        <f aca="false">IFERROR(F82/D82,0)</f>
        <v>-0.282059620596206</v>
      </c>
      <c r="L82" s="3" t="n">
        <f aca="false">COUNTIFS(SPU监控与预算!$A:$A,$A82)</f>
        <v>1</v>
      </c>
      <c r="M82" s="4" t="n">
        <f aca="false">SUMIFS(SPU监控与预算!$W:$W,SPU监控与预算!$A:$A,$A82)</f>
        <v>0</v>
      </c>
      <c r="N82" s="4" t="n">
        <f aca="false">SUMIFS(SPU监控与预算!$X:$X,SPU监控与预算!$A:$A,$A82)</f>
        <v>0</v>
      </c>
    </row>
    <row r="83" customFormat="false" ht="15" hidden="false" customHeight="false" outlineLevel="0" collapsed="false">
      <c r="A83" s="3" t="s">
        <v>537</v>
      </c>
      <c r="B83" s="3" t="s">
        <v>578</v>
      </c>
      <c r="C83" s="3" t="s">
        <v>649</v>
      </c>
      <c r="D83" s="4" t="n">
        <f aca="false">SUMIFS(SPU监控与预算!$E:$E,SPU监控与预算!$A:$A,$A83)</f>
        <v>86.32</v>
      </c>
      <c r="E83" s="5" t="n">
        <f aca="false">D83/规则参数!$B$8</f>
        <v>2.64174348986241E-006</v>
      </c>
      <c r="F83" s="4" t="n">
        <f aca="false">SUMIFS(SPU监控与预算!$G:$G,SPU监控与预算!$A:$A,$A83)</f>
        <v>31.88</v>
      </c>
      <c r="G83" s="5" t="n">
        <f aca="false">F83/规则参数!$B$9</f>
        <v>7.08584330013612E-006</v>
      </c>
      <c r="H83" s="4" t="n">
        <f aca="false">SUMIFS(SPU监控与预算!$I:$I,SPU监控与预算!$A:$A,$A83)</f>
        <v>0</v>
      </c>
      <c r="I83" s="5" t="n">
        <f aca="false">H83/规则参数!$B$10</f>
        <v>0</v>
      </c>
      <c r="J83" s="6" t="n">
        <f aca="false">IFERROR(H83/D83,0)</f>
        <v>0</v>
      </c>
      <c r="K83" s="6" t="n">
        <f aca="false">IFERROR(F83/D83,0)</f>
        <v>0.369323447636701</v>
      </c>
      <c r="L83" s="3" t="n">
        <f aca="false">COUNTIFS(SPU监控与预算!$A:$A,$A83)</f>
        <v>2</v>
      </c>
      <c r="M83" s="4" t="n">
        <f aca="false">SUMIFS(SPU监控与预算!$W:$W,SPU监控与预算!$A:$A,$A83)</f>
        <v>0</v>
      </c>
      <c r="N83" s="4" t="n">
        <f aca="false">SUMIFS(SPU监控与预算!$X:$X,SPU监控与预算!$A:$A,$A83)</f>
        <v>0</v>
      </c>
    </row>
    <row r="84" customFormat="false" ht="15" hidden="false" customHeight="false" outlineLevel="0" collapsed="false">
      <c r="A84" s="3" t="s">
        <v>539</v>
      </c>
      <c r="B84" s="3" t="s">
        <v>578</v>
      </c>
      <c r="C84" s="3" t="s">
        <v>649</v>
      </c>
      <c r="D84" s="4" t="n">
        <f aca="false">SUMIFS(SPU监控与预算!$E:$E,SPU监控与预算!$A:$A,$A84)</f>
        <v>758.76</v>
      </c>
      <c r="E84" s="5" t="n">
        <f aca="false">D84/规则参数!$B$8</f>
        <v>2.32211456252086E-005</v>
      </c>
      <c r="F84" s="4" t="n">
        <f aca="false">SUMIFS(SPU监控与预算!$G:$G,SPU监控与预算!$A:$A,$A84)</f>
        <v>239.31</v>
      </c>
      <c r="G84" s="5" t="n">
        <f aca="false">F84/规则参数!$B$9</f>
        <v>5.31905006322326E-005</v>
      </c>
      <c r="H84" s="4" t="n">
        <f aca="false">SUMIFS(SPU监控与预算!$I:$I,SPU监控与预算!$A:$A,$A84)</f>
        <v>0</v>
      </c>
      <c r="I84" s="5" t="n">
        <f aca="false">H84/规则参数!$B$10</f>
        <v>0</v>
      </c>
      <c r="J84" s="6" t="n">
        <f aca="false">IFERROR(H84/D84,0)</f>
        <v>0</v>
      </c>
      <c r="K84" s="6" t="n">
        <f aca="false">IFERROR(F84/D84,0)</f>
        <v>0.315396172702831</v>
      </c>
      <c r="L84" s="3" t="n">
        <f aca="false">COUNTIFS(SPU监控与预算!$A:$A,$A84)</f>
        <v>2</v>
      </c>
      <c r="M84" s="4" t="n">
        <f aca="false">SUMIFS(SPU监控与预算!$W:$W,SPU监控与预算!$A:$A,$A84)</f>
        <v>0</v>
      </c>
      <c r="N84" s="4" t="n">
        <f aca="false">SUMIFS(SPU监控与预算!$X:$X,SPU监控与预算!$A:$A,$A84)</f>
        <v>0</v>
      </c>
    </row>
    <row r="85" customFormat="false" ht="15" hidden="false" customHeight="false" outlineLevel="0" collapsed="false">
      <c r="A85" s="3" t="s">
        <v>543</v>
      </c>
      <c r="B85" s="3" t="s">
        <v>578</v>
      </c>
      <c r="C85" s="3" t="s">
        <v>649</v>
      </c>
      <c r="D85" s="4" t="n">
        <f aca="false">SUMIFS(SPU监控与预算!$E:$E,SPU监控与预算!$A:$A,$A85)</f>
        <v>59.51</v>
      </c>
      <c r="E85" s="5" t="n">
        <f aca="false">D85/规则参数!$B$8</f>
        <v>1.82124832115051E-006</v>
      </c>
      <c r="F85" s="4" t="n">
        <f aca="false">SUMIFS(SPU监控与预算!$G:$G,SPU监控与预算!$A:$A,$A85)</f>
        <v>-8.98</v>
      </c>
      <c r="G85" s="5" t="n">
        <f aca="false">F85/规则参数!$B$9</f>
        <v>-1.99594958705214E-006</v>
      </c>
      <c r="H85" s="4" t="n">
        <f aca="false">SUMIFS(SPU监控与预算!$I:$I,SPU监控与预算!$A:$A,$A85)</f>
        <v>0</v>
      </c>
      <c r="I85" s="5" t="n">
        <f aca="false">H85/规则参数!$B$10</f>
        <v>0</v>
      </c>
      <c r="J85" s="6" t="n">
        <f aca="false">IFERROR(H85/D85,0)</f>
        <v>0</v>
      </c>
      <c r="K85" s="6" t="n">
        <f aca="false">IFERROR(F85/D85,0)</f>
        <v>-0.150899008569988</v>
      </c>
      <c r="L85" s="3" t="n">
        <f aca="false">COUNTIFS(SPU监控与预算!$A:$A,$A85)</f>
        <v>1</v>
      </c>
      <c r="M85" s="4" t="n">
        <f aca="false">SUMIFS(SPU监控与预算!$W:$W,SPU监控与预算!$A:$A,$A85)</f>
        <v>0</v>
      </c>
      <c r="N85" s="4" t="n">
        <f aca="false">SUMIFS(SPU监控与预算!$X:$X,SPU监控与预算!$A:$A,$A85)</f>
        <v>0</v>
      </c>
    </row>
    <row r="86" customFormat="false" ht="15" hidden="false" customHeight="false" outlineLevel="0" collapsed="false">
      <c r="A86" s="3" t="s">
        <v>546</v>
      </c>
      <c r="B86" s="3" t="s">
        <v>578</v>
      </c>
      <c r="C86" s="3" t="s">
        <v>649</v>
      </c>
      <c r="D86" s="4" t="n">
        <f aca="false">SUMIFS(SPU监控与预算!$E:$E,SPU监控与预算!$A:$A,$A86)</f>
        <v>107.91</v>
      </c>
      <c r="E86" s="5" t="n">
        <f aca="false">D86/规则参数!$B$8</f>
        <v>3.30248540304742E-006</v>
      </c>
      <c r="F86" s="4" t="n">
        <f aca="false">SUMIFS(SPU监控与预算!$G:$G,SPU监控与预算!$A:$A,$A86)</f>
        <v>37.75</v>
      </c>
      <c r="G86" s="5" t="n">
        <f aca="false">F86/规则参数!$B$9</f>
        <v>8.39054531305328E-006</v>
      </c>
      <c r="H86" s="4" t="n">
        <f aca="false">SUMIFS(SPU监控与预算!$I:$I,SPU监控与预算!$A:$A,$A86)</f>
        <v>0</v>
      </c>
      <c r="I86" s="5" t="n">
        <f aca="false">H86/规则参数!$B$10</f>
        <v>0</v>
      </c>
      <c r="J86" s="6" t="n">
        <f aca="false">IFERROR(H86/D86,0)</f>
        <v>0</v>
      </c>
      <c r="K86" s="6" t="n">
        <f aca="false">IFERROR(F86/D86,0)</f>
        <v>0.349828560837735</v>
      </c>
      <c r="L86" s="3" t="n">
        <f aca="false">COUNTIFS(SPU监控与预算!$A:$A,$A86)</f>
        <v>1</v>
      </c>
      <c r="M86" s="4" t="n">
        <f aca="false">SUMIFS(SPU监控与预算!$W:$W,SPU监控与预算!$A:$A,$A86)</f>
        <v>0</v>
      </c>
      <c r="N86" s="4" t="n">
        <f aca="false">SUMIFS(SPU监控与预算!$X:$X,SPU监控与预算!$A:$A,$A86)</f>
        <v>0</v>
      </c>
    </row>
    <row r="87" customFormat="false" ht="15" hidden="false" customHeight="false" outlineLevel="0" collapsed="false">
      <c r="A87" s="3" t="s">
        <v>560</v>
      </c>
      <c r="B87" s="3" t="s">
        <v>578</v>
      </c>
      <c r="C87" s="3" t="s">
        <v>649</v>
      </c>
      <c r="D87" s="4" t="n">
        <f aca="false">SUMIFS(SPU监控与预算!$E:$E,SPU监控与预算!$A:$A,$A87)</f>
        <v>45.81</v>
      </c>
      <c r="E87" s="5" t="n">
        <f aca="false">D87/规则参数!$B$8</f>
        <v>1.40197253557226E-006</v>
      </c>
      <c r="F87" s="4" t="n">
        <f aca="false">SUMIFS(SPU监控与预算!$G:$G,SPU监控与预算!$A:$A,$A87)</f>
        <v>15.34</v>
      </c>
      <c r="G87" s="5" t="n">
        <f aca="false">F87/规则参数!$B$9</f>
        <v>3.40956198946324E-006</v>
      </c>
      <c r="H87" s="4" t="n">
        <f aca="false">SUMIFS(SPU监控与预算!$I:$I,SPU监控与预算!$A:$A,$A87)</f>
        <v>0</v>
      </c>
      <c r="I87" s="5" t="n">
        <f aca="false">H87/规则参数!$B$10</f>
        <v>0</v>
      </c>
      <c r="J87" s="6" t="n">
        <f aca="false">IFERROR(H87/D87,0)</f>
        <v>0</v>
      </c>
      <c r="K87" s="6" t="n">
        <f aca="false">IFERROR(F87/D87,0)</f>
        <v>0.334861383977298</v>
      </c>
      <c r="L87" s="3" t="n">
        <f aca="false">COUNTIFS(SPU监控与预算!$A:$A,$A87)</f>
        <v>1</v>
      </c>
      <c r="M87" s="4" t="n">
        <f aca="false">SUMIFS(SPU监控与预算!$W:$W,SPU监控与预算!$A:$A,$A87)</f>
        <v>0</v>
      </c>
      <c r="N87" s="4" t="n">
        <f aca="false">SUMIFS(SPU监控与预算!$X:$X,SPU监控与预算!$A:$A,$A87)</f>
        <v>0</v>
      </c>
    </row>
    <row r="88" customFormat="false" ht="15" hidden="false" customHeight="false" outlineLevel="0" collapsed="false">
      <c r="A88" s="3" t="s">
        <v>550</v>
      </c>
      <c r="B88" s="3" t="s">
        <v>578</v>
      </c>
      <c r="C88" s="3" t="s">
        <v>649</v>
      </c>
      <c r="D88" s="4" t="n">
        <f aca="false">SUMIFS(SPU监控与预算!$E:$E,SPU监控与预算!$A:$A,$A88)</f>
        <v>2193.1</v>
      </c>
      <c r="E88" s="5" t="n">
        <f aca="false">D88/规则参数!$B$8</f>
        <v>6.7117790171655E-005</v>
      </c>
      <c r="F88" s="4" t="n">
        <f aca="false">SUMIFS(SPU监控与预算!$G:$G,SPU监控与预算!$A:$A,$A88)</f>
        <v>886.22</v>
      </c>
      <c r="G88" s="5" t="n">
        <f aca="false">F88/规则参数!$B$9</f>
        <v>0.00019697666403534</v>
      </c>
      <c r="H88" s="4" t="n">
        <f aca="false">SUMIFS(SPU监控与预算!$I:$I,SPU监控与预算!$A:$A,$A88)</f>
        <v>-0.5</v>
      </c>
      <c r="I88" s="5" t="n">
        <f aca="false">H88/规则参数!$B$10</f>
        <v>-1.03268705897692E-007</v>
      </c>
      <c r="J88" s="6" t="n">
        <f aca="false">IFERROR(H88/D88,0)</f>
        <v>-0.000227987779855</v>
      </c>
      <c r="K88" s="6" t="n">
        <f aca="false">IFERROR(F88/D88,0)</f>
        <v>0.404094660526196</v>
      </c>
      <c r="L88" s="3" t="n">
        <f aca="false">COUNTIFS(SPU监控与预算!$A:$A,$A88)</f>
        <v>2</v>
      </c>
      <c r="M88" s="4" t="n">
        <f aca="false">SUMIFS(SPU监控与预算!$W:$W,SPU监控与预算!$A:$A,$A88)</f>
        <v>-0.0724360865540149</v>
      </c>
      <c r="N88" s="4" t="n">
        <f aca="false">SUMIFS(SPU监控与预算!$X:$X,SPU监控与预算!$A:$A,$A88)</f>
        <v>-0.085443</v>
      </c>
    </row>
    <row r="90" customFormat="false" ht="15" hidden="false" customHeight="false" outlineLevel="0" collapsed="false">
      <c r="A90" s="3" t="s">
        <v>650</v>
      </c>
    </row>
  </sheetData>
  <conditionalFormatting sqref="B2:B88">
    <cfRule type="expression" priority="2" aboveAverage="0" equalAverage="0" bottom="0" percent="0" rank="0" text="" dxfId="9">
      <formula>$B2="收缩"</formula>
    </cfRule>
    <cfRule type="expression" priority="3" aboveAverage="0" equalAverage="0" bottom="0" percent="0" rank="0" text="" dxfId="12">
      <formula>$B2="观察"</formula>
    </cfRule>
    <cfRule type="expression" priority="4" aboveAverage="0" equalAverage="0" bottom="0" percent="0" rank="0" text="" dxfId="13">
      <formula>$B2="加投"</formula>
    </cfRule>
    <cfRule type="expression" priority="5" aboveAverage="0" equalAverage="0" bottom="0" percent="0" rank="0" text="" dxfId="14">
      <formula>$B2="维稳"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5" t="s">
        <v>651</v>
      </c>
      <c r="B1" s="15" t="s">
        <v>652</v>
      </c>
      <c r="C1" s="15" t="s">
        <v>653</v>
      </c>
    </row>
    <row r="2" customFormat="false" ht="15" hidden="false" customHeight="false" outlineLevel="0" collapsed="false">
      <c r="A2" s="3" t="s">
        <v>654</v>
      </c>
      <c r="B2" s="8" t="n">
        <v>0.1</v>
      </c>
      <c r="C2" s="3" t="s">
        <v>655</v>
      </c>
    </row>
    <row r="3" customFormat="false" ht="15" hidden="false" customHeight="false" outlineLevel="0" collapsed="false">
      <c r="A3" s="3" t="s">
        <v>656</v>
      </c>
      <c r="B3" s="8" t="n">
        <v>0.18</v>
      </c>
      <c r="C3" s="3"/>
    </row>
    <row r="4" customFormat="false" ht="15" hidden="false" customHeight="false" outlineLevel="0" collapsed="false">
      <c r="A4" s="3" t="s">
        <v>657</v>
      </c>
      <c r="B4" s="8" t="n">
        <v>0.25</v>
      </c>
      <c r="C4" s="3" t="s">
        <v>658</v>
      </c>
    </row>
    <row r="5" customFormat="false" ht="15" hidden="false" customHeight="false" outlineLevel="0" collapsed="false">
      <c r="A5" s="3" t="s">
        <v>659</v>
      </c>
      <c r="B5" s="8" t="n">
        <v>0.05</v>
      </c>
      <c r="C5" s="3" t="s">
        <v>660</v>
      </c>
    </row>
    <row r="6" customFormat="false" ht="15" hidden="false" customHeight="false" outlineLevel="0" collapsed="false">
      <c r="A6" s="3" t="s">
        <v>661</v>
      </c>
      <c r="B6" s="8" t="n">
        <v>0.15</v>
      </c>
      <c r="C6" s="3"/>
    </row>
    <row r="7" customFormat="false" ht="15" hidden="false" customHeight="false" outlineLevel="0" collapsed="false">
      <c r="A7" s="3" t="s">
        <v>662</v>
      </c>
      <c r="B7" s="8" t="n">
        <v>0.3</v>
      </c>
      <c r="C7" s="3" t="s">
        <v>663</v>
      </c>
    </row>
    <row r="8" customFormat="false" ht="15" hidden="false" customHeight="false" outlineLevel="0" collapsed="false">
      <c r="A8" s="3" t="s">
        <v>664</v>
      </c>
      <c r="B8" s="16" t="n">
        <v>32675390.45</v>
      </c>
      <c r="C8" s="3" t="s">
        <v>665</v>
      </c>
    </row>
    <row r="9" customFormat="false" ht="15" hidden="false" customHeight="false" outlineLevel="0" collapsed="false">
      <c r="A9" s="3" t="s">
        <v>666</v>
      </c>
      <c r="B9" s="16" t="n">
        <v>4499111.63</v>
      </c>
      <c r="C9" s="3"/>
    </row>
    <row r="10" customFormat="false" ht="15" hidden="false" customHeight="false" outlineLevel="0" collapsed="false">
      <c r="A10" s="3" t="s">
        <v>667</v>
      </c>
      <c r="B10" s="16" t="n">
        <v>4841737.83</v>
      </c>
      <c r="C10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2026-10-24T12:20:02Z</dcterms:created>
  <dc:creator>openpyxl</dc:creator>
  <dc:description/>
  <dc:language>en-US</dc:language>
  <cp:lastModifiedBy/>
  <dcterms:modified xsi:type="dcterms:W3CDTF">2026-10-24T12:20:03Z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