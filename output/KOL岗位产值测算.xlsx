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参数" sheetId="1" state="visible" r:id="rId3"/>
    <sheet name="月度测算" sheetId="2" state="visible" r:id="rId4"/>
    <sheet name="品线拆分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WenQuanYi Zen Hei"/>
            <family val="2"/>
          </rPr>
          <t xml:space="preserve">假设每月销售额相同时：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全年人力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搭建投入</t>
        </r>
        <r>
          <rPr>
            <sz val="10"/>
            <rFont val="Arial"/>
            <family val="2"/>
          </rPr>
          <t xml:space="preserve">) ÷ </t>
        </r>
        <r>
          <rPr>
            <sz val="10"/>
            <rFont val="WenQuanYi Zen Hei"/>
            <family val="2"/>
          </rPr>
          <t xml:space="preserve">每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美元账号月销售额带来的全年边际贡献。账号月销售额低于此值，该岗位第一年净贡献为负。</t>
        </r>
      </text>
    </comment>
    <comment ref="B33" authorId="0">
      <text>
        <r>
          <rPr>
            <sz val="10"/>
            <rFont val="WenQuanYi Zen Hei"/>
            <family val="2"/>
          </rPr>
          <t xml:space="preserve">进入稳定期后，单月不亏所需的账号月销售额（只扣人力）。</t>
        </r>
      </text>
    </comment>
  </commentList>
</comments>
</file>

<file path=xl/sharedStrings.xml><?xml version="1.0" encoding="utf-8"?>
<sst xmlns="http://schemas.openxmlformats.org/spreadsheetml/2006/main" count="117" uniqueCount="98">
  <si>
    <r>
      <rPr>
        <b val="true"/>
        <sz val="14"/>
        <rFont val="Arial"/>
        <family val="0"/>
        <charset val="1"/>
      </rPr>
      <t xml:space="preserve">ACC + </t>
    </r>
    <r>
      <rPr>
        <b val="true"/>
        <sz val="14"/>
        <rFont val="WenQuanYi Zen Hei"/>
        <family val="2"/>
      </rPr>
      <t xml:space="preserve">社媒</t>
    </r>
    <r>
      <rPr>
        <b val="true"/>
        <sz val="14"/>
        <rFont val="Arial"/>
        <family val="0"/>
        <charset val="1"/>
      </rPr>
      <t xml:space="preserve">KOL </t>
    </r>
    <r>
      <rPr>
        <b val="true"/>
        <sz val="14"/>
        <rFont val="WenQuanYi Zen Hei"/>
        <family val="2"/>
      </rPr>
      <t xml:space="preserve">岗位产值测算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参数</t>
    </r>
  </si>
  <si>
    <r>
      <rPr>
        <i val="true"/>
        <sz val="11"/>
        <color rgb="FF595959"/>
        <rFont val="WenQuanYi Zen Hei"/>
        <family val="2"/>
      </rPr>
      <t xml:space="preserve">图例：黄底蓝字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WenQuanYi Zen Hei"/>
        <family val="2"/>
      </rPr>
      <t xml:space="preserve">需要你填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WenQuanYi Zen Hei"/>
        <family val="2"/>
      </rPr>
      <t xml:space="preserve">可调的参数；黑字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WenQuanYi Zen Hei"/>
        <family val="2"/>
      </rPr>
      <t xml:space="preserve">公式；绿字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WenQuanYi Zen Hei"/>
        <family val="2"/>
      </rPr>
      <t xml:space="preserve">引用其他表。改参数后「月度测算」自动更新。</t>
    </r>
  </si>
  <si>
    <t xml:space="preserve">基础参数</t>
  </si>
  <si>
    <t xml:space="preserve">数值</t>
  </si>
  <si>
    <r>
      <rPr>
        <b val="true"/>
        <sz val="11"/>
        <color rgb="FFFFFFFF"/>
        <rFont val="WenQuanYi Zen Hei"/>
        <family val="2"/>
      </rPr>
      <t xml:space="preserve">说明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来源</t>
    </r>
  </si>
  <si>
    <r>
      <rPr>
        <sz val="11"/>
        <rFont val="WenQuanYi Zen Hei"/>
        <family val="2"/>
      </rPr>
      <t xml:space="preserve">账号月销售额（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</si>
  <si>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取下方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个核心品线月均</t>
    </r>
    <r>
      <rPr>
        <sz val="11"/>
        <rFont val="Arial"/>
        <family val="0"/>
        <charset val="1"/>
      </rPr>
      <t xml:space="preserve">GMV</t>
    </r>
    <r>
      <rPr>
        <sz val="11"/>
        <rFont val="WenQuanYi Zen Hei"/>
        <family val="2"/>
      </rPr>
      <t xml:space="preserve">合计（美国站，用户提供）。也可在「月度测算」第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行逐月覆盖以体现淡旺季。</t>
    </r>
  </si>
  <si>
    <r>
      <rPr>
        <sz val="11"/>
        <rFont val="WenQuanYi Zen Hei"/>
        <family val="2"/>
      </rPr>
      <t xml:space="preserve">现有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基线占比</t>
    </r>
  </si>
  <si>
    <r>
      <rPr>
        <sz val="11"/>
        <rFont val="WenQuanYi Zen Hei"/>
        <family val="2"/>
      </rPr>
      <t xml:space="preserve">来自你对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创作者计划数据的初步计算（</t>
    </r>
    <r>
      <rPr>
        <sz val="11"/>
        <rFont val="Arial"/>
        <family val="0"/>
        <charset val="1"/>
      </rPr>
      <t xml:space="preserve">5%–5.5%</t>
    </r>
    <r>
      <rPr>
        <sz val="11"/>
        <rFont val="WenQuanYi Zen Hei"/>
        <family val="2"/>
      </rPr>
      <t xml:space="preserve">取中值）。基线是岗位到岗前就有的，不计入岗位产值。</t>
    </r>
  </si>
  <si>
    <r>
      <rPr>
        <sz val="11"/>
        <rFont val="WenQuanYi Zen Hei"/>
        <family val="2"/>
      </rPr>
      <t xml:space="preserve">毛利率（扣采购、头程、</t>
    </r>
    <r>
      <rPr>
        <sz val="11"/>
        <rFont val="Arial"/>
        <family val="0"/>
        <charset val="1"/>
      </rPr>
      <t xml:space="preserve">FBA</t>
    </r>
    <r>
      <rPr>
        <sz val="11"/>
        <rFont val="WenQuanYi Zen Hei"/>
        <family val="2"/>
      </rPr>
      <t xml:space="preserve">、平台佣金后，未扣广告）</t>
    </r>
  </si>
  <si>
    <t xml:space="preserve">示例值，请按品类实际毛利率替换。</t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</si>
  <si>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加码佣金率（占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订单销售额）</t>
    </r>
  </si>
  <si>
    <r>
      <rPr>
        <sz val="11"/>
        <rFont val="WenQuanYi Zen Hei"/>
        <family val="2"/>
      </rPr>
      <t xml:space="preserve">示例值，请按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后台实际设置的佣金率替换。</t>
    </r>
  </si>
  <si>
    <r>
      <rPr>
        <sz val="11"/>
        <rFont val="WenQuanYi Zen Hei"/>
        <family val="2"/>
      </rPr>
      <t xml:space="preserve">社媒</t>
    </r>
    <r>
      <rPr>
        <sz val="11"/>
        <rFont val="Arial"/>
        <family val="0"/>
        <charset val="1"/>
      </rPr>
      <t xml:space="preserve">KOL</t>
    </r>
    <r>
      <rPr>
        <sz val="11"/>
        <rFont val="WenQuanYi Zen Hei"/>
        <family val="2"/>
      </rPr>
      <t xml:space="preserve">费用率（达人费</t>
    </r>
    <r>
      <rPr>
        <sz val="11"/>
        <rFont val="Arial"/>
        <family val="0"/>
        <charset val="1"/>
      </rPr>
      <t xml:space="preserve">+</t>
    </r>
    <r>
      <rPr>
        <sz val="11"/>
        <rFont val="WenQuanYi Zen Hei"/>
        <family val="2"/>
      </rPr>
      <t xml:space="preserve">样品，占</t>
    </r>
    <r>
      <rPr>
        <sz val="11"/>
        <rFont val="Arial"/>
        <family val="0"/>
        <charset val="1"/>
      </rPr>
      <t xml:space="preserve">KOL</t>
    </r>
    <r>
      <rPr>
        <sz val="11"/>
        <rFont val="WenQuanYi Zen Hei"/>
        <family val="2"/>
      </rPr>
      <t xml:space="preserve">带来的销售额）</t>
    </r>
  </si>
  <si>
    <r>
      <rPr>
        <sz val="11"/>
        <rFont val="WenQuanYi Zen Hei"/>
        <family val="2"/>
      </rPr>
      <t xml:space="preserve">示例值，按实际报价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寄样成本校准。</t>
    </r>
  </si>
  <si>
    <r>
      <rPr>
        <sz val="11"/>
        <rFont val="WenQuanYi Zen Hei"/>
        <family val="2"/>
      </rPr>
      <t xml:space="preserve">搭建期每月寻找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测试投入（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，第</t>
    </r>
    <r>
      <rPr>
        <sz val="11"/>
        <rFont val="Arial"/>
        <family val="0"/>
        <charset val="1"/>
      </rPr>
      <t xml:space="preserve">1–6</t>
    </r>
    <r>
      <rPr>
        <sz val="11"/>
        <rFont val="WenQuanYi Zen Hei"/>
        <family val="2"/>
      </rPr>
      <t xml:space="preserve">月）</t>
    </r>
  </si>
  <si>
    <t xml:space="preserve">示例值：社媒达人寄样、小额测试合作费。</t>
  </si>
  <si>
    <r>
      <rPr>
        <sz val="11"/>
        <rFont val="WenQuanYi Zen Hei"/>
        <family val="2"/>
      </rPr>
      <t xml:space="preserve">岗位人力月成本（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，含社保）</t>
    </r>
  </si>
  <si>
    <r>
      <rPr>
        <sz val="11"/>
        <rFont val="WenQuanYi Zen Hei"/>
        <family val="2"/>
      </rPr>
      <t xml:space="preserve">示例值（约</t>
    </r>
    <r>
      <rPr>
        <sz val="11"/>
        <rFont val="Arial"/>
        <family val="0"/>
        <charset val="1"/>
      </rPr>
      <t xml:space="preserve">¥14k/</t>
    </r>
    <r>
      <rPr>
        <sz val="11"/>
        <rFont val="WenQuanYi Zen Hei"/>
        <family val="2"/>
      </rPr>
      <t xml:space="preserve">月），请按实际薪资替换。</t>
    </r>
  </si>
  <si>
    <t xml:space="preserve">分阶段占比（占账号销售额）</t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</si>
  <si>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1–3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</si>
  <si>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4–6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</si>
  <si>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7–12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</si>
  <si>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放量增量占比（在基线之上）</t>
    </r>
  </si>
  <si>
    <r>
      <rPr>
        <sz val="11"/>
        <rFont val="WenQuanYi Zen Hei"/>
        <family val="2"/>
      </rPr>
      <t xml:space="preserve">【我的假设，需你确认】先激活已合作过的红人谈放量，见效最快，所以第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月起计；按</t>
    </r>
    <r>
      <rPr>
        <sz val="11"/>
        <rFont val="Arial"/>
        <family val="0"/>
        <charset val="1"/>
      </rPr>
      <t xml:space="preserve">+0.5%/+1.0%/+1.5%</t>
    </r>
    <r>
      <rPr>
        <sz val="11"/>
        <rFont val="WenQuanYi Zen Hei"/>
        <family val="2"/>
      </rPr>
      <t xml:space="preserve">逐步放大，即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占比由</t>
    </r>
    <r>
      <rPr>
        <sz val="11"/>
        <rFont val="Arial"/>
        <family val="0"/>
        <charset val="1"/>
      </rPr>
      <t xml:space="preserve">5.25%</t>
    </r>
    <r>
      <rPr>
        <sz val="11"/>
        <rFont val="WenQuanYi Zen Hei"/>
        <family val="2"/>
      </rPr>
      <t xml:space="preserve">升到约</t>
    </r>
    <r>
      <rPr>
        <sz val="11"/>
        <rFont val="Arial"/>
        <family val="0"/>
        <charset val="1"/>
      </rPr>
      <t xml:space="preserve">6.75%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</si>
  <si>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社媒</t>
    </r>
    <r>
      <rPr>
        <sz val="11"/>
        <rFont val="Arial"/>
        <family val="0"/>
        <charset val="1"/>
      </rPr>
      <t xml:space="preserve">KOL</t>
    </r>
    <r>
      <rPr>
        <sz val="11"/>
        <rFont val="WenQuanYi Zen Hei"/>
        <family val="2"/>
      </rPr>
      <t xml:space="preserve">新增占比</t>
    </r>
  </si>
  <si>
    <r>
      <rPr>
        <sz val="11"/>
        <rFont val="WenQuanYi Zen Hei"/>
        <family val="2"/>
      </rPr>
      <t xml:space="preserve">按你的口径：前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月搭建无产出，第</t>
    </r>
    <r>
      <rPr>
        <sz val="11"/>
        <rFont val="Arial"/>
        <family val="0"/>
        <charset val="1"/>
      </rPr>
      <t xml:space="preserve">4–6</t>
    </r>
    <r>
      <rPr>
        <sz val="11"/>
        <rFont val="WenQuanYi Zen Hei"/>
        <family val="2"/>
      </rPr>
      <t xml:space="preserve">月按销售额</t>
    </r>
    <r>
      <rPr>
        <sz val="11"/>
        <rFont val="Arial"/>
        <family val="0"/>
        <charset val="1"/>
      </rPr>
      <t xml:space="preserve">1%</t>
    </r>
    <r>
      <rPr>
        <sz val="11"/>
        <rFont val="WenQuanYi Zen Hei"/>
        <family val="2"/>
      </rPr>
      <t xml:space="preserve">，第</t>
    </r>
    <r>
      <rPr>
        <sz val="11"/>
        <rFont val="Arial"/>
        <family val="0"/>
        <charset val="1"/>
      </rPr>
      <t xml:space="preserve">7–12</t>
    </r>
    <r>
      <rPr>
        <sz val="11"/>
        <rFont val="WenQuanYi Zen Hei"/>
        <family val="2"/>
      </rPr>
      <t xml:space="preserve">月按</t>
    </r>
    <r>
      <rPr>
        <sz val="11"/>
        <rFont val="Arial"/>
        <family val="0"/>
        <charset val="1"/>
      </rPr>
      <t xml:space="preserve">2%</t>
    </r>
    <r>
      <rPr>
        <sz val="11"/>
        <rFont val="WenQuanYi Zen Hei"/>
        <family val="2"/>
      </rPr>
      <t xml:space="preserve">。</t>
    </r>
  </si>
  <si>
    <t xml:space="preserve">核心品线（美国站）</t>
  </si>
  <si>
    <r>
      <rPr>
        <b val="true"/>
        <sz val="11"/>
        <color rgb="FFFFFFFF"/>
        <rFont val="WenQuanYi Zen Hei"/>
        <family val="2"/>
      </rPr>
      <t xml:space="preserve">月均</t>
    </r>
    <r>
      <rPr>
        <b val="true"/>
        <sz val="11"/>
        <color rgb="FFFFFFFF"/>
        <rFont val="Arial"/>
        <family val="0"/>
        <charset val="1"/>
      </rPr>
      <t xml:space="preserve">GMV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</si>
  <si>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占比</t>
  </si>
  <si>
    <r>
      <rPr>
        <i val="true"/>
        <sz val="11"/>
        <color rgb="FF595959"/>
        <rFont val="WenQuanYi Zen Hei"/>
        <family val="2"/>
      </rPr>
      <t xml:space="preserve">（可增删品线，保持在第</t>
    </r>
    <r>
      <rPr>
        <i val="true"/>
        <sz val="11"/>
        <color rgb="FF595959"/>
        <rFont val="Arial"/>
        <family val="0"/>
        <charset val="1"/>
      </rPr>
      <t xml:space="preserve">19–24</t>
    </r>
    <r>
      <rPr>
        <i val="true"/>
        <sz val="11"/>
        <color rgb="FF595959"/>
        <rFont val="WenQuanYi Zen Hei"/>
        <family val="2"/>
      </rPr>
      <t xml:space="preserve">行内）</t>
    </r>
  </si>
  <si>
    <t xml:space="preserve">油泵</t>
  </si>
  <si>
    <r>
      <rPr>
        <sz val="11"/>
        <rFont val="WenQuanYi Zen Hei"/>
        <family val="2"/>
      </rPr>
      <t xml:space="preserve">用户提供：美国站月均</t>
    </r>
    <r>
      <rPr>
        <sz val="11"/>
        <rFont val="Arial"/>
        <family val="0"/>
        <charset val="1"/>
      </rPr>
      <t xml:space="preserve">GMV</t>
    </r>
  </si>
  <si>
    <t xml:space="preserve">充气泵</t>
  </si>
  <si>
    <t xml:space="preserve">逆变器</t>
  </si>
  <si>
    <t xml:space="preserve">冲击扳手</t>
  </si>
  <si>
    <t xml:space="preserve">黄油枪</t>
  </si>
  <si>
    <t xml:space="preserve">工作灯</t>
  </si>
  <si>
    <t xml:space="preserve">合计</t>
  </si>
  <si>
    <r>
      <rPr>
        <b val="true"/>
        <sz val="14"/>
        <rFont val="WenQuanYi Zen Hei"/>
        <family val="2"/>
      </rPr>
      <t xml:space="preserve">月度测算（第</t>
    </r>
    <r>
      <rPr>
        <b val="true"/>
        <sz val="14"/>
        <rFont val="Arial"/>
        <family val="0"/>
        <charset val="1"/>
      </rPr>
      <t xml:space="preserve">1–12</t>
    </r>
    <r>
      <rPr>
        <b val="true"/>
        <sz val="14"/>
        <rFont val="WenQuanYi Zen Hei"/>
        <family val="2"/>
      </rPr>
      <t xml:space="preserve">月，到岗月</t>
    </r>
    <r>
      <rPr>
        <b val="true"/>
        <sz val="14"/>
        <rFont val="Arial"/>
        <family val="0"/>
        <charset val="1"/>
      </rPr>
      <t xml:space="preserve">=</t>
    </r>
    <r>
      <rPr>
        <b val="true"/>
        <sz val="14"/>
        <rFont val="WenQuanYi Zen Hei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月）</t>
    </r>
  </si>
  <si>
    <r>
      <rPr>
        <i val="true"/>
        <sz val="11"/>
        <color rgb="FF595959"/>
        <rFont val="WenQuanYi Zen Hei"/>
        <family val="2"/>
      </rPr>
      <t xml:space="preserve">第</t>
    </r>
    <r>
      <rPr>
        <i val="true"/>
        <sz val="11"/>
        <color rgb="FF595959"/>
        <rFont val="Arial"/>
        <family val="0"/>
        <charset val="1"/>
      </rPr>
      <t xml:space="preserve">6</t>
    </r>
    <r>
      <rPr>
        <i val="true"/>
        <sz val="11"/>
        <color rgb="FF595959"/>
        <rFont val="WenQuanYi Zen Hei"/>
        <family val="2"/>
      </rPr>
      <t xml:space="preserve">行销售额默认引用参数表，可直接改成每月实际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WenQuanYi Zen Hei"/>
        <family val="2"/>
      </rPr>
      <t xml:space="preserve">预测值（改后变蓝字）。</t>
    </r>
  </si>
  <si>
    <t xml:space="preserve">项目</t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</si>
  <si>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</si>
  <si>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</si>
  <si>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</si>
  <si>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</si>
  <si>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</si>
  <si>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</si>
  <si>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</si>
  <si>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</si>
  <si>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</si>
  <si>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</si>
  <si>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11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</si>
  <si>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第</t>
    </r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月</t>
    </r>
  </si>
  <si>
    <t xml:space="preserve">全年</t>
  </si>
  <si>
    <t xml:space="preserve">阶段</t>
  </si>
  <si>
    <t xml:space="preserve">搭建</t>
  </si>
  <si>
    <t xml:space="preserve">测试放量</t>
  </si>
  <si>
    <t xml:space="preserve">稳定</t>
  </si>
  <si>
    <r>
      <rPr>
        <sz val="11"/>
        <rFont val="WenQuanYi Zen Hei"/>
        <family val="2"/>
      </rPr>
      <t xml:space="preserve">参考：现有</t>
    </r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基线销售额（不计入）</t>
    </r>
  </si>
  <si>
    <t xml:space="preserve">① 岗位带来的增量销售额</t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</si>
  <si>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放量增量占比</t>
    </r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</si>
  <si>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放量增量销售额</t>
    </r>
  </si>
  <si>
    <r>
      <rPr>
        <sz val="11"/>
        <rFont val="WenQuanYi Zen Hei"/>
        <family val="2"/>
      </rPr>
      <t xml:space="preserve">社媒</t>
    </r>
    <r>
      <rPr>
        <sz val="11"/>
        <rFont val="Arial"/>
        <family val="0"/>
        <charset val="1"/>
      </rPr>
      <t xml:space="preserve">KOL</t>
    </r>
    <r>
      <rPr>
        <sz val="11"/>
        <rFont val="WenQuanYi Zen Hei"/>
        <family val="2"/>
      </rPr>
      <t xml:space="preserve">新增销售额</t>
    </r>
  </si>
  <si>
    <t xml:space="preserve">岗位增量销售额合计</t>
  </si>
  <si>
    <t xml:space="preserve">增量占账号销售额</t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</si>
  <si>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总占比（基线</t>
    </r>
    <r>
      <rPr>
        <sz val="11"/>
        <rFont val="Arial"/>
        <family val="0"/>
        <charset val="1"/>
      </rPr>
      <t xml:space="preserve">+</t>
    </r>
    <r>
      <rPr>
        <sz val="11"/>
        <rFont val="WenQuanYi Zen Hei"/>
        <family val="2"/>
      </rPr>
      <t xml:space="preserve">放量）</t>
    </r>
  </si>
  <si>
    <t xml:space="preserve">② 成本与净贡献</t>
  </si>
  <si>
    <t xml:space="preserve">增量毛利</t>
  </si>
  <si>
    <r>
      <rPr>
        <sz val="11"/>
        <rFont val="Arial"/>
        <family val="0"/>
        <charset val="1"/>
      </rPr>
      <t xml:space="preserve">ACC</t>
    </r>
    <r>
      <rPr>
        <sz val="11"/>
        <rFont val="WenQuanYi Zen Hei"/>
        <family val="2"/>
      </rPr>
      <t xml:space="preserve">加码佣金</t>
    </r>
  </si>
  <si>
    <r>
      <rPr>
        <sz val="11"/>
        <rFont val="WenQuanYi Zen Hei"/>
        <family val="2"/>
      </rPr>
      <t xml:space="preserve">社媒</t>
    </r>
    <r>
      <rPr>
        <sz val="11"/>
        <rFont val="Arial"/>
        <family val="0"/>
        <charset val="1"/>
      </rPr>
      <t xml:space="preserve">KOL</t>
    </r>
    <r>
      <rPr>
        <sz val="11"/>
        <rFont val="WenQuanYi Zen Hei"/>
        <family val="2"/>
      </rPr>
      <t xml:space="preserve">达人费用</t>
    </r>
  </si>
  <si>
    <r>
      <rPr>
        <sz val="11"/>
        <rFont val="WenQuanYi Zen Hei"/>
        <family val="2"/>
      </rPr>
      <t xml:space="preserve">搭建期寻找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测试投入</t>
    </r>
  </si>
  <si>
    <t xml:space="preserve">岗位人力成本</t>
  </si>
  <si>
    <t xml:space="preserve">费用合计</t>
  </si>
  <si>
    <t xml:space="preserve">净贡献（增量毛利−费用）</t>
  </si>
  <si>
    <t xml:space="preserve">累计净贡献</t>
  </si>
  <si>
    <r>
      <rPr>
        <sz val="11"/>
        <rFont val="Arial"/>
        <family val="0"/>
        <charset val="1"/>
      </rPr>
      <t xml:space="preserve">ROI</t>
    </r>
    <r>
      <rPr>
        <sz val="11"/>
        <rFont val="WenQuanYi Zen Hei"/>
        <family val="2"/>
      </rPr>
      <t xml:space="preserve">（增量销售额</t>
    </r>
    <r>
      <rPr>
        <sz val="11"/>
        <rFont val="Arial"/>
        <family val="0"/>
        <charset val="1"/>
      </rPr>
      <t xml:space="preserve">÷</t>
    </r>
    <r>
      <rPr>
        <sz val="11"/>
        <rFont val="WenQuanYi Zen Hei"/>
        <family val="2"/>
      </rPr>
      <t xml:space="preserve">费用合计）</t>
    </r>
  </si>
  <si>
    <t xml:space="preserve">③ 关键结论</t>
  </si>
  <si>
    <r>
      <rPr>
        <sz val="11"/>
        <rFont val="WenQuanYi Zen Hei"/>
        <family val="2"/>
      </rPr>
      <t xml:space="preserve">全年岗位增量销售额（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）</t>
    </r>
  </si>
  <si>
    <r>
      <rPr>
        <sz val="11"/>
        <color rgb="FF595959"/>
        <rFont val="WenQuanYi Zen Hei"/>
        <family val="2"/>
      </rPr>
      <t xml:space="preserve">即 </t>
    </r>
    <r>
      <rPr>
        <sz val="11"/>
        <color rgb="FF595959"/>
        <rFont val="Arial"/>
        <family val="0"/>
        <charset val="1"/>
      </rPr>
      <t xml:space="preserve">ACC</t>
    </r>
    <r>
      <rPr>
        <sz val="11"/>
        <color rgb="FF595959"/>
        <rFont val="WenQuanYi Zen Hei"/>
        <family val="2"/>
      </rPr>
      <t xml:space="preserve">放量 </t>
    </r>
    <r>
      <rPr>
        <sz val="11"/>
        <color rgb="FF595959"/>
        <rFont val="Arial"/>
        <family val="0"/>
        <charset val="1"/>
      </rPr>
      <t xml:space="preserve">+ </t>
    </r>
    <r>
      <rPr>
        <sz val="11"/>
        <color rgb="FF595959"/>
        <rFont val="WenQuanYi Zen Hei"/>
        <family val="2"/>
      </rPr>
      <t xml:space="preserve">社媒</t>
    </r>
    <r>
      <rPr>
        <sz val="11"/>
        <color rgb="FF595959"/>
        <rFont val="Arial"/>
        <family val="0"/>
        <charset val="1"/>
      </rPr>
      <t xml:space="preserve">KOL </t>
    </r>
    <r>
      <rPr>
        <sz val="11"/>
        <color rgb="FF595959"/>
        <rFont val="WenQuanYi Zen Hei"/>
        <family val="2"/>
      </rPr>
      <t xml:space="preserve">两部分合计；不含现有</t>
    </r>
    <r>
      <rPr>
        <sz val="11"/>
        <color rgb="FF595959"/>
        <rFont val="Arial"/>
        <family val="0"/>
        <charset val="1"/>
      </rPr>
      <t xml:space="preserve">ACC</t>
    </r>
    <r>
      <rPr>
        <sz val="11"/>
        <color rgb="FF595959"/>
        <rFont val="WenQuanYi Zen Hei"/>
        <family val="2"/>
      </rPr>
      <t xml:space="preserve">基线。</t>
    </r>
  </si>
  <si>
    <r>
      <rPr>
        <sz val="11"/>
        <rFont val="WenQuanYi Zen Hei"/>
        <family val="2"/>
      </rPr>
      <t xml:space="preserve">全年净贡献（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）</t>
    </r>
  </si>
  <si>
    <t xml:space="preserve">首个单月净贡献转正的月份</t>
  </si>
  <si>
    <t xml:space="preserve">前期为投入期，看这个月份判断何时开始回本。</t>
  </si>
  <si>
    <r>
      <rPr>
        <sz val="11"/>
        <rFont val="WenQuanYi Zen Hei"/>
        <family val="2"/>
      </rPr>
      <t xml:space="preserve">全年保本所需账号月销售额（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）</t>
    </r>
  </si>
  <si>
    <t xml:space="preserve">第一年整体不亏的门槛；用来判断这个岗位适合覆盖多大体量的账号。</t>
  </si>
  <si>
    <r>
      <rPr>
        <sz val="11"/>
        <rFont val="WenQuanYi Zen Hei"/>
        <family val="2"/>
      </rPr>
      <t xml:space="preserve">稳定期（第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月起）单月保本销售额（</t>
    </r>
    <r>
      <rPr>
        <sz val="11"/>
        <rFont val="Arial"/>
        <family val="0"/>
        <charset val="1"/>
      </rPr>
      <t xml:space="preserve">$</t>
    </r>
    <r>
      <rPr>
        <sz val="11"/>
        <rFont val="WenQuanYi Zen Hei"/>
        <family val="2"/>
      </rPr>
      <t xml:space="preserve">）</t>
    </r>
  </si>
  <si>
    <t xml:space="preserve">跑通之后的长期门槛，低于这个体量建议一人覆盖多个账号。</t>
  </si>
  <si>
    <r>
      <rPr>
        <b val="true"/>
        <sz val="14"/>
        <rFont val="WenQuanYi Zen Hei"/>
        <family val="2"/>
      </rPr>
      <t xml:space="preserve">全年增量按品线拆分（按</t>
    </r>
    <r>
      <rPr>
        <b val="true"/>
        <sz val="14"/>
        <rFont val="Arial"/>
        <family val="0"/>
        <charset val="1"/>
      </rPr>
      <t xml:space="preserve">GMV</t>
    </r>
    <r>
      <rPr>
        <b val="true"/>
        <sz val="14"/>
        <rFont val="WenQuanYi Zen Hei"/>
        <family val="2"/>
      </rPr>
      <t xml:space="preserve">占比分摊，各品线占比口径相同）</t>
    </r>
  </si>
  <si>
    <r>
      <rPr>
        <i val="true"/>
        <sz val="11"/>
        <color rgb="FF595959"/>
        <rFont val="WenQuanYi Zen Hei"/>
        <family val="2"/>
      </rPr>
      <t xml:space="preserve">如某品线达人资源更好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WenQuanYi Zen Hei"/>
        <family val="2"/>
      </rPr>
      <t xml:space="preserve">更差，可后续改为分品线占比；当前为平均口径。</t>
    </r>
  </si>
  <si>
    <t xml:space="preserve">品线</t>
  </si>
  <si>
    <r>
      <rPr>
        <b val="true"/>
        <sz val="11"/>
        <color rgb="FFFFFFFF"/>
        <rFont val="WenQuanYi Zen Hei"/>
        <family val="2"/>
      </rPr>
      <t xml:space="preserve">全年</t>
    </r>
    <r>
      <rPr>
        <b val="true"/>
        <sz val="11"/>
        <color rgb="FFFFFFFF"/>
        <rFont val="Arial"/>
        <family val="0"/>
        <charset val="1"/>
      </rPr>
      <t xml:space="preserve">GMV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</si>
  <si>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现有</t>
    </r>
    <r>
      <rPr>
        <b val="true"/>
        <sz val="11"/>
        <color rgb="FFFFFFFF"/>
        <rFont val="Arial"/>
        <family val="0"/>
        <charset val="1"/>
      </rPr>
      <t xml:space="preserve">ACC</t>
    </r>
    <r>
      <rPr>
        <b val="true"/>
        <sz val="11"/>
        <color rgb="FFFFFFFF"/>
        <rFont val="WenQuanYi Zen Hei"/>
        <family val="2"/>
      </rPr>
      <t xml:space="preserve">基线（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</si>
  <si>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ACC</t>
    </r>
    <r>
      <rPr>
        <b val="true"/>
        <sz val="11"/>
        <color rgb="FFFFFFFF"/>
        <rFont val="WenQuanYi Zen Hei"/>
        <family val="2"/>
      </rPr>
      <t xml:space="preserve">放量增量（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</si>
  <si>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社媒</t>
    </r>
    <r>
      <rPr>
        <b val="true"/>
        <sz val="11"/>
        <color rgb="FFFFFFFF"/>
        <rFont val="Arial"/>
        <family val="0"/>
        <charset val="1"/>
      </rPr>
      <t xml:space="preserve">KOL</t>
    </r>
    <r>
      <rPr>
        <b val="true"/>
        <sz val="11"/>
        <color rgb="FFFFFFFF"/>
        <rFont val="WenQuanYi Zen Hei"/>
        <family val="2"/>
      </rPr>
      <t xml:space="preserve">新增（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</si>
  <si>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岗位增量合计（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</si>
  <si>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增量毛利（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</si>
  <si>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增量占</t>
    </r>
    <r>
      <rPr>
        <b val="true"/>
        <sz val="11"/>
        <color rgb="FFFFFFFF"/>
        <rFont val="Arial"/>
        <family val="0"/>
        <charset val="1"/>
      </rPr>
      <t xml:space="preserve">GMV</t>
    </r>
  </si>
  <si>
    <r>
      <rPr>
        <sz val="11"/>
        <rFont val="WenQuanYi Zen Hei"/>
        <family val="2"/>
      </rPr>
      <t xml:space="preserve">校验：岗位增量合计应等于「月度测算」</t>
    </r>
    <r>
      <rPr>
        <sz val="11"/>
        <rFont val="Arial"/>
        <family val="0"/>
        <charset val="1"/>
      </rPr>
      <t xml:space="preserve">N13 →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</si>
</sst>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WenQuanYi Zen Hei"/>
      <family val="2"/>
    </font>
    <font>
      <sz val="11"/>
      <color rgb="FF008000"/>
      <name val="Arial"/>
      <family val="0"/>
      <charset val="1"/>
    </font>
    <font>
      <sz val="11"/>
      <color rgb="FF595959"/>
      <name val="WenQuanYi Zen Hei"/>
      <family val="2"/>
    </font>
    <font>
      <sz val="11"/>
      <color rgb="FF595959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rgb="FF008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/>
      <c r="E4" s="3" t="s">
        <v>4</v>
      </c>
    </row>
    <row r="5" customFormat="false" ht="30" hidden="false" customHeight="true" outlineLevel="0" collapsed="false">
      <c r="A5" s="4" t="s">
        <v>5</v>
      </c>
      <c r="B5" s="5" t="n">
        <f aca="false">SUM(B19:B24)</f>
        <v>1380000</v>
      </c>
      <c r="E5" s="6" t="s">
        <v>6</v>
      </c>
    </row>
    <row r="6" customFormat="false" ht="30" hidden="false" customHeight="true" outlineLevel="0" collapsed="false">
      <c r="A6" s="4" t="s">
        <v>7</v>
      </c>
      <c r="B6" s="7" t="n">
        <v>0.0525</v>
      </c>
      <c r="E6" s="6" t="s">
        <v>8</v>
      </c>
    </row>
    <row r="7" customFormat="false" ht="30" hidden="false" customHeight="true" outlineLevel="0" collapsed="false">
      <c r="A7" s="4" t="s">
        <v>9</v>
      </c>
      <c r="B7" s="8" t="n">
        <v>0.3</v>
      </c>
      <c r="E7" s="6" t="s">
        <v>10</v>
      </c>
    </row>
    <row r="8" customFormat="false" ht="30" hidden="false" customHeight="true" outlineLevel="0" collapsed="false">
      <c r="A8" s="9" t="s">
        <v>11</v>
      </c>
      <c r="B8" s="8" t="n">
        <v>0.1</v>
      </c>
      <c r="E8" s="6" t="s">
        <v>12</v>
      </c>
    </row>
    <row r="9" customFormat="false" ht="30" hidden="false" customHeight="true" outlineLevel="0" collapsed="false">
      <c r="A9" s="4" t="s">
        <v>13</v>
      </c>
      <c r="B9" s="8" t="n">
        <v>0.2</v>
      </c>
      <c r="E9" s="6" t="s">
        <v>14</v>
      </c>
    </row>
    <row r="10" customFormat="false" ht="30" hidden="false" customHeight="true" outlineLevel="0" collapsed="false">
      <c r="A10" s="4" t="s">
        <v>15</v>
      </c>
      <c r="B10" s="10" t="n">
        <v>1000</v>
      </c>
      <c r="E10" s="6" t="s">
        <v>16</v>
      </c>
    </row>
    <row r="11" customFormat="false" ht="30" hidden="false" customHeight="true" outlineLevel="0" collapsed="false">
      <c r="A11" s="4" t="s">
        <v>17</v>
      </c>
      <c r="B11" s="10" t="n">
        <v>2000</v>
      </c>
      <c r="E11" s="6" t="s">
        <v>18</v>
      </c>
    </row>
    <row r="13" customFormat="false" ht="15" hidden="false" customHeight="false" outlineLevel="0" collapsed="false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4</v>
      </c>
    </row>
    <row r="14" customFormat="false" ht="45" hidden="false" customHeight="true" outlineLevel="0" collapsed="false">
      <c r="A14" s="9" t="s">
        <v>23</v>
      </c>
      <c r="B14" s="8" t="n">
        <v>0.005</v>
      </c>
      <c r="C14" s="8" t="n">
        <v>0.01</v>
      </c>
      <c r="D14" s="8" t="n">
        <v>0.015</v>
      </c>
      <c r="E14" s="6" t="s">
        <v>24</v>
      </c>
    </row>
    <row r="15" customFormat="false" ht="45" hidden="false" customHeight="true" outlineLevel="0" collapsed="false">
      <c r="A15" s="4" t="s">
        <v>25</v>
      </c>
      <c r="B15" s="8" t="n">
        <v>0</v>
      </c>
      <c r="C15" s="8" t="n">
        <v>0.01</v>
      </c>
      <c r="D15" s="8" t="n">
        <v>0.02</v>
      </c>
      <c r="E15" s="6" t="s">
        <v>26</v>
      </c>
    </row>
    <row r="17" customFormat="false" ht="15" hidden="false" customHeight="false" outlineLevel="0" collapsed="false">
      <c r="A17" s="3" t="s">
        <v>27</v>
      </c>
      <c r="B17" s="3" t="s">
        <v>28</v>
      </c>
      <c r="C17" s="3" t="s">
        <v>29</v>
      </c>
      <c r="D17" s="3"/>
      <c r="E17" s="3" t="s">
        <v>4</v>
      </c>
    </row>
    <row r="18" customFormat="false" ht="15" hidden="false" customHeight="false" outlineLevel="0" collapsed="false">
      <c r="A18" s="2" t="s">
        <v>30</v>
      </c>
    </row>
    <row r="19" customFormat="false" ht="15" hidden="false" customHeight="false" outlineLevel="0" collapsed="false">
      <c r="A19" s="4" t="s">
        <v>31</v>
      </c>
      <c r="B19" s="10" t="n">
        <v>200000</v>
      </c>
      <c r="C19" s="11" t="n">
        <f aca="false">IFERROR(B19/$B$25,0)</f>
        <v>0.144927536231884</v>
      </c>
      <c r="E19" s="4" t="s">
        <v>32</v>
      </c>
    </row>
    <row r="20" customFormat="false" ht="15" hidden="false" customHeight="false" outlineLevel="0" collapsed="false">
      <c r="A20" s="4" t="s">
        <v>33</v>
      </c>
      <c r="B20" s="10" t="n">
        <v>250000</v>
      </c>
      <c r="C20" s="11" t="n">
        <f aca="false">IFERROR(B20/$B$25,0)</f>
        <v>0.181159420289855</v>
      </c>
      <c r="E20" s="4" t="s">
        <v>32</v>
      </c>
    </row>
    <row r="21" customFormat="false" ht="15" hidden="false" customHeight="false" outlineLevel="0" collapsed="false">
      <c r="A21" s="4" t="s">
        <v>34</v>
      </c>
      <c r="B21" s="10" t="n">
        <v>340000</v>
      </c>
      <c r="C21" s="11" t="n">
        <f aca="false">IFERROR(B21/$B$25,0)</f>
        <v>0.246376811594203</v>
      </c>
      <c r="E21" s="4" t="s">
        <v>32</v>
      </c>
    </row>
    <row r="22" customFormat="false" ht="15" hidden="false" customHeight="false" outlineLevel="0" collapsed="false">
      <c r="A22" s="4" t="s">
        <v>35</v>
      </c>
      <c r="B22" s="10" t="n">
        <v>260000</v>
      </c>
      <c r="C22" s="11" t="n">
        <f aca="false">IFERROR(B22/$B$25,0)</f>
        <v>0.188405797101449</v>
      </c>
      <c r="E22" s="4" t="s">
        <v>32</v>
      </c>
    </row>
    <row r="23" customFormat="false" ht="15" hidden="false" customHeight="false" outlineLevel="0" collapsed="false">
      <c r="A23" s="4" t="s">
        <v>36</v>
      </c>
      <c r="B23" s="10" t="n">
        <v>130000</v>
      </c>
      <c r="C23" s="11" t="n">
        <f aca="false">IFERROR(B23/$B$25,0)</f>
        <v>0.0942028985507246</v>
      </c>
      <c r="E23" s="4" t="s">
        <v>32</v>
      </c>
    </row>
    <row r="24" customFormat="false" ht="15" hidden="false" customHeight="false" outlineLevel="0" collapsed="false">
      <c r="A24" s="4" t="s">
        <v>37</v>
      </c>
      <c r="B24" s="10" t="n">
        <v>200000</v>
      </c>
      <c r="C24" s="11" t="n">
        <f aca="false">IFERROR(B24/$B$25,0)</f>
        <v>0.144927536231884</v>
      </c>
      <c r="E24" s="4" t="s">
        <v>32</v>
      </c>
    </row>
    <row r="25" customFormat="false" ht="15" hidden="false" customHeight="false" outlineLevel="0" collapsed="false">
      <c r="A25" s="12" t="s">
        <v>38</v>
      </c>
      <c r="B25" s="13" t="n">
        <f aca="false">SUM(B19:B24)</f>
        <v>1380000</v>
      </c>
      <c r="C25" s="14" t="n">
        <f aca="false">SUM(C19:C24)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1"/>
  </cols>
  <sheetData>
    <row r="1" customFormat="false" ht="19.4" hidden="false" customHeight="false" outlineLevel="0" collapsed="false">
      <c r="A1" s="15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3" t="s">
        <v>41</v>
      </c>
      <c r="B4" s="16" t="s">
        <v>42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6" t="s">
        <v>48</v>
      </c>
      <c r="I4" s="16" t="s">
        <v>49</v>
      </c>
      <c r="J4" s="16" t="s">
        <v>50</v>
      </c>
      <c r="K4" s="16" t="s">
        <v>51</v>
      </c>
      <c r="L4" s="16" t="s">
        <v>52</v>
      </c>
      <c r="M4" s="16" t="s">
        <v>53</v>
      </c>
      <c r="N4" s="16" t="s">
        <v>54</v>
      </c>
    </row>
    <row r="5" customFormat="false" ht="15" hidden="false" customHeight="false" outlineLevel="0" collapsed="false">
      <c r="A5" s="4" t="s">
        <v>55</v>
      </c>
      <c r="B5" s="17" t="s">
        <v>56</v>
      </c>
      <c r="C5" s="17" t="s">
        <v>56</v>
      </c>
      <c r="D5" s="17" t="s">
        <v>56</v>
      </c>
      <c r="E5" s="17" t="s">
        <v>57</v>
      </c>
      <c r="F5" s="17" t="s">
        <v>57</v>
      </c>
      <c r="G5" s="17" t="s">
        <v>57</v>
      </c>
      <c r="H5" s="17" t="s">
        <v>58</v>
      </c>
      <c r="I5" s="17" t="s">
        <v>58</v>
      </c>
      <c r="J5" s="17" t="s">
        <v>58</v>
      </c>
      <c r="K5" s="17" t="s">
        <v>58</v>
      </c>
      <c r="L5" s="17" t="s">
        <v>58</v>
      </c>
      <c r="M5" s="17" t="s">
        <v>58</v>
      </c>
      <c r="N5" s="18"/>
    </row>
    <row r="6" customFormat="false" ht="15" hidden="false" customHeight="false" outlineLevel="0" collapsed="false">
      <c r="A6" s="4" t="s">
        <v>5</v>
      </c>
      <c r="B6" s="19" t="n">
        <f aca="false">参数!$B$5</f>
        <v>1380000</v>
      </c>
      <c r="C6" s="19" t="n">
        <f aca="false">参数!$B$5</f>
        <v>1380000</v>
      </c>
      <c r="D6" s="19" t="n">
        <f aca="false">参数!$B$5</f>
        <v>1380000</v>
      </c>
      <c r="E6" s="19" t="n">
        <f aca="false">参数!$B$5</f>
        <v>1380000</v>
      </c>
      <c r="F6" s="19" t="n">
        <f aca="false">参数!$B$5</f>
        <v>1380000</v>
      </c>
      <c r="G6" s="19" t="n">
        <f aca="false">参数!$B$5</f>
        <v>1380000</v>
      </c>
      <c r="H6" s="19" t="n">
        <f aca="false">参数!$B$5</f>
        <v>1380000</v>
      </c>
      <c r="I6" s="19" t="n">
        <f aca="false">参数!$B$5</f>
        <v>1380000</v>
      </c>
      <c r="J6" s="19" t="n">
        <f aca="false">参数!$B$5</f>
        <v>1380000</v>
      </c>
      <c r="K6" s="19" t="n">
        <f aca="false">参数!$B$5</f>
        <v>1380000</v>
      </c>
      <c r="L6" s="19" t="n">
        <f aca="false">参数!$B$5</f>
        <v>1380000</v>
      </c>
      <c r="M6" s="19" t="n">
        <f aca="false">参数!$B$5</f>
        <v>1380000</v>
      </c>
      <c r="N6" s="13" t="n">
        <f aca="false">SUM(B6:M6)</f>
        <v>16560000</v>
      </c>
    </row>
    <row r="7" customFormat="false" ht="15" hidden="false" customHeight="false" outlineLevel="0" collapsed="false">
      <c r="A7" s="4" t="s">
        <v>59</v>
      </c>
      <c r="B7" s="20" t="n">
        <f aca="false">B6*参数!$B$6</f>
        <v>72450</v>
      </c>
      <c r="C7" s="20" t="n">
        <f aca="false">C6*参数!$B$6</f>
        <v>72450</v>
      </c>
      <c r="D7" s="20" t="n">
        <f aca="false">D6*参数!$B$6</f>
        <v>72450</v>
      </c>
      <c r="E7" s="20" t="n">
        <f aca="false">E6*参数!$B$6</f>
        <v>72450</v>
      </c>
      <c r="F7" s="20" t="n">
        <f aca="false">F6*参数!$B$6</f>
        <v>72450</v>
      </c>
      <c r="G7" s="20" t="n">
        <f aca="false">G6*参数!$B$6</f>
        <v>72450</v>
      </c>
      <c r="H7" s="20" t="n">
        <f aca="false">H6*参数!$B$6</f>
        <v>72450</v>
      </c>
      <c r="I7" s="20" t="n">
        <f aca="false">I6*参数!$B$6</f>
        <v>72450</v>
      </c>
      <c r="J7" s="20" t="n">
        <f aca="false">J6*参数!$B$6</f>
        <v>72450</v>
      </c>
      <c r="K7" s="20" t="n">
        <f aca="false">K6*参数!$B$6</f>
        <v>72450</v>
      </c>
      <c r="L7" s="20" t="n">
        <f aca="false">L6*参数!$B$6</f>
        <v>72450</v>
      </c>
      <c r="M7" s="20" t="n">
        <f aca="false">M6*参数!$B$6</f>
        <v>72450</v>
      </c>
      <c r="N7" s="13" t="n">
        <f aca="false">SUM(B7:M7)</f>
        <v>869400</v>
      </c>
    </row>
    <row r="8" customFormat="false" ht="15" hidden="false" customHeight="false" outlineLevel="0" collapsed="false">
      <c r="A8" s="21" t="s">
        <v>60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customFormat="false" ht="15" hidden="false" customHeight="false" outlineLevel="0" collapsed="false">
      <c r="A9" s="9" t="s">
        <v>61</v>
      </c>
      <c r="B9" s="23" t="n">
        <f aca="false">IF(1&lt;=3,参数!$B$14,IF(1&lt;=6,参数!$C$14,参数!$D$14))</f>
        <v>0.005</v>
      </c>
      <c r="C9" s="23" t="n">
        <f aca="false">IF(2&lt;=3,参数!$B$14,IF(2&lt;=6,参数!$C$14,参数!$D$14))</f>
        <v>0.005</v>
      </c>
      <c r="D9" s="23" t="n">
        <f aca="false">IF(3&lt;=3,参数!$B$14,IF(3&lt;=6,参数!$C$14,参数!$D$14))</f>
        <v>0.005</v>
      </c>
      <c r="E9" s="23" t="n">
        <f aca="false">IF(4&lt;=3,参数!$B$14,IF(4&lt;=6,参数!$C$14,参数!$D$14))</f>
        <v>0.01</v>
      </c>
      <c r="F9" s="23" t="n">
        <f aca="false">IF(5&lt;=3,参数!$B$14,IF(5&lt;=6,参数!$C$14,参数!$D$14))</f>
        <v>0.01</v>
      </c>
      <c r="G9" s="23" t="n">
        <f aca="false">IF(6&lt;=3,参数!$B$14,IF(6&lt;=6,参数!$C$14,参数!$D$14))</f>
        <v>0.01</v>
      </c>
      <c r="H9" s="23" t="n">
        <f aca="false">IF(7&lt;=3,参数!$B$14,IF(7&lt;=6,参数!$C$14,参数!$D$14))</f>
        <v>0.015</v>
      </c>
      <c r="I9" s="23" t="n">
        <f aca="false">IF(8&lt;=3,参数!$B$14,IF(8&lt;=6,参数!$C$14,参数!$D$14))</f>
        <v>0.015</v>
      </c>
      <c r="J9" s="23" t="n">
        <f aca="false">IF(9&lt;=3,参数!$B$14,IF(9&lt;=6,参数!$C$14,参数!$D$14))</f>
        <v>0.015</v>
      </c>
      <c r="K9" s="23" t="n">
        <f aca="false">IF(10&lt;=3,参数!$B$14,IF(10&lt;=6,参数!$C$14,参数!$D$14))</f>
        <v>0.015</v>
      </c>
      <c r="L9" s="23" t="n">
        <f aca="false">IF(11&lt;=3,参数!$B$14,IF(11&lt;=6,参数!$C$14,参数!$D$14))</f>
        <v>0.015</v>
      </c>
      <c r="M9" s="23" t="n">
        <f aca="false">IF(12&lt;=3,参数!$B$14,IF(12&lt;=6,参数!$C$14,参数!$D$14))</f>
        <v>0.015</v>
      </c>
      <c r="N9" s="14" t="n">
        <f aca="false">IFERROR(N10/N6,0)</f>
        <v>0.01125</v>
      </c>
    </row>
    <row r="10" customFormat="false" ht="15" hidden="false" customHeight="false" outlineLevel="0" collapsed="false">
      <c r="A10" s="9" t="s">
        <v>62</v>
      </c>
      <c r="B10" s="20" t="n">
        <f aca="false">B6*B9</f>
        <v>6900</v>
      </c>
      <c r="C10" s="20" t="n">
        <f aca="false">C6*C9</f>
        <v>6900</v>
      </c>
      <c r="D10" s="20" t="n">
        <f aca="false">D6*D9</f>
        <v>6900</v>
      </c>
      <c r="E10" s="20" t="n">
        <f aca="false">E6*E9</f>
        <v>13800</v>
      </c>
      <c r="F10" s="20" t="n">
        <f aca="false">F6*F9</f>
        <v>13800</v>
      </c>
      <c r="G10" s="20" t="n">
        <f aca="false">G6*G9</f>
        <v>13800</v>
      </c>
      <c r="H10" s="20" t="n">
        <f aca="false">H6*H9</f>
        <v>20700</v>
      </c>
      <c r="I10" s="20" t="n">
        <f aca="false">I6*I9</f>
        <v>20700</v>
      </c>
      <c r="J10" s="20" t="n">
        <f aca="false">J6*J9</f>
        <v>20700</v>
      </c>
      <c r="K10" s="20" t="n">
        <f aca="false">K6*K9</f>
        <v>20700</v>
      </c>
      <c r="L10" s="20" t="n">
        <f aca="false">L6*L9</f>
        <v>20700</v>
      </c>
      <c r="M10" s="20" t="n">
        <f aca="false">M6*M9</f>
        <v>20700</v>
      </c>
      <c r="N10" s="13" t="n">
        <f aca="false">SUM(B10:M10)</f>
        <v>186300</v>
      </c>
    </row>
    <row r="11" customFormat="false" ht="15" hidden="false" customHeight="false" outlineLevel="0" collapsed="false">
      <c r="A11" s="4" t="s">
        <v>25</v>
      </c>
      <c r="B11" s="23" t="n">
        <f aca="false">IF(1&lt;=3,参数!$B$15,IF(1&lt;=6,参数!$C$15,参数!$D$15))</f>
        <v>0</v>
      </c>
      <c r="C11" s="23" t="n">
        <f aca="false">IF(2&lt;=3,参数!$B$15,IF(2&lt;=6,参数!$C$15,参数!$D$15))</f>
        <v>0</v>
      </c>
      <c r="D11" s="23" t="n">
        <f aca="false">IF(3&lt;=3,参数!$B$15,IF(3&lt;=6,参数!$C$15,参数!$D$15))</f>
        <v>0</v>
      </c>
      <c r="E11" s="23" t="n">
        <f aca="false">IF(4&lt;=3,参数!$B$15,IF(4&lt;=6,参数!$C$15,参数!$D$15))</f>
        <v>0.01</v>
      </c>
      <c r="F11" s="23" t="n">
        <f aca="false">IF(5&lt;=3,参数!$B$15,IF(5&lt;=6,参数!$C$15,参数!$D$15))</f>
        <v>0.01</v>
      </c>
      <c r="G11" s="23" t="n">
        <f aca="false">IF(6&lt;=3,参数!$B$15,IF(6&lt;=6,参数!$C$15,参数!$D$15))</f>
        <v>0.01</v>
      </c>
      <c r="H11" s="23" t="n">
        <f aca="false">IF(7&lt;=3,参数!$B$15,IF(7&lt;=6,参数!$C$15,参数!$D$15))</f>
        <v>0.02</v>
      </c>
      <c r="I11" s="23" t="n">
        <f aca="false">IF(8&lt;=3,参数!$B$15,IF(8&lt;=6,参数!$C$15,参数!$D$15))</f>
        <v>0.02</v>
      </c>
      <c r="J11" s="23" t="n">
        <f aca="false">IF(9&lt;=3,参数!$B$15,IF(9&lt;=6,参数!$C$15,参数!$D$15))</f>
        <v>0.02</v>
      </c>
      <c r="K11" s="23" t="n">
        <f aca="false">IF(10&lt;=3,参数!$B$15,IF(10&lt;=6,参数!$C$15,参数!$D$15))</f>
        <v>0.02</v>
      </c>
      <c r="L11" s="23" t="n">
        <f aca="false">IF(11&lt;=3,参数!$B$15,IF(11&lt;=6,参数!$C$15,参数!$D$15))</f>
        <v>0.02</v>
      </c>
      <c r="M11" s="23" t="n">
        <f aca="false">IF(12&lt;=3,参数!$B$15,IF(12&lt;=6,参数!$C$15,参数!$D$15))</f>
        <v>0.02</v>
      </c>
      <c r="N11" s="14" t="n">
        <f aca="false">IFERROR(N12/N6,0)</f>
        <v>0.0125</v>
      </c>
    </row>
    <row r="12" customFormat="false" ht="15" hidden="false" customHeight="false" outlineLevel="0" collapsed="false">
      <c r="A12" s="4" t="s">
        <v>63</v>
      </c>
      <c r="B12" s="20" t="n">
        <f aca="false">B6*B11</f>
        <v>0</v>
      </c>
      <c r="C12" s="20" t="n">
        <f aca="false">C6*C11</f>
        <v>0</v>
      </c>
      <c r="D12" s="20" t="n">
        <f aca="false">D6*D11</f>
        <v>0</v>
      </c>
      <c r="E12" s="20" t="n">
        <f aca="false">E6*E11</f>
        <v>13800</v>
      </c>
      <c r="F12" s="20" t="n">
        <f aca="false">F6*F11</f>
        <v>13800</v>
      </c>
      <c r="G12" s="20" t="n">
        <f aca="false">G6*G11</f>
        <v>13800</v>
      </c>
      <c r="H12" s="20" t="n">
        <f aca="false">H6*H11</f>
        <v>27600</v>
      </c>
      <c r="I12" s="20" t="n">
        <f aca="false">I6*I11</f>
        <v>27600</v>
      </c>
      <c r="J12" s="20" t="n">
        <f aca="false">J6*J11</f>
        <v>27600</v>
      </c>
      <c r="K12" s="20" t="n">
        <f aca="false">K6*K11</f>
        <v>27600</v>
      </c>
      <c r="L12" s="20" t="n">
        <f aca="false">L6*L11</f>
        <v>27600</v>
      </c>
      <c r="M12" s="20" t="n">
        <f aca="false">M6*M11</f>
        <v>27600</v>
      </c>
      <c r="N12" s="13" t="n">
        <f aca="false">SUM(B12:M12)</f>
        <v>207000</v>
      </c>
    </row>
    <row r="13" customFormat="false" ht="15" hidden="false" customHeight="false" outlineLevel="0" collapsed="false">
      <c r="A13" s="12" t="s">
        <v>64</v>
      </c>
      <c r="B13" s="20" t="n">
        <f aca="false">B10+B12</f>
        <v>6900</v>
      </c>
      <c r="C13" s="20" t="n">
        <f aca="false">C10+C12</f>
        <v>6900</v>
      </c>
      <c r="D13" s="20" t="n">
        <f aca="false">D10+D12</f>
        <v>6900</v>
      </c>
      <c r="E13" s="20" t="n">
        <f aca="false">E10+E12</f>
        <v>27600</v>
      </c>
      <c r="F13" s="20" t="n">
        <f aca="false">F10+F12</f>
        <v>27600</v>
      </c>
      <c r="G13" s="20" t="n">
        <f aca="false">G10+G12</f>
        <v>27600</v>
      </c>
      <c r="H13" s="20" t="n">
        <f aca="false">H10+H12</f>
        <v>48300</v>
      </c>
      <c r="I13" s="20" t="n">
        <f aca="false">I10+I12</f>
        <v>48300</v>
      </c>
      <c r="J13" s="20" t="n">
        <f aca="false">J10+J12</f>
        <v>48300</v>
      </c>
      <c r="K13" s="20" t="n">
        <f aca="false">K10+K12</f>
        <v>48300</v>
      </c>
      <c r="L13" s="20" t="n">
        <f aca="false">L10+L12</f>
        <v>48300</v>
      </c>
      <c r="M13" s="20" t="n">
        <f aca="false">M10+M12</f>
        <v>48300</v>
      </c>
      <c r="N13" s="13" t="n">
        <f aca="false">SUM(B13:M13)</f>
        <v>393300</v>
      </c>
    </row>
    <row r="14" customFormat="false" ht="15" hidden="false" customHeight="false" outlineLevel="0" collapsed="false">
      <c r="A14" s="4" t="s">
        <v>65</v>
      </c>
      <c r="B14" s="24" t="n">
        <f aca="false">IFERROR(B13/B6,0)</f>
        <v>0.005</v>
      </c>
      <c r="C14" s="24" t="n">
        <f aca="false">IFERROR(C13/C6,0)</f>
        <v>0.005</v>
      </c>
      <c r="D14" s="24" t="n">
        <f aca="false">IFERROR(D13/D6,0)</f>
        <v>0.005</v>
      </c>
      <c r="E14" s="24" t="n">
        <f aca="false">IFERROR(E13/E6,0)</f>
        <v>0.02</v>
      </c>
      <c r="F14" s="24" t="n">
        <f aca="false">IFERROR(F13/F6,0)</f>
        <v>0.02</v>
      </c>
      <c r="G14" s="24" t="n">
        <f aca="false">IFERROR(G13/G6,0)</f>
        <v>0.02</v>
      </c>
      <c r="H14" s="24" t="n">
        <f aca="false">IFERROR(H13/H6,0)</f>
        <v>0.035</v>
      </c>
      <c r="I14" s="24" t="n">
        <f aca="false">IFERROR(I13/I6,0)</f>
        <v>0.035</v>
      </c>
      <c r="J14" s="24" t="n">
        <f aca="false">IFERROR(J13/J6,0)</f>
        <v>0.035</v>
      </c>
      <c r="K14" s="24" t="n">
        <f aca="false">IFERROR(K13/K6,0)</f>
        <v>0.035</v>
      </c>
      <c r="L14" s="24" t="n">
        <f aca="false">IFERROR(L13/L6,0)</f>
        <v>0.035</v>
      </c>
      <c r="M14" s="24" t="n">
        <f aca="false">IFERROR(M13/M6,0)</f>
        <v>0.035</v>
      </c>
      <c r="N14" s="25" t="n">
        <f aca="false">IFERROR(N13/N6,0)</f>
        <v>0.02375</v>
      </c>
    </row>
    <row r="15" customFormat="false" ht="15" hidden="false" customHeight="false" outlineLevel="0" collapsed="false">
      <c r="A15" s="9" t="s">
        <v>66</v>
      </c>
      <c r="B15" s="24" t="n">
        <f aca="false">参数!$B$6+B9</f>
        <v>0.0575</v>
      </c>
      <c r="C15" s="24" t="n">
        <f aca="false">参数!$B$6+C9</f>
        <v>0.0575</v>
      </c>
      <c r="D15" s="24" t="n">
        <f aca="false">参数!$B$6+D9</f>
        <v>0.0575</v>
      </c>
      <c r="E15" s="24" t="n">
        <f aca="false">参数!$B$6+E9</f>
        <v>0.0625</v>
      </c>
      <c r="F15" s="24" t="n">
        <f aca="false">参数!$B$6+F9</f>
        <v>0.0625</v>
      </c>
      <c r="G15" s="24" t="n">
        <f aca="false">参数!$B$6+G9</f>
        <v>0.0625</v>
      </c>
      <c r="H15" s="24" t="n">
        <f aca="false">参数!$B$6+H9</f>
        <v>0.0675</v>
      </c>
      <c r="I15" s="24" t="n">
        <f aca="false">参数!$B$6+I9</f>
        <v>0.0675</v>
      </c>
      <c r="J15" s="24" t="n">
        <f aca="false">参数!$B$6+J9</f>
        <v>0.0675</v>
      </c>
      <c r="K15" s="24" t="n">
        <f aca="false">参数!$B$6+K9</f>
        <v>0.0675</v>
      </c>
      <c r="L15" s="24" t="n">
        <f aca="false">参数!$B$6+L9</f>
        <v>0.0675</v>
      </c>
      <c r="M15" s="24" t="n">
        <f aca="false">参数!$B$6+M9</f>
        <v>0.0675</v>
      </c>
      <c r="N15" s="25" t="n">
        <f aca="false">IFERROR((N7+N10)/N6,0)</f>
        <v>0.06375</v>
      </c>
    </row>
    <row r="17" customFormat="false" ht="15" hidden="false" customHeight="false" outlineLevel="0" collapsed="false">
      <c r="A17" s="21" t="s">
        <v>67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customFormat="false" ht="15" hidden="false" customHeight="false" outlineLevel="0" collapsed="false">
      <c r="A18" s="4" t="s">
        <v>68</v>
      </c>
      <c r="B18" s="20" t="n">
        <f aca="false">B13*参数!$B$7</f>
        <v>2070</v>
      </c>
      <c r="C18" s="20" t="n">
        <f aca="false">C13*参数!$B$7</f>
        <v>2070</v>
      </c>
      <c r="D18" s="20" t="n">
        <f aca="false">D13*参数!$B$7</f>
        <v>2070</v>
      </c>
      <c r="E18" s="20" t="n">
        <f aca="false">E13*参数!$B$7</f>
        <v>8280</v>
      </c>
      <c r="F18" s="20" t="n">
        <f aca="false">F13*参数!$B$7</f>
        <v>8280</v>
      </c>
      <c r="G18" s="20" t="n">
        <f aca="false">G13*参数!$B$7</f>
        <v>8280</v>
      </c>
      <c r="H18" s="20" t="n">
        <f aca="false">H13*参数!$B$7</f>
        <v>14490</v>
      </c>
      <c r="I18" s="20" t="n">
        <f aca="false">I13*参数!$B$7</f>
        <v>14490</v>
      </c>
      <c r="J18" s="20" t="n">
        <f aca="false">J13*参数!$B$7</f>
        <v>14490</v>
      </c>
      <c r="K18" s="20" t="n">
        <f aca="false">K13*参数!$B$7</f>
        <v>14490</v>
      </c>
      <c r="L18" s="20" t="n">
        <f aca="false">L13*参数!$B$7</f>
        <v>14490</v>
      </c>
      <c r="M18" s="20" t="n">
        <f aca="false">M13*参数!$B$7</f>
        <v>14490</v>
      </c>
      <c r="N18" s="13" t="n">
        <f aca="false">SUM(B18:M18)</f>
        <v>117990</v>
      </c>
    </row>
    <row r="19" customFormat="false" ht="15" hidden="false" customHeight="false" outlineLevel="0" collapsed="false">
      <c r="A19" s="9" t="s">
        <v>69</v>
      </c>
      <c r="B19" s="20" t="n">
        <f aca="false">B10*参数!$B$8</f>
        <v>690</v>
      </c>
      <c r="C19" s="20" t="n">
        <f aca="false">C10*参数!$B$8</f>
        <v>690</v>
      </c>
      <c r="D19" s="20" t="n">
        <f aca="false">D10*参数!$B$8</f>
        <v>690</v>
      </c>
      <c r="E19" s="20" t="n">
        <f aca="false">E10*参数!$B$8</f>
        <v>1380</v>
      </c>
      <c r="F19" s="20" t="n">
        <f aca="false">F10*参数!$B$8</f>
        <v>1380</v>
      </c>
      <c r="G19" s="20" t="n">
        <f aca="false">G10*参数!$B$8</f>
        <v>1380</v>
      </c>
      <c r="H19" s="20" t="n">
        <f aca="false">H10*参数!$B$8</f>
        <v>2070</v>
      </c>
      <c r="I19" s="20" t="n">
        <f aca="false">I10*参数!$B$8</f>
        <v>2070</v>
      </c>
      <c r="J19" s="20" t="n">
        <f aca="false">J10*参数!$B$8</f>
        <v>2070</v>
      </c>
      <c r="K19" s="20" t="n">
        <f aca="false">K10*参数!$B$8</f>
        <v>2070</v>
      </c>
      <c r="L19" s="20" t="n">
        <f aca="false">L10*参数!$B$8</f>
        <v>2070</v>
      </c>
      <c r="M19" s="20" t="n">
        <f aca="false">M10*参数!$B$8</f>
        <v>2070</v>
      </c>
      <c r="N19" s="13" t="n">
        <f aca="false">SUM(B19:M19)</f>
        <v>18630</v>
      </c>
    </row>
    <row r="20" customFormat="false" ht="15" hidden="false" customHeight="false" outlineLevel="0" collapsed="false">
      <c r="A20" s="4" t="s">
        <v>70</v>
      </c>
      <c r="B20" s="20" t="n">
        <f aca="false">B12*参数!$B$9</f>
        <v>0</v>
      </c>
      <c r="C20" s="20" t="n">
        <f aca="false">C12*参数!$B$9</f>
        <v>0</v>
      </c>
      <c r="D20" s="20" t="n">
        <f aca="false">D12*参数!$B$9</f>
        <v>0</v>
      </c>
      <c r="E20" s="20" t="n">
        <f aca="false">E12*参数!$B$9</f>
        <v>2760</v>
      </c>
      <c r="F20" s="20" t="n">
        <f aca="false">F12*参数!$B$9</f>
        <v>2760</v>
      </c>
      <c r="G20" s="20" t="n">
        <f aca="false">G12*参数!$B$9</f>
        <v>2760</v>
      </c>
      <c r="H20" s="20" t="n">
        <f aca="false">H12*参数!$B$9</f>
        <v>5520</v>
      </c>
      <c r="I20" s="20" t="n">
        <f aca="false">I12*参数!$B$9</f>
        <v>5520</v>
      </c>
      <c r="J20" s="20" t="n">
        <f aca="false">J12*参数!$B$9</f>
        <v>5520</v>
      </c>
      <c r="K20" s="20" t="n">
        <f aca="false">K12*参数!$B$9</f>
        <v>5520</v>
      </c>
      <c r="L20" s="20" t="n">
        <f aca="false">L12*参数!$B$9</f>
        <v>5520</v>
      </c>
      <c r="M20" s="20" t="n">
        <f aca="false">M12*参数!$B$9</f>
        <v>5520</v>
      </c>
      <c r="N20" s="13" t="n">
        <f aca="false">SUM(B20:M20)</f>
        <v>41400</v>
      </c>
    </row>
    <row r="21" customFormat="false" ht="15" hidden="false" customHeight="false" outlineLevel="0" collapsed="false">
      <c r="A21" s="4" t="s">
        <v>71</v>
      </c>
      <c r="B21" s="20" t="n">
        <f aca="false">IF(1&lt;=6,参数!$B$10,0)</f>
        <v>1000</v>
      </c>
      <c r="C21" s="20" t="n">
        <f aca="false">IF(2&lt;=6,参数!$B$10,0)</f>
        <v>1000</v>
      </c>
      <c r="D21" s="20" t="n">
        <f aca="false">IF(3&lt;=6,参数!$B$10,0)</f>
        <v>1000</v>
      </c>
      <c r="E21" s="20" t="n">
        <f aca="false">IF(4&lt;=6,参数!$B$10,0)</f>
        <v>1000</v>
      </c>
      <c r="F21" s="20" t="n">
        <f aca="false">IF(5&lt;=6,参数!$B$10,0)</f>
        <v>1000</v>
      </c>
      <c r="G21" s="20" t="n">
        <f aca="false">IF(6&lt;=6,参数!$B$10,0)</f>
        <v>1000</v>
      </c>
      <c r="H21" s="20" t="n">
        <f aca="false">IF(7&lt;=6,参数!$B$10,0)</f>
        <v>0</v>
      </c>
      <c r="I21" s="20" t="n">
        <f aca="false">IF(8&lt;=6,参数!$B$10,0)</f>
        <v>0</v>
      </c>
      <c r="J21" s="20" t="n">
        <f aca="false">IF(9&lt;=6,参数!$B$10,0)</f>
        <v>0</v>
      </c>
      <c r="K21" s="20" t="n">
        <f aca="false">IF(10&lt;=6,参数!$B$10,0)</f>
        <v>0</v>
      </c>
      <c r="L21" s="20" t="n">
        <f aca="false">IF(11&lt;=6,参数!$B$10,0)</f>
        <v>0</v>
      </c>
      <c r="M21" s="20" t="n">
        <f aca="false">IF(12&lt;=6,参数!$B$10,0)</f>
        <v>0</v>
      </c>
      <c r="N21" s="13" t="n">
        <f aca="false">SUM(B21:M21)</f>
        <v>6000</v>
      </c>
    </row>
    <row r="22" customFormat="false" ht="15" hidden="false" customHeight="false" outlineLevel="0" collapsed="false">
      <c r="A22" s="4" t="s">
        <v>72</v>
      </c>
      <c r="B22" s="19" t="n">
        <f aca="false">参数!$B$11</f>
        <v>2000</v>
      </c>
      <c r="C22" s="19" t="n">
        <f aca="false">参数!$B$11</f>
        <v>2000</v>
      </c>
      <c r="D22" s="19" t="n">
        <f aca="false">参数!$B$11</f>
        <v>2000</v>
      </c>
      <c r="E22" s="19" t="n">
        <f aca="false">参数!$B$11</f>
        <v>2000</v>
      </c>
      <c r="F22" s="19" t="n">
        <f aca="false">参数!$B$11</f>
        <v>2000</v>
      </c>
      <c r="G22" s="19" t="n">
        <f aca="false">参数!$B$11</f>
        <v>2000</v>
      </c>
      <c r="H22" s="19" t="n">
        <f aca="false">参数!$B$11</f>
        <v>2000</v>
      </c>
      <c r="I22" s="19" t="n">
        <f aca="false">参数!$B$11</f>
        <v>2000</v>
      </c>
      <c r="J22" s="19" t="n">
        <f aca="false">参数!$B$11</f>
        <v>2000</v>
      </c>
      <c r="K22" s="19" t="n">
        <f aca="false">参数!$B$11</f>
        <v>2000</v>
      </c>
      <c r="L22" s="19" t="n">
        <f aca="false">参数!$B$11</f>
        <v>2000</v>
      </c>
      <c r="M22" s="19" t="n">
        <f aca="false">参数!$B$11</f>
        <v>2000</v>
      </c>
      <c r="N22" s="13" t="n">
        <f aca="false">SUM(B22:M22)</f>
        <v>24000</v>
      </c>
    </row>
    <row r="23" customFormat="false" ht="15" hidden="false" customHeight="false" outlineLevel="0" collapsed="false">
      <c r="A23" s="4" t="s">
        <v>73</v>
      </c>
      <c r="B23" s="20" t="n">
        <f aca="false">SUM(B19:B22)</f>
        <v>3690</v>
      </c>
      <c r="C23" s="20" t="n">
        <f aca="false">SUM(C19:C22)</f>
        <v>3690</v>
      </c>
      <c r="D23" s="20" t="n">
        <f aca="false">SUM(D19:D22)</f>
        <v>3690</v>
      </c>
      <c r="E23" s="20" t="n">
        <f aca="false">SUM(E19:E22)</f>
        <v>7140</v>
      </c>
      <c r="F23" s="20" t="n">
        <f aca="false">SUM(F19:F22)</f>
        <v>7140</v>
      </c>
      <c r="G23" s="20" t="n">
        <f aca="false">SUM(G19:G22)</f>
        <v>7140</v>
      </c>
      <c r="H23" s="20" t="n">
        <f aca="false">SUM(H19:H22)</f>
        <v>9590</v>
      </c>
      <c r="I23" s="20" t="n">
        <f aca="false">SUM(I19:I22)</f>
        <v>9590</v>
      </c>
      <c r="J23" s="20" t="n">
        <f aca="false">SUM(J19:J22)</f>
        <v>9590</v>
      </c>
      <c r="K23" s="20" t="n">
        <f aca="false">SUM(K19:K22)</f>
        <v>9590</v>
      </c>
      <c r="L23" s="20" t="n">
        <f aca="false">SUM(L19:L22)</f>
        <v>9590</v>
      </c>
      <c r="M23" s="20" t="n">
        <f aca="false">SUM(M19:M22)</f>
        <v>9590</v>
      </c>
      <c r="N23" s="13" t="n">
        <f aca="false">SUM(B23:M23)</f>
        <v>90030</v>
      </c>
    </row>
    <row r="24" customFormat="false" ht="15" hidden="false" customHeight="false" outlineLevel="0" collapsed="false">
      <c r="A24" s="12" t="s">
        <v>74</v>
      </c>
      <c r="B24" s="20" t="n">
        <f aca="false">B18-B23</f>
        <v>-1620</v>
      </c>
      <c r="C24" s="20" t="n">
        <f aca="false">C18-C23</f>
        <v>-1620</v>
      </c>
      <c r="D24" s="20" t="n">
        <f aca="false">D18-D23</f>
        <v>-1620</v>
      </c>
      <c r="E24" s="20" t="n">
        <f aca="false">E18-E23</f>
        <v>1140</v>
      </c>
      <c r="F24" s="20" t="n">
        <f aca="false">F18-F23</f>
        <v>1140</v>
      </c>
      <c r="G24" s="20" t="n">
        <f aca="false">G18-G23</f>
        <v>1140</v>
      </c>
      <c r="H24" s="20" t="n">
        <f aca="false">H18-H23</f>
        <v>4900</v>
      </c>
      <c r="I24" s="20" t="n">
        <f aca="false">I18-I23</f>
        <v>4900</v>
      </c>
      <c r="J24" s="20" t="n">
        <f aca="false">J18-J23</f>
        <v>4900</v>
      </c>
      <c r="K24" s="20" t="n">
        <f aca="false">K18-K23</f>
        <v>4900</v>
      </c>
      <c r="L24" s="20" t="n">
        <f aca="false">L18-L23</f>
        <v>4900</v>
      </c>
      <c r="M24" s="20" t="n">
        <f aca="false">M18-M23</f>
        <v>4900</v>
      </c>
      <c r="N24" s="13" t="n">
        <f aca="false">SUM(B24:M24)</f>
        <v>27960</v>
      </c>
    </row>
    <row r="25" customFormat="false" ht="15" hidden="false" customHeight="false" outlineLevel="0" collapsed="false">
      <c r="A25" s="4" t="s">
        <v>75</v>
      </c>
      <c r="B25" s="20" t="n">
        <f aca="false">B24</f>
        <v>-1620</v>
      </c>
      <c r="C25" s="20" t="n">
        <f aca="false">B25+C24</f>
        <v>-3240</v>
      </c>
      <c r="D25" s="20" t="n">
        <f aca="false">C25+D24</f>
        <v>-4860</v>
      </c>
      <c r="E25" s="20" t="n">
        <f aca="false">D25+E24</f>
        <v>-3720</v>
      </c>
      <c r="F25" s="20" t="n">
        <f aca="false">E25+F24</f>
        <v>-2580</v>
      </c>
      <c r="G25" s="20" t="n">
        <f aca="false">F25+G24</f>
        <v>-1440</v>
      </c>
      <c r="H25" s="20" t="n">
        <f aca="false">G25+H24</f>
        <v>3460</v>
      </c>
      <c r="I25" s="20" t="n">
        <f aca="false">H25+I24</f>
        <v>8360</v>
      </c>
      <c r="J25" s="20" t="n">
        <f aca="false">I25+J24</f>
        <v>13260</v>
      </c>
      <c r="K25" s="20" t="n">
        <f aca="false">J25+K24</f>
        <v>18160</v>
      </c>
      <c r="L25" s="20" t="n">
        <f aca="false">K25+L24</f>
        <v>23060</v>
      </c>
      <c r="M25" s="20" t="n">
        <f aca="false">L25+M24</f>
        <v>27960</v>
      </c>
      <c r="N25" s="18"/>
    </row>
    <row r="26" customFormat="false" ht="15" hidden="false" customHeight="false" outlineLevel="0" collapsed="false">
      <c r="A26" s="9" t="s">
        <v>76</v>
      </c>
      <c r="B26" s="26" t="n">
        <f aca="false">IFERROR(B13/B23,0)</f>
        <v>1.86991869918699</v>
      </c>
      <c r="C26" s="26" t="n">
        <f aca="false">IFERROR(C13/C23,0)</f>
        <v>1.86991869918699</v>
      </c>
      <c r="D26" s="26" t="n">
        <f aca="false">IFERROR(D13/D23,0)</f>
        <v>1.86991869918699</v>
      </c>
      <c r="E26" s="26" t="n">
        <f aca="false">IFERROR(E13/E23,0)</f>
        <v>3.8655462184874</v>
      </c>
      <c r="F26" s="26" t="n">
        <f aca="false">IFERROR(F13/F23,0)</f>
        <v>3.8655462184874</v>
      </c>
      <c r="G26" s="26" t="n">
        <f aca="false">IFERROR(G13/G23,0)</f>
        <v>3.8655462184874</v>
      </c>
      <c r="H26" s="26" t="n">
        <f aca="false">IFERROR(H13/H23,0)</f>
        <v>5.03649635036496</v>
      </c>
      <c r="I26" s="26" t="n">
        <f aca="false">IFERROR(I13/I23,0)</f>
        <v>5.03649635036496</v>
      </c>
      <c r="J26" s="26" t="n">
        <f aca="false">IFERROR(J13/J23,0)</f>
        <v>5.03649635036496</v>
      </c>
      <c r="K26" s="26" t="n">
        <f aca="false">IFERROR(K13/K23,0)</f>
        <v>5.03649635036496</v>
      </c>
      <c r="L26" s="26" t="n">
        <f aca="false">IFERROR(L13/L23,0)</f>
        <v>5.03649635036496</v>
      </c>
      <c r="M26" s="26" t="n">
        <f aca="false">IFERROR(M13/M23,0)</f>
        <v>5.03649635036496</v>
      </c>
      <c r="N26" s="27" t="n">
        <f aca="false">IFERROR(N13/N23,0)</f>
        <v>4.36854381872709</v>
      </c>
    </row>
    <row r="28" customFormat="false" ht="15" hidden="false" customHeight="false" outlineLevel="0" collapsed="false">
      <c r="A28" s="21" t="s">
        <v>77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4" t="s">
        <v>78</v>
      </c>
      <c r="B29" s="5" t="n">
        <f aca="false">N13</f>
        <v>393300</v>
      </c>
      <c r="C29" s="28" t="s">
        <v>79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15" hidden="false" customHeight="false" outlineLevel="0" collapsed="false">
      <c r="A30" s="4" t="s">
        <v>80</v>
      </c>
      <c r="B30" s="5" t="n">
        <f aca="false">N24</f>
        <v>27960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customFormat="false" ht="15" hidden="false" customHeight="false" outlineLevel="0" collapsed="false">
      <c r="A31" s="4" t="s">
        <v>81</v>
      </c>
      <c r="B31" s="29" t="str">
        <f aca="false">IFERROR(INDEX($B$4:$M$4,MATCH(TRUE(),INDEX($B$24:$M$24&gt;0,0),0)),"12个月内未转正")</f>
        <v>第4月</v>
      </c>
      <c r="C31" s="28" t="s">
        <v>82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customFormat="false" ht="15" hidden="false" customHeight="false" outlineLevel="0" collapsed="false">
      <c r="A32" s="4" t="s">
        <v>83</v>
      </c>
      <c r="B32" s="5" t="n">
        <f aca="false">IFERROR((参数!B11*12+参数!B10*6)/(SUMPRODUCT(B9:M9)*(参数!B7-参数!B8)+SUMPRODUCT(B11:M11)*(参数!B7-参数!B9)),0)</f>
        <v>714285.714285714</v>
      </c>
      <c r="C32" s="28" t="s">
        <v>84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customFormat="false" ht="15" hidden="false" customHeight="false" outlineLevel="0" collapsed="false">
      <c r="A33" s="4" t="s">
        <v>85</v>
      </c>
      <c r="B33" s="5" t="n">
        <f aca="false">IFERROR(参数!B11/(参数!D14*(参数!B7-参数!B8)+参数!D15*(参数!B7-参数!B9)),0)</f>
        <v>400000</v>
      </c>
      <c r="C33" s="28" t="s">
        <v>86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</sheetData>
  <mergeCells count="5">
    <mergeCell ref="C29:N29"/>
    <mergeCell ref="C30:N30"/>
    <mergeCell ref="C31:N31"/>
    <mergeCell ref="C32:N32"/>
    <mergeCell ref="C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6"/>
  </cols>
  <sheetData>
    <row r="1" customFormat="false" ht="19.4" hidden="false" customHeight="false" outlineLevel="0" collapsed="false">
      <c r="A1" s="15" t="s">
        <v>87</v>
      </c>
    </row>
    <row r="2" customFormat="false" ht="15" hidden="false" customHeight="false" outlineLevel="0" collapsed="false">
      <c r="A2" s="2" t="s">
        <v>88</v>
      </c>
    </row>
    <row r="4" customFormat="false" ht="31.5" hidden="false" customHeight="true" outlineLevel="0" collapsed="false">
      <c r="A4" s="30" t="s">
        <v>89</v>
      </c>
      <c r="B4" s="30" t="s">
        <v>90</v>
      </c>
      <c r="C4" s="30" t="s">
        <v>91</v>
      </c>
      <c r="D4" s="31" t="s">
        <v>92</v>
      </c>
      <c r="E4" s="30" t="s">
        <v>93</v>
      </c>
      <c r="F4" s="30" t="s">
        <v>94</v>
      </c>
      <c r="G4" s="30" t="s">
        <v>95</v>
      </c>
      <c r="H4" s="30" t="s">
        <v>96</v>
      </c>
    </row>
    <row r="5" customFormat="false" ht="15" hidden="false" customHeight="false" outlineLevel="0" collapsed="false">
      <c r="A5" s="32" t="str">
        <f aca="false">参数!A19</f>
        <v>油泵</v>
      </c>
      <c r="B5" s="19" t="n">
        <f aca="false">参数!B19*12</f>
        <v>2400000</v>
      </c>
      <c r="C5" s="20" t="n">
        <f aca="false">B5*参数!$B$6</f>
        <v>126000</v>
      </c>
      <c r="D5" s="20" t="n">
        <f aca="false">B5*月度测算!$N$9</f>
        <v>27000</v>
      </c>
      <c r="E5" s="20" t="n">
        <f aca="false">B5*月度测算!$N$11</f>
        <v>30000</v>
      </c>
      <c r="F5" s="20" t="n">
        <f aca="false">D5+E5</f>
        <v>57000</v>
      </c>
      <c r="G5" s="20" t="n">
        <f aca="false">F5*参数!$B$7</f>
        <v>17100</v>
      </c>
      <c r="H5" s="24" t="n">
        <f aca="false">IFERROR(F5/B5,0)</f>
        <v>0.02375</v>
      </c>
    </row>
    <row r="6" customFormat="false" ht="15" hidden="false" customHeight="false" outlineLevel="0" collapsed="false">
      <c r="A6" s="32" t="str">
        <f aca="false">参数!A20</f>
        <v>充气泵</v>
      </c>
      <c r="B6" s="19" t="n">
        <f aca="false">参数!B20*12</f>
        <v>3000000</v>
      </c>
      <c r="C6" s="20" t="n">
        <f aca="false">B6*参数!$B$6</f>
        <v>157500</v>
      </c>
      <c r="D6" s="20" t="n">
        <f aca="false">B6*月度测算!$N$9</f>
        <v>33750</v>
      </c>
      <c r="E6" s="20" t="n">
        <f aca="false">B6*月度测算!$N$11</f>
        <v>37500</v>
      </c>
      <c r="F6" s="20" t="n">
        <f aca="false">D6+E6</f>
        <v>71250</v>
      </c>
      <c r="G6" s="20" t="n">
        <f aca="false">F6*参数!$B$7</f>
        <v>21375</v>
      </c>
      <c r="H6" s="24" t="n">
        <f aca="false">IFERROR(F6/B6,0)</f>
        <v>0.02375</v>
      </c>
    </row>
    <row r="7" customFormat="false" ht="15" hidden="false" customHeight="false" outlineLevel="0" collapsed="false">
      <c r="A7" s="32" t="str">
        <f aca="false">参数!A21</f>
        <v>逆变器</v>
      </c>
      <c r="B7" s="19" t="n">
        <f aca="false">参数!B21*12</f>
        <v>4080000</v>
      </c>
      <c r="C7" s="20" t="n">
        <f aca="false">B7*参数!$B$6</f>
        <v>214200</v>
      </c>
      <c r="D7" s="20" t="n">
        <f aca="false">B7*月度测算!$N$9</f>
        <v>45900</v>
      </c>
      <c r="E7" s="20" t="n">
        <f aca="false">B7*月度测算!$N$11</f>
        <v>51000</v>
      </c>
      <c r="F7" s="20" t="n">
        <f aca="false">D7+E7</f>
        <v>96900</v>
      </c>
      <c r="G7" s="20" t="n">
        <f aca="false">F7*参数!$B$7</f>
        <v>29070</v>
      </c>
      <c r="H7" s="24" t="n">
        <f aca="false">IFERROR(F7/B7,0)</f>
        <v>0.02375</v>
      </c>
    </row>
    <row r="8" customFormat="false" ht="15" hidden="false" customHeight="false" outlineLevel="0" collapsed="false">
      <c r="A8" s="32" t="str">
        <f aca="false">参数!A22</f>
        <v>冲击扳手</v>
      </c>
      <c r="B8" s="19" t="n">
        <f aca="false">参数!B22*12</f>
        <v>3120000</v>
      </c>
      <c r="C8" s="20" t="n">
        <f aca="false">B8*参数!$B$6</f>
        <v>163800</v>
      </c>
      <c r="D8" s="20" t="n">
        <f aca="false">B8*月度测算!$N$9</f>
        <v>35100</v>
      </c>
      <c r="E8" s="20" t="n">
        <f aca="false">B8*月度测算!$N$11</f>
        <v>39000</v>
      </c>
      <c r="F8" s="20" t="n">
        <f aca="false">D8+E8</f>
        <v>74100</v>
      </c>
      <c r="G8" s="20" t="n">
        <f aca="false">F8*参数!$B$7</f>
        <v>22230</v>
      </c>
      <c r="H8" s="24" t="n">
        <f aca="false">IFERROR(F8/B8,0)</f>
        <v>0.02375</v>
      </c>
    </row>
    <row r="9" customFormat="false" ht="15" hidden="false" customHeight="false" outlineLevel="0" collapsed="false">
      <c r="A9" s="32" t="str">
        <f aca="false">参数!A23</f>
        <v>黄油枪</v>
      </c>
      <c r="B9" s="19" t="n">
        <f aca="false">参数!B23*12</f>
        <v>1560000</v>
      </c>
      <c r="C9" s="20" t="n">
        <f aca="false">B9*参数!$B$6</f>
        <v>81900</v>
      </c>
      <c r="D9" s="20" t="n">
        <f aca="false">B9*月度测算!$N$9</f>
        <v>17550</v>
      </c>
      <c r="E9" s="20" t="n">
        <f aca="false">B9*月度测算!$N$11</f>
        <v>19500</v>
      </c>
      <c r="F9" s="20" t="n">
        <f aca="false">D9+E9</f>
        <v>37050</v>
      </c>
      <c r="G9" s="20" t="n">
        <f aca="false">F9*参数!$B$7</f>
        <v>11115</v>
      </c>
      <c r="H9" s="24" t="n">
        <f aca="false">IFERROR(F9/B9,0)</f>
        <v>0.02375</v>
      </c>
    </row>
    <row r="10" customFormat="false" ht="15" hidden="false" customHeight="false" outlineLevel="0" collapsed="false">
      <c r="A10" s="32" t="str">
        <f aca="false">参数!A24</f>
        <v>工作灯</v>
      </c>
      <c r="B10" s="19" t="n">
        <f aca="false">参数!B24*12</f>
        <v>2400000</v>
      </c>
      <c r="C10" s="20" t="n">
        <f aca="false">B10*参数!$B$6</f>
        <v>126000</v>
      </c>
      <c r="D10" s="20" t="n">
        <f aca="false">B10*月度测算!$N$9</f>
        <v>27000</v>
      </c>
      <c r="E10" s="20" t="n">
        <f aca="false">B10*月度测算!$N$11</f>
        <v>30000</v>
      </c>
      <c r="F10" s="20" t="n">
        <f aca="false">D10+E10</f>
        <v>57000</v>
      </c>
      <c r="G10" s="20" t="n">
        <f aca="false">F10*参数!$B$7</f>
        <v>17100</v>
      </c>
      <c r="H10" s="24" t="n">
        <f aca="false">IFERROR(F10/B10,0)</f>
        <v>0.02375</v>
      </c>
    </row>
    <row r="11" customFormat="false" ht="15" hidden="false" customHeight="false" outlineLevel="0" collapsed="false">
      <c r="A11" s="12" t="s">
        <v>38</v>
      </c>
      <c r="B11" s="13" t="n">
        <f aca="false">SUM(B5:B10)</f>
        <v>16560000</v>
      </c>
      <c r="C11" s="13" t="n">
        <f aca="false">SUM(C5:C10)</f>
        <v>869400</v>
      </c>
      <c r="D11" s="13" t="n">
        <f aca="false">SUM(D5:D10)</f>
        <v>186300</v>
      </c>
      <c r="E11" s="13" t="n">
        <f aca="false">SUM(E5:E10)</f>
        <v>207000</v>
      </c>
      <c r="F11" s="13" t="n">
        <f aca="false">SUM(F5:F10)</f>
        <v>393300</v>
      </c>
      <c r="G11" s="13" t="n">
        <f aca="false">SUM(G5:G10)</f>
        <v>117990</v>
      </c>
      <c r="H11" s="25" t="n">
        <f aca="false">IFERROR(F11/B11,0)</f>
        <v>0.02375</v>
      </c>
    </row>
    <row r="13" customFormat="false" ht="15" hidden="false" customHeight="false" outlineLevel="0" collapsed="false">
      <c r="A13" s="4" t="s">
        <v>97</v>
      </c>
      <c r="B13" s="4"/>
      <c r="C13" s="4"/>
      <c r="D13" s="4"/>
      <c r="E13" s="4"/>
      <c r="F13" s="20" t="n">
        <f aca="false">F11-月度测算!N13</f>
        <v>0</v>
      </c>
    </row>
  </sheetData>
  <mergeCells count="1"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2026-10-12T12:57:20Z</dcterms:created>
  <dc:creator>openpyxl</dc:creator>
  <dc:description/>
  <dc:language>en-US</dc:language>
  <cp:lastModifiedBy/>
  <dcterms:modified xsi:type="dcterms:W3CDTF">2026-10-12T12:57:20Z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