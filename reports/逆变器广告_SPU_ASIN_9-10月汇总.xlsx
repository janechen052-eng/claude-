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览" sheetId="1" state="visible" r:id="rId3"/>
    <sheet name="广告跑飞ASIN" sheetId="2" state="visible" r:id="rId4"/>
    <sheet name="SPU月度汇总" sheetId="3" state="visible" r:id="rId5"/>
    <sheet name="ASIN月度汇总" sheetId="4" state="visible" r:id="rId6"/>
    <sheet name="SPU价格监控" sheetId="5" state="visible" r:id="rId7"/>
    <sheet name="价格变动明细" sheetId="6" state="visible" r:id="rId8"/>
    <sheet name="SPU日成交均价" sheetId="7" state="visible" r:id="rId9"/>
  </sheets>
  <definedNames>
    <definedName function="false" hidden="true" localSheetId="3" name="_xlnm._FilterDatabase" vbProcedure="false">ASIN月度汇总!$A$4:$BB$77</definedName>
    <definedName function="false" hidden="true" localSheetId="5" name="_xlnm._FilterDatabase" vbProcedure="false">价格变动明细!$A$4:$K$164</definedName>
    <definedName function="false" hidden="true" localSheetId="1" name="_xlnm._FilterDatabase" vbProcedure="false">广告跑飞ASIN!$A$4:$U$21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<sst xmlns="http://schemas.openxmlformats.org/spreadsheetml/2006/main" count="1594" uniqueCount="381">
  <si>
    <r>
      <rPr>
        <b val="true"/>
        <sz val="14"/>
        <rFont val="WenQuanYi Zen Hei"/>
        <family val="2"/>
      </rPr>
      <t xml:space="preserve">逆变器广告 </t>
    </r>
    <r>
      <rPr>
        <b val="true"/>
        <sz val="14"/>
        <rFont val="Arial"/>
        <family val="0"/>
        <charset val="1"/>
      </rPr>
      <t xml:space="preserve">9</t>
    </r>
    <r>
      <rPr>
        <b val="true"/>
        <sz val="14"/>
        <rFont val="WenQuanYi Zen Hei"/>
        <family val="2"/>
      </rPr>
      <t xml:space="preserve">月 </t>
    </r>
    <r>
      <rPr>
        <b val="true"/>
        <sz val="14"/>
        <rFont val="Arial"/>
        <family val="0"/>
        <charset val="1"/>
      </rPr>
      <t xml:space="preserve">vs 10</t>
    </r>
    <r>
      <rPr>
        <b val="true"/>
        <sz val="14"/>
        <rFont val="WenQuanYi Zen Hei"/>
        <family val="2"/>
      </rPr>
      <t xml:space="preserve">月 汇总（数据：领星 </t>
    </r>
    <r>
      <rPr>
        <b val="true"/>
        <sz val="14"/>
        <rFont val="Arial"/>
        <family val="0"/>
        <charset val="1"/>
      </rPr>
      <t xml:space="preserve">ASIN </t>
    </r>
    <r>
      <rPr>
        <b val="true"/>
        <sz val="14"/>
        <rFont val="WenQuanYi Zen Hei"/>
        <family val="2"/>
      </rPr>
      <t xml:space="preserve">表现日报 </t>
    </r>
    <r>
      <rPr>
        <b val="true"/>
        <sz val="14"/>
        <rFont val="Arial"/>
        <family val="0"/>
        <charset val="1"/>
      </rPr>
      <t xml:space="preserve">2026-09-01 ~ 2026-10-26</t>
    </r>
    <r>
      <rPr>
        <b val="true"/>
        <sz val="14"/>
        <rFont val="WenQuanYi Zen Hei"/>
        <family val="2"/>
      </rPr>
      <t xml:space="preserve">）</t>
    </r>
  </si>
  <si>
    <r>
      <rPr>
        <i val="true"/>
        <sz val="9"/>
        <color rgb="FF666666"/>
        <rFont val="WenQuanYi Zen Hei"/>
        <family val="2"/>
      </rPr>
      <t xml:space="preserve">金额单位：美元（领星导出已统一折算为 </t>
    </r>
    <r>
      <rPr>
        <i val="true"/>
        <sz val="9"/>
        <color rgb="FF666666"/>
        <rFont val="Arial"/>
        <family val="0"/>
        <charset val="1"/>
      </rPr>
      <t xml:space="preserve">$</t>
    </r>
    <r>
      <rPr>
        <i val="true"/>
        <sz val="9"/>
        <color rgb="FF666666"/>
        <rFont val="WenQuanYi Zen Hei"/>
        <family val="2"/>
      </rPr>
      <t xml:space="preserve">）。</t>
    </r>
    <r>
      <rPr>
        <i val="true"/>
        <sz val="9"/>
        <color rgb="FF666666"/>
        <rFont val="Arial"/>
        <family val="0"/>
        <charset val="1"/>
      </rPr>
      <t xml:space="preserve">10</t>
    </r>
    <r>
      <rPr>
        <i val="true"/>
        <sz val="9"/>
        <color rgb="FF666666"/>
        <rFont val="WenQuanYi Zen Hei"/>
        <family val="2"/>
      </rPr>
      <t xml:space="preserve">月仅 </t>
    </r>
    <r>
      <rPr>
        <i val="true"/>
        <sz val="9"/>
        <color rgb="FF666666"/>
        <rFont val="Arial"/>
        <family val="0"/>
        <charset val="1"/>
      </rPr>
      <t xml:space="preserve">26 </t>
    </r>
    <r>
      <rPr>
        <i val="true"/>
        <sz val="9"/>
        <color rgb="FF666666"/>
        <rFont val="WenQuanYi Zen Hei"/>
        <family val="2"/>
      </rPr>
      <t xml:space="preserve">天，花费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销量的环比按“日均”比较；比率指标（</t>
    </r>
    <r>
      <rPr>
        <i val="true"/>
        <sz val="9"/>
        <color rgb="FF666666"/>
        <rFont val="Arial"/>
        <family val="0"/>
        <charset val="1"/>
      </rPr>
      <t xml:space="preserve">ACOS </t>
    </r>
    <r>
      <rPr>
        <i val="true"/>
        <sz val="9"/>
        <color rgb="FF666666"/>
        <rFont val="WenQuanYi Zen Hei"/>
        <family val="2"/>
      </rPr>
      <t xml:space="preserve">等）直接比较。</t>
    </r>
  </si>
  <si>
    <r>
      <rPr>
        <b val="true"/>
        <sz val="10"/>
        <rFont val="WenQuanYi Zen Hei"/>
        <family val="2"/>
      </rPr>
      <t xml:space="preserve">阈值（蓝字可改，</t>
    </r>
    <r>
      <rPr>
        <b val="true"/>
        <sz val="10"/>
        <rFont val="Arial"/>
        <family val="0"/>
        <charset val="1"/>
      </rPr>
      <t xml:space="preserve">SPU/ASIN </t>
    </r>
    <r>
      <rPr>
        <b val="true"/>
        <sz val="10"/>
        <rFont val="WenQuanYi Zen Hei"/>
        <family val="2"/>
      </rPr>
      <t xml:space="preserve">表的高亮会随之更新）</t>
    </r>
  </si>
  <si>
    <r>
      <rPr>
        <b val="true"/>
        <sz val="10"/>
        <rFont val="WenQuanYi Zen Hei"/>
        <family val="2"/>
      </rPr>
      <t xml:space="preserve">广告跑飞 </t>
    </r>
    <r>
      <rPr>
        <b val="true"/>
        <sz val="10"/>
        <rFont val="Arial"/>
        <family val="0"/>
        <charset val="1"/>
      </rPr>
      <t xml:space="preserve">ASIN </t>
    </r>
    <r>
      <rPr>
        <b val="true"/>
        <sz val="10"/>
        <rFont val="WenQuanYi Zen Hei"/>
        <family val="2"/>
      </rPr>
      <t xml:space="preserve">摘要</t>
    </r>
  </si>
  <si>
    <r>
      <rPr>
        <sz val="10"/>
        <rFont val="Arial"/>
        <family val="0"/>
        <charset val="1"/>
      </rPr>
      <t xml:space="preserve">ACOS </t>
    </r>
    <r>
      <rPr>
        <sz val="10"/>
        <rFont val="WenQuanYi Zen Hei"/>
        <family val="2"/>
      </rPr>
      <t xml:space="preserve">偏高</t>
    </r>
  </si>
  <si>
    <r>
      <rPr>
        <i val="true"/>
        <sz val="9"/>
        <color rgb="FF666666"/>
        <rFont val="Arial"/>
        <family val="0"/>
        <charset val="1"/>
      </rPr>
      <t xml:space="preserve">ACOS ≥ </t>
    </r>
    <r>
      <rPr>
        <i val="true"/>
        <sz val="9"/>
        <color rgb="FF666666"/>
        <rFont val="WenQuanYi Zen Hei"/>
        <family val="2"/>
      </rPr>
      <t xml:space="preserve">此值标红</t>
    </r>
  </si>
  <si>
    <t xml:space="preserve">风险等级</t>
  </si>
  <si>
    <r>
      <rPr>
        <b val="true"/>
        <sz val="10"/>
        <color rgb="FFFFFFFF"/>
        <rFont val="Arial"/>
        <family val="0"/>
        <charset val="1"/>
      </rPr>
      <t xml:space="preserve">ASIN</t>
    </r>
    <r>
      <rPr>
        <b val="true"/>
        <sz val="10"/>
        <color rgb="FFFFFFFF"/>
        <rFont val="WenQuanYi Zen Hei"/>
        <family val="2"/>
      </rPr>
      <t xml:space="preserve">数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</si>
  <si>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月花费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</si>
  <si>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月超额花费</t>
    </r>
  </si>
  <si>
    <r>
      <rPr>
        <sz val="10"/>
        <rFont val="Arial"/>
        <family val="0"/>
        <charset val="1"/>
      </rPr>
      <t xml:space="preserve">TACOS </t>
    </r>
    <r>
      <rPr>
        <sz val="10"/>
        <rFont val="WenQuanYi Zen Hei"/>
        <family val="2"/>
      </rPr>
      <t xml:space="preserve">偏高</t>
    </r>
  </si>
  <si>
    <r>
      <rPr>
        <i val="true"/>
        <sz val="9"/>
        <color rgb="FF666666"/>
        <rFont val="Arial"/>
        <family val="0"/>
        <charset val="1"/>
      </rPr>
      <t xml:space="preserve">TACOS ≥ </t>
    </r>
    <r>
      <rPr>
        <i val="true"/>
        <sz val="9"/>
        <color rgb="FF666666"/>
        <rFont val="WenQuanYi Zen Hei"/>
        <family val="2"/>
      </rPr>
      <t xml:space="preserve">此值标红</t>
    </r>
  </si>
  <si>
    <t xml:space="preserve">高</t>
  </si>
  <si>
    <r>
      <rPr>
        <sz val="10"/>
        <rFont val="Arial"/>
        <family val="0"/>
        <charset val="1"/>
      </rPr>
      <t xml:space="preserve">CPC </t>
    </r>
    <r>
      <rPr>
        <sz val="10"/>
        <rFont val="WenQuanYi Zen Hei"/>
        <family val="2"/>
      </rPr>
      <t xml:space="preserve">偏高</t>
    </r>
  </si>
  <si>
    <r>
      <rPr>
        <i val="true"/>
        <sz val="9"/>
        <color rgb="FF666666"/>
        <rFont val="Arial"/>
        <family val="0"/>
        <charset val="1"/>
      </rPr>
      <t xml:space="preserve">CPC ≥ </t>
    </r>
    <r>
      <rPr>
        <i val="true"/>
        <sz val="9"/>
        <color rgb="FF666666"/>
        <rFont val="WenQuanYi Zen Hei"/>
        <family val="2"/>
      </rPr>
      <t xml:space="preserve">此值标黄</t>
    </r>
  </si>
  <si>
    <t xml:space="preserve">中</t>
  </si>
  <si>
    <r>
      <rPr>
        <sz val="10"/>
        <rFont val="WenQuanYi Zen Hei"/>
        <family val="2"/>
      </rPr>
      <t xml:space="preserve">广告</t>
    </r>
    <r>
      <rPr>
        <sz val="10"/>
        <rFont val="Arial"/>
        <family val="0"/>
        <charset val="1"/>
      </rPr>
      <t xml:space="preserve">CVR </t>
    </r>
    <r>
      <rPr>
        <sz val="10"/>
        <rFont val="WenQuanYi Zen Hei"/>
        <family val="2"/>
      </rPr>
      <t xml:space="preserve">偏低</t>
    </r>
  </si>
  <si>
    <r>
      <rPr>
        <i val="true"/>
        <sz val="9"/>
        <color rgb="FF666666"/>
        <rFont val="WenQuanYi Zen Hei"/>
        <family val="2"/>
      </rPr>
      <t xml:space="preserve">广告</t>
    </r>
    <r>
      <rPr>
        <i val="true"/>
        <sz val="9"/>
        <color rgb="FF666666"/>
        <rFont val="Arial"/>
        <family val="0"/>
        <charset val="1"/>
      </rPr>
      <t xml:space="preserve">CVR &lt; </t>
    </r>
    <r>
      <rPr>
        <i val="true"/>
        <sz val="9"/>
        <color rgb="FF666666"/>
        <rFont val="WenQuanYi Zen Hei"/>
        <family val="2"/>
      </rPr>
      <t xml:space="preserve">此值标黄（点击 ≥ </t>
    </r>
    <r>
      <rPr>
        <i val="true"/>
        <sz val="9"/>
        <color rgb="FF666666"/>
        <rFont val="Arial"/>
        <family val="0"/>
        <charset val="1"/>
      </rPr>
      <t xml:space="preserve">100 </t>
    </r>
    <r>
      <rPr>
        <i val="true"/>
        <sz val="9"/>
        <color rgb="FF666666"/>
        <rFont val="WenQuanYi Zen Hei"/>
        <family val="2"/>
      </rPr>
      <t xml:space="preserve">时）</t>
    </r>
  </si>
  <si>
    <t xml:space="preserve">低</t>
  </si>
  <si>
    <t xml:space="preserve">日均花费环比 暴涨</t>
  </si>
  <si>
    <r>
      <rPr>
        <i val="true"/>
        <sz val="9"/>
        <color rgb="FF666666"/>
        <rFont val="Arial"/>
        <family val="0"/>
        <charset val="1"/>
      </rPr>
      <t xml:space="preserve">10</t>
    </r>
    <r>
      <rPr>
        <i val="true"/>
        <sz val="9"/>
        <color rgb="FF666666"/>
        <rFont val="WenQuanYi Zen Hei"/>
        <family val="2"/>
      </rPr>
      <t xml:space="preserve">月日均花费比</t>
    </r>
    <r>
      <rPr>
        <i val="true"/>
        <sz val="9"/>
        <color rgb="FF666666"/>
        <rFont val="Arial"/>
        <family val="0"/>
        <charset val="1"/>
      </rPr>
      <t xml:space="preserve">9</t>
    </r>
    <r>
      <rPr>
        <i val="true"/>
        <sz val="9"/>
        <color rgb="FF666666"/>
        <rFont val="WenQuanYi Zen Hei"/>
        <family val="2"/>
      </rPr>
      <t xml:space="preserve">月高出此比例标红</t>
    </r>
  </si>
  <si>
    <r>
      <rPr>
        <sz val="10"/>
        <rFont val="Arial"/>
        <family val="0"/>
        <charset val="1"/>
      </rPr>
      <t xml:space="preserve">ACOS </t>
    </r>
    <r>
      <rPr>
        <sz val="10"/>
        <rFont val="WenQuanYi Zen Hei"/>
        <family val="2"/>
      </rPr>
      <t xml:space="preserve">恶化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百分点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</si>
  <si>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666666"/>
        <rFont val="Arial"/>
        <family val="0"/>
        <charset val="1"/>
      </rPr>
      <t xml:space="preserve">10</t>
    </r>
    <r>
      <rPr>
        <i val="true"/>
        <sz val="9"/>
        <color rgb="FF666666"/>
        <rFont val="WenQuanYi Zen Hei"/>
        <family val="2"/>
      </rPr>
      <t xml:space="preserve">月 </t>
    </r>
    <r>
      <rPr>
        <i val="true"/>
        <sz val="9"/>
        <color rgb="FF666666"/>
        <rFont val="Arial"/>
        <family val="0"/>
        <charset val="1"/>
      </rPr>
      <t xml:space="preserve">ACOS − 9</t>
    </r>
    <r>
      <rPr>
        <i val="true"/>
        <sz val="9"/>
        <color rgb="FF666666"/>
        <rFont val="WenQuanYi Zen Hei"/>
        <family val="2"/>
      </rPr>
      <t xml:space="preserve">月 </t>
    </r>
    <r>
      <rPr>
        <i val="true"/>
        <sz val="9"/>
        <color rgb="FF666666"/>
        <rFont val="Arial"/>
        <family val="0"/>
        <charset val="1"/>
      </rPr>
      <t xml:space="preserve">ACOS ≥ </t>
    </r>
    <r>
      <rPr>
        <i val="true"/>
        <sz val="9"/>
        <color rgb="FF666666"/>
        <rFont val="WenQuanYi Zen Hei"/>
        <family val="2"/>
      </rPr>
      <t xml:space="preserve">此值标红</t>
    </r>
  </si>
  <si>
    <r>
      <rPr>
        <i val="true"/>
        <sz val="9"/>
        <color rgb="FF666666"/>
        <rFont val="WenQuanYi Zen Hei"/>
        <family val="2"/>
      </rPr>
      <t xml:space="preserve">详见「广告跑飞</t>
    </r>
    <r>
      <rPr>
        <i val="true"/>
        <sz val="9"/>
        <color rgb="FF666666"/>
        <rFont val="Arial"/>
        <family val="0"/>
        <charset val="1"/>
      </rPr>
      <t xml:space="preserve">ASIN</t>
    </r>
    <r>
      <rPr>
        <i val="true"/>
        <sz val="9"/>
        <color rgb="FF666666"/>
        <rFont val="WenQuanYi Zen Hei"/>
        <family val="2"/>
      </rPr>
      <t xml:space="preserve">」页；价格变化见「</t>
    </r>
    <r>
      <rPr>
        <i val="true"/>
        <sz val="9"/>
        <color rgb="FF666666"/>
        <rFont val="Arial"/>
        <family val="0"/>
        <charset val="1"/>
      </rPr>
      <t xml:space="preserve">SPU</t>
    </r>
    <r>
      <rPr>
        <i val="true"/>
        <sz val="9"/>
        <color rgb="FF666666"/>
        <rFont val="WenQuanYi Zen Hei"/>
        <family val="2"/>
      </rPr>
      <t xml:space="preserve">价格监控」「价格变动明细」。</t>
    </r>
  </si>
  <si>
    <t xml:space="preserve">价格变动阈值</t>
  </si>
  <si>
    <r>
      <rPr>
        <i val="true"/>
        <sz val="9"/>
        <color rgb="FF666666"/>
        <rFont val="Arial"/>
        <family val="0"/>
        <charset val="1"/>
      </rPr>
      <t xml:space="preserve">SPU </t>
    </r>
    <r>
      <rPr>
        <i val="true"/>
        <sz val="9"/>
        <color rgb="FF666666"/>
        <rFont val="WenQuanYi Zen Hei"/>
        <family val="2"/>
      </rPr>
      <t xml:space="preserve">周均价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挂牌价 变动 ≥ 此值标色</t>
    </r>
  </si>
  <si>
    <r>
      <rPr>
        <i val="true"/>
        <sz val="9"/>
        <color rgb="FF666666"/>
        <rFont val="WenQuanYi Zen Hei"/>
        <family val="2"/>
      </rPr>
      <t xml:space="preserve">说明：阈值为分析假设（非业务给定），可按目标利润率调整；“品类均值”行由各 </t>
    </r>
    <r>
      <rPr>
        <i val="true"/>
        <sz val="9"/>
        <color rgb="FF666666"/>
        <rFont val="Arial"/>
        <family val="0"/>
        <charset val="1"/>
      </rPr>
      <t xml:space="preserve">SPU </t>
    </r>
    <r>
      <rPr>
        <i val="true"/>
        <sz val="9"/>
        <color rgb="FF666666"/>
        <rFont val="WenQuanYi Zen Hei"/>
        <family val="2"/>
      </rPr>
      <t xml:space="preserve">汇总求和后计算。</t>
    </r>
  </si>
  <si>
    <t xml:space="preserve">品类核心指标</t>
  </si>
  <si>
    <t xml:space="preserve">指标</t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</si>
  <si>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</si>
  <si>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月</t>
    </r>
  </si>
  <si>
    <t xml:space="preserve">变化</t>
  </si>
  <si>
    <t xml:space="preserve">广告花费</t>
  </si>
  <si>
    <t xml:space="preserve">日均花费</t>
  </si>
  <si>
    <t xml:space="preserve">广告销售额</t>
  </si>
  <si>
    <t xml:space="preserve">销售额</t>
  </si>
  <si>
    <t xml:space="preserve">日均销量</t>
  </si>
  <si>
    <t xml:space="preserve">ACOS</t>
  </si>
  <si>
    <t xml:space="preserve">TACOS</t>
  </si>
  <si>
    <t xml:space="preserve">CPC</t>
  </si>
  <si>
    <t xml:space="preserve">CTR</t>
  </si>
  <si>
    <r>
      <rPr>
        <sz val="10"/>
        <rFont val="WenQuanYi Zen Hei"/>
        <family val="2"/>
      </rPr>
      <t xml:space="preserve">广告</t>
    </r>
    <r>
      <rPr>
        <sz val="10"/>
        <rFont val="Arial"/>
        <family val="0"/>
        <charset val="1"/>
      </rPr>
      <t xml:space="preserve">CVR</t>
    </r>
  </si>
  <si>
    <t xml:space="preserve">广告单占比</t>
  </si>
  <si>
    <t xml:space="preserve">成交均价</t>
  </si>
  <si>
    <t xml:space="preserve">结算毛利润</t>
  </si>
  <si>
    <r>
      <rPr>
        <i val="true"/>
        <sz val="9"/>
        <color rgb="FF666666"/>
        <rFont val="WenQuanYi Zen Hei"/>
        <family val="2"/>
      </rPr>
      <t xml:space="preserve">变化列：金额类为环比</t>
    </r>
    <r>
      <rPr>
        <i val="true"/>
        <sz val="9"/>
        <color rgb="FF666666"/>
        <rFont val="Arial"/>
        <family val="0"/>
        <charset val="1"/>
      </rPr>
      <t xml:space="preserve">%</t>
    </r>
    <r>
      <rPr>
        <i val="true"/>
        <sz val="9"/>
        <color rgb="FF666666"/>
        <rFont val="WenQuanYi Zen Hei"/>
        <family val="2"/>
      </rPr>
      <t xml:space="preserve">，比率类为百分点差；日均花费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销量为按天数折算。</t>
    </r>
  </si>
  <si>
    <r>
      <rPr>
        <b val="true"/>
        <sz val="14"/>
        <rFont val="WenQuanYi Zen Hei"/>
        <family val="2"/>
      </rPr>
      <t xml:space="preserve">广告跑飞 </t>
    </r>
    <r>
      <rPr>
        <b val="true"/>
        <sz val="14"/>
        <rFont val="Arial"/>
        <family val="0"/>
        <charset val="1"/>
      </rPr>
      <t xml:space="preserve">ASIN </t>
    </r>
    <r>
      <rPr>
        <b val="true"/>
        <sz val="14"/>
        <rFont val="WenQuanYi Zen Hei"/>
        <family val="2"/>
      </rPr>
      <t xml:space="preserve">重点清单</t>
    </r>
  </si>
  <si>
    <r>
      <rPr>
        <i val="true"/>
        <sz val="9"/>
        <color rgb="FF666666"/>
        <rFont val="WenQuanYi Zen Hei"/>
        <family val="2"/>
      </rPr>
      <t xml:space="preserve">判定规则（满足任一即入列）：①</t>
    </r>
    <r>
      <rPr>
        <i val="true"/>
        <sz val="9"/>
        <color rgb="FF666666"/>
        <rFont val="Arial"/>
        <family val="0"/>
        <charset val="1"/>
      </rPr>
      <t xml:space="preserve">10</t>
    </r>
    <r>
      <rPr>
        <i val="true"/>
        <sz val="9"/>
        <color rgb="FF666666"/>
        <rFont val="WenQuanYi Zen Hei"/>
        <family val="2"/>
      </rPr>
      <t xml:space="preserve">月花费≥</t>
    </r>
    <r>
      <rPr>
        <i val="true"/>
        <sz val="9"/>
        <color rgb="FF666666"/>
        <rFont val="Arial"/>
        <family val="0"/>
        <charset val="1"/>
      </rPr>
      <t xml:space="preserve">$100 </t>
    </r>
    <r>
      <rPr>
        <i val="true"/>
        <sz val="9"/>
        <color rgb="FF666666"/>
        <rFont val="WenQuanYi Zen Hei"/>
        <family val="2"/>
      </rPr>
      <t xml:space="preserve">且 </t>
    </r>
    <r>
      <rPr>
        <i val="true"/>
        <sz val="9"/>
        <color rgb="FF666666"/>
        <rFont val="Arial"/>
        <family val="0"/>
        <charset val="1"/>
      </rPr>
      <t xml:space="preserve">ACOS≥60% </t>
    </r>
    <r>
      <rPr>
        <i val="true"/>
        <sz val="9"/>
        <color rgb="FF666666"/>
        <rFont val="WenQuanYi Zen Hei"/>
        <family val="2"/>
      </rPr>
      <t xml:space="preserve">或无广告出单；②</t>
    </r>
    <r>
      <rPr>
        <i val="true"/>
        <sz val="9"/>
        <color rgb="FF666666"/>
        <rFont val="Arial"/>
        <family val="0"/>
        <charset val="1"/>
      </rPr>
      <t xml:space="preserve">ACOS </t>
    </r>
    <r>
      <rPr>
        <i val="true"/>
        <sz val="9"/>
        <color rgb="FF666666"/>
        <rFont val="WenQuanYi Zen Hei"/>
        <family val="2"/>
      </rPr>
      <t xml:space="preserve">环比恶化≥</t>
    </r>
    <r>
      <rPr>
        <i val="true"/>
        <sz val="9"/>
        <color rgb="FF666666"/>
        <rFont val="Arial"/>
        <family val="0"/>
        <charset val="1"/>
      </rPr>
      <t xml:space="preserve">15pp</t>
    </r>
    <r>
      <rPr>
        <i val="true"/>
        <sz val="9"/>
        <color rgb="FF666666"/>
        <rFont val="WenQuanYi Zen Hei"/>
        <family val="2"/>
      </rPr>
      <t xml:space="preserve">；③日均花费环比≥</t>
    </r>
    <r>
      <rPr>
        <i val="true"/>
        <sz val="9"/>
        <color rgb="FF666666"/>
        <rFont val="Arial"/>
        <family val="0"/>
        <charset val="1"/>
      </rPr>
      <t xml:space="preserve">+50% </t>
    </r>
    <r>
      <rPr>
        <i val="true"/>
        <sz val="9"/>
        <color rgb="FF666666"/>
        <rFont val="WenQuanYi Zen Hei"/>
        <family val="2"/>
      </rPr>
      <t xml:space="preserve">且 </t>
    </r>
    <r>
      <rPr>
        <i val="true"/>
        <sz val="9"/>
        <color rgb="FF666666"/>
        <rFont val="Arial"/>
        <family val="0"/>
        <charset val="1"/>
      </rPr>
      <t xml:space="preserve">ACOS </t>
    </r>
    <r>
      <rPr>
        <i val="true"/>
        <sz val="9"/>
        <color rgb="FF666666"/>
        <rFont val="WenQuanYi Zen Hei"/>
        <family val="2"/>
      </rPr>
      <t xml:space="preserve">未改善且高于品类均值；④</t>
    </r>
    <r>
      <rPr>
        <i val="true"/>
        <sz val="9"/>
        <color rgb="FF666666"/>
        <rFont val="Arial"/>
        <family val="0"/>
        <charset val="1"/>
      </rPr>
      <t xml:space="preserve">TACOS≥30%</t>
    </r>
    <r>
      <rPr>
        <i val="true"/>
        <sz val="9"/>
        <color rgb="FF666666"/>
        <rFont val="WenQuanYi Zen Hei"/>
        <family val="2"/>
      </rPr>
      <t xml:space="preserve">；⑤近</t>
    </r>
    <r>
      <rPr>
        <i val="true"/>
        <sz val="9"/>
        <color rgb="FF666666"/>
        <rFont val="Arial"/>
        <family val="0"/>
        <charset val="1"/>
      </rPr>
      <t xml:space="preserve">7</t>
    </r>
    <r>
      <rPr>
        <i val="true"/>
        <sz val="9"/>
        <color rgb="FF666666"/>
        <rFont val="WenQuanYi Zen Hei"/>
        <family val="2"/>
      </rPr>
      <t xml:space="preserve">天</t>
    </r>
    <r>
      <rPr>
        <i val="true"/>
        <sz val="9"/>
        <color rgb="FF666666"/>
        <rFont val="Arial"/>
        <family val="0"/>
        <charset val="1"/>
      </rPr>
      <t xml:space="preserve">(10/20–10/26)</t>
    </r>
    <r>
      <rPr>
        <i val="true"/>
        <sz val="9"/>
        <color rgb="FF666666"/>
        <rFont val="WenQuanYi Zen Hei"/>
        <family val="2"/>
      </rPr>
      <t xml:space="preserve">花费≥</t>
    </r>
    <r>
      <rPr>
        <i val="true"/>
        <sz val="9"/>
        <color rgb="FF666666"/>
        <rFont val="Arial"/>
        <family val="0"/>
        <charset val="1"/>
      </rPr>
      <t xml:space="preserve">$50 </t>
    </r>
    <r>
      <rPr>
        <i val="true"/>
        <sz val="9"/>
        <color rgb="FF666666"/>
        <rFont val="WenQuanYi Zen Hei"/>
        <family val="2"/>
      </rPr>
      <t xml:space="preserve">且 </t>
    </r>
    <r>
      <rPr>
        <i val="true"/>
        <sz val="9"/>
        <color rgb="FF666666"/>
        <rFont val="Arial"/>
        <family val="0"/>
        <charset val="1"/>
      </rPr>
      <t xml:space="preserve">ACOS≥80% </t>
    </r>
    <r>
      <rPr>
        <i val="true"/>
        <sz val="9"/>
        <color rgb="FF666666"/>
        <rFont val="WenQuanYi Zen Hei"/>
        <family val="2"/>
      </rPr>
      <t xml:space="preserve">或零出单；⑥点击≥</t>
    </r>
    <r>
      <rPr>
        <i val="true"/>
        <sz val="9"/>
        <color rgb="FF666666"/>
        <rFont val="Arial"/>
        <family val="0"/>
        <charset val="1"/>
      </rPr>
      <t xml:space="preserve">200 </t>
    </r>
    <r>
      <rPr>
        <i val="true"/>
        <sz val="9"/>
        <color rgb="FF666666"/>
        <rFont val="WenQuanYi Zen Hei"/>
        <family val="2"/>
      </rPr>
      <t xml:space="preserve">且广告</t>
    </r>
    <r>
      <rPr>
        <i val="true"/>
        <sz val="9"/>
        <color rgb="FF666666"/>
        <rFont val="Arial"/>
        <family val="0"/>
        <charset val="1"/>
      </rPr>
      <t xml:space="preserve">CVR&lt;2%</t>
    </r>
    <r>
      <rPr>
        <i val="true"/>
        <sz val="9"/>
        <color rgb="FF666666"/>
        <rFont val="WenQuanYi Zen Hei"/>
        <family val="2"/>
      </rPr>
      <t xml:space="preserve">；⑦高</t>
    </r>
    <r>
      <rPr>
        <i val="true"/>
        <sz val="9"/>
        <color rgb="FF666666"/>
        <rFont val="Arial"/>
        <family val="0"/>
        <charset val="1"/>
      </rPr>
      <t xml:space="preserve">ACOS</t>
    </r>
    <r>
      <rPr>
        <i val="true"/>
        <sz val="9"/>
        <color rgb="FF666666"/>
        <rFont val="WenQuanYi Zen Hei"/>
        <family val="2"/>
      </rPr>
      <t xml:space="preserve">且当月结算亏损。等级：≥</t>
    </r>
    <r>
      <rPr>
        <i val="true"/>
        <sz val="9"/>
        <color rgb="FF666666"/>
        <rFont val="Arial"/>
        <family val="0"/>
        <charset val="1"/>
      </rPr>
      <t xml:space="preserve">3</t>
    </r>
    <r>
      <rPr>
        <i val="true"/>
        <sz val="9"/>
        <color rgb="FF666666"/>
        <rFont val="WenQuanYi Zen Hei"/>
        <family val="2"/>
      </rPr>
      <t xml:space="preserve">条规则 </t>
    </r>
    <r>
      <rPr>
        <i val="true"/>
        <sz val="9"/>
        <color rgb="FF666666"/>
        <rFont val="Arial"/>
        <family val="0"/>
        <charset val="1"/>
      </rPr>
      <t xml:space="preserve">/ ACOS≥100% / </t>
    </r>
    <r>
      <rPr>
        <i val="true"/>
        <sz val="9"/>
        <color rgb="FF666666"/>
        <rFont val="WenQuanYi Zen Hei"/>
        <family val="2"/>
      </rPr>
      <t xml:space="preserve">超额花费≥</t>
    </r>
    <r>
      <rPr>
        <i val="true"/>
        <sz val="9"/>
        <color rgb="FF666666"/>
        <rFont val="Arial"/>
        <family val="0"/>
        <charset val="1"/>
      </rPr>
      <t xml:space="preserve">$500 </t>
    </r>
    <r>
      <rPr>
        <i val="true"/>
        <sz val="9"/>
        <color rgb="FF666666"/>
        <rFont val="WenQuanYi Zen Hei"/>
        <family val="2"/>
      </rPr>
      <t xml:space="preserve">为「高」。超额花费 </t>
    </r>
    <r>
      <rPr>
        <i val="true"/>
        <sz val="9"/>
        <color rgb="FF666666"/>
        <rFont val="Arial"/>
        <family val="0"/>
        <charset val="1"/>
      </rPr>
      <t xml:space="preserve">= 10</t>
    </r>
    <r>
      <rPr>
        <i val="true"/>
        <sz val="9"/>
        <color rgb="FF666666"/>
        <rFont val="WenQuanYi Zen Hei"/>
        <family val="2"/>
      </rPr>
      <t xml:space="preserve">月花费 − </t>
    </r>
    <r>
      <rPr>
        <i val="true"/>
        <sz val="9"/>
        <color rgb="FF666666"/>
        <rFont val="Arial"/>
        <family val="0"/>
        <charset val="1"/>
      </rPr>
      <t xml:space="preserve">10</t>
    </r>
    <r>
      <rPr>
        <i val="true"/>
        <sz val="9"/>
        <color rgb="FF666666"/>
        <rFont val="WenQuanYi Zen Hei"/>
        <family val="2"/>
      </rPr>
      <t xml:space="preserve">月广告销售额 </t>
    </r>
    <r>
      <rPr>
        <i val="true"/>
        <sz val="9"/>
        <color rgb="FF666666"/>
        <rFont val="Arial"/>
        <family val="0"/>
        <charset val="1"/>
      </rPr>
      <t xml:space="preserve">× </t>
    </r>
    <r>
      <rPr>
        <i val="true"/>
        <sz val="9"/>
        <color rgb="FF666666"/>
        <rFont val="WenQuanYi Zen Hei"/>
        <family val="2"/>
      </rPr>
      <t xml:space="preserve">品类</t>
    </r>
    <r>
      <rPr>
        <i val="true"/>
        <sz val="9"/>
        <color rgb="FF666666"/>
        <rFont val="Arial"/>
        <family val="0"/>
        <charset val="1"/>
      </rPr>
      <t xml:space="preserve">10</t>
    </r>
    <r>
      <rPr>
        <i val="true"/>
        <sz val="9"/>
        <color rgb="FF666666"/>
        <rFont val="WenQuanYi Zen Hei"/>
        <family val="2"/>
      </rPr>
      <t xml:space="preserve">月平均</t>
    </r>
    <r>
      <rPr>
        <i val="true"/>
        <sz val="9"/>
        <color rgb="FF666666"/>
        <rFont val="Arial"/>
        <family val="0"/>
        <charset val="1"/>
      </rPr>
      <t xml:space="preserve">ACOS</t>
    </r>
    <r>
      <rPr>
        <i val="true"/>
        <sz val="9"/>
        <color rgb="FF666666"/>
        <rFont val="WenQuanYi Zen Hei"/>
        <family val="2"/>
      </rPr>
      <t xml:space="preserve">（</t>
    </r>
    <r>
      <rPr>
        <i val="true"/>
        <sz val="9"/>
        <color rgb="FF666666"/>
        <rFont val="Arial"/>
        <family val="0"/>
        <charset val="1"/>
      </rPr>
      <t xml:space="preserve">38.5%</t>
    </r>
    <r>
      <rPr>
        <i val="true"/>
        <sz val="9"/>
        <color rgb="FF666666"/>
        <rFont val="WenQuanYi Zen Hei"/>
        <family val="2"/>
      </rPr>
      <t xml:space="preserve">）。</t>
    </r>
  </si>
  <si>
    <t xml:space="preserve">ASIN</t>
  </si>
  <si>
    <t xml:space="preserve">SPU</t>
  </si>
  <si>
    <t xml:space="preserve">型号</t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</si>
  <si>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月花费</t>
    </r>
  </si>
  <si>
    <t xml:space="preserve">日均花费环比</t>
  </si>
  <si>
    <r>
      <rPr>
        <b val="true"/>
        <sz val="10"/>
        <color rgb="FFFFFFFF"/>
        <rFont val="WenQuanYi Zen Hei"/>
        <family val="2"/>
      </rPr>
      <t xml:space="preserve">近</t>
    </r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天日均花费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</si>
  <si>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ACOS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</si>
  <si>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ACOS</t>
    </r>
  </si>
  <si>
    <r>
      <rPr>
        <b val="true"/>
        <sz val="10"/>
        <color rgb="FFFFFFFF"/>
        <rFont val="WenQuanYi Zen Hei"/>
        <family val="2"/>
      </rPr>
      <t xml:space="preserve">近</t>
    </r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天</t>
    </r>
    <r>
      <rPr>
        <b val="true"/>
        <sz val="10"/>
        <color rgb="FFFFFFFF"/>
        <rFont val="Arial"/>
        <family val="0"/>
        <charset val="1"/>
      </rPr>
      <t xml:space="preserve">ACOS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</si>
  <si>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TACOS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</si>
  <si>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CPC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</si>
  <si>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CPC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</si>
  <si>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月广告</t>
    </r>
    <r>
      <rPr>
        <b val="true"/>
        <sz val="10"/>
        <color rgb="FFFFFFFF"/>
        <rFont val="Arial"/>
        <family val="0"/>
        <charset val="1"/>
      </rPr>
      <t xml:space="preserve">CVR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</si>
  <si>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月广告订单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</si>
  <si>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月结算毛利润</t>
    </r>
  </si>
  <si>
    <t xml:space="preserve">触发规则</t>
  </si>
  <si>
    <r>
      <rPr>
        <b val="true"/>
        <sz val="10"/>
        <color rgb="FFFFFFFF"/>
        <rFont val="WenQuanYi Zen Hei"/>
        <family val="2"/>
      </rPr>
      <t xml:space="preserve">花费店铺</t>
    </r>
    <r>
      <rPr>
        <b val="true"/>
        <sz val="10"/>
        <color rgb="FFFFFFFF"/>
        <rFont val="Arial"/>
        <family val="0"/>
        <charset val="1"/>
      </rPr>
      <t xml:space="preserve">(10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</si>
  <si>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建议动作</t>
  </si>
  <si>
    <t xml:space="preserve">B0CQ2JJ51T</t>
  </si>
  <si>
    <t xml:space="preserve">SPU07022</t>
  </si>
  <si>
    <r>
      <rPr>
        <sz val="10"/>
        <rFont val="WenQuanYi Zen Hei"/>
        <family val="2"/>
      </rPr>
      <t xml:space="preserve">米沃奇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电源逆变器</t>
    </r>
    <r>
      <rPr>
        <sz val="10"/>
        <rFont val="Arial"/>
        <family val="0"/>
        <charset val="1"/>
      </rPr>
      <t xml:space="preserve">-200W</t>
    </r>
  </si>
  <si>
    <r>
      <rPr>
        <sz val="10"/>
        <rFont val="WenQuanYi Zen Hei"/>
        <family val="2"/>
      </rPr>
      <t xml:space="preserve">日均花费 </t>
    </r>
    <r>
      <rPr>
        <sz val="10"/>
        <rFont val="Arial"/>
        <family val="0"/>
        <charset val="1"/>
      </rPr>
      <t xml:space="preserve">+68% </t>
    </r>
    <r>
      <rPr>
        <sz val="10"/>
        <rFont val="WenQuanYi Zen Hei"/>
        <family val="2"/>
      </rPr>
      <t xml:space="preserve">且</t>
    </r>
    <r>
      <rPr>
        <sz val="10"/>
        <rFont val="Arial"/>
        <family val="0"/>
        <charset val="1"/>
      </rPr>
      <t xml:space="preserve">ACOS</t>
    </r>
    <r>
      <rPr>
        <sz val="10"/>
        <rFont val="WenQuanYi Zen Hei"/>
        <family val="2"/>
      </rPr>
      <t xml:space="preserve">未改善；广告高花费且结算亏损</t>
    </r>
  </si>
  <si>
    <r>
      <rPr>
        <sz val="10"/>
        <rFont val="Arial"/>
        <family val="0"/>
        <charset val="1"/>
      </rPr>
      <t xml:space="preserve">HK8-US $3057/ACOS 54%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AMZ8-CA $796/ACOS 56%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AMZ8-US $0/</t>
    </r>
    <r>
      <rPr>
        <sz val="10"/>
        <rFont val="WenQuanYi Zen Hei"/>
        <family val="2"/>
      </rPr>
      <t xml:space="preserve">无出单</t>
    </r>
  </si>
  <si>
    <r>
      <rPr>
        <sz val="10"/>
        <rFont val="WenQuanYi Zen Hei"/>
        <family val="2"/>
      </rPr>
      <t xml:space="preserve">花费放量但产出未跟上：回收新增预算，按 </t>
    </r>
    <r>
      <rPr>
        <sz val="10"/>
        <rFont val="Arial"/>
        <family val="0"/>
        <charset val="1"/>
      </rPr>
      <t xml:space="preserve">ACOS </t>
    </r>
    <r>
      <rPr>
        <sz val="10"/>
        <rFont val="WenQuanYi Zen Hei"/>
        <family val="2"/>
      </rPr>
      <t xml:space="preserve">分层调价</t>
    </r>
  </si>
  <si>
    <t xml:space="preserve">B0GXHN35JL</t>
  </si>
  <si>
    <t xml:space="preserve">SPU50039</t>
  </si>
  <si>
    <r>
      <rPr>
        <sz val="10"/>
        <rFont val="WenQuanYi Zen Hei"/>
        <family val="2"/>
      </rPr>
      <t xml:space="preserve">米沃奇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单包逆变器</t>
    </r>
    <r>
      <rPr>
        <sz val="10"/>
        <rFont val="Arial"/>
        <family val="0"/>
        <charset val="1"/>
      </rPr>
      <t xml:space="preserve">350W-</t>
    </r>
    <r>
      <rPr>
        <sz val="10"/>
        <rFont val="WenQuanYi Zen Hei"/>
        <family val="2"/>
      </rPr>
      <t xml:space="preserve">修正波版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美规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红色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</si>
  <si>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ACOS 82%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TACOS 41%</t>
    </r>
    <r>
      <rPr>
        <sz val="10"/>
        <rFont val="WenQuanYi Zen Hei"/>
        <family val="2"/>
      </rPr>
      <t xml:space="preserve">；近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天</t>
    </r>
    <r>
      <rPr>
        <sz val="10"/>
        <rFont val="Arial"/>
        <family val="0"/>
        <charset val="1"/>
      </rPr>
      <t xml:space="preserve">ACOS 173%</t>
    </r>
    <r>
      <rPr>
        <sz val="10"/>
        <rFont val="WenQuanYi Zen Hei"/>
        <family val="2"/>
      </rPr>
      <t xml:space="preserve">；广告高花费且结算亏损</t>
    </r>
  </si>
  <si>
    <t xml:space="preserve">AMZ5-US $2072/ACOS 82%</t>
  </si>
  <si>
    <r>
      <rPr>
        <sz val="10"/>
        <rFont val="WenQuanYi Zen Hei"/>
        <family val="2"/>
      </rPr>
      <t xml:space="preserve">收紧预算，降低宽泛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自动广告竞价，否定无效词</t>
    </r>
  </si>
  <si>
    <t xml:space="preserve">B0GXJ1P8X2</t>
  </si>
  <si>
    <r>
      <rPr>
        <sz val="10"/>
        <rFont val="WenQuanYi Zen Hei"/>
        <family val="2"/>
      </rPr>
      <t xml:space="preserve">牧田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单包逆变器</t>
    </r>
    <r>
      <rPr>
        <sz val="10"/>
        <rFont val="Arial"/>
        <family val="0"/>
        <charset val="1"/>
      </rPr>
      <t xml:space="preserve">350W-</t>
    </r>
    <r>
      <rPr>
        <sz val="10"/>
        <rFont val="WenQuanYi Zen Hei"/>
        <family val="2"/>
      </rPr>
      <t xml:space="preserve">修正波版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美规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蓝色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</si>
  <si>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ACOS 81%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ACOS</t>
    </r>
    <r>
      <rPr>
        <sz val="10"/>
        <rFont val="WenQuanYi Zen Hei"/>
        <family val="2"/>
      </rPr>
      <t xml:space="preserve">恶化 </t>
    </r>
    <r>
      <rPr>
        <sz val="10"/>
        <rFont val="Arial"/>
        <family val="0"/>
        <charset val="1"/>
      </rPr>
      <t xml:space="preserve">62%→81%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TACOS 44%</t>
    </r>
    <r>
      <rPr>
        <sz val="10"/>
        <rFont val="WenQuanYi Zen Hei"/>
        <family val="2"/>
      </rPr>
      <t xml:space="preserve">；近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天</t>
    </r>
    <r>
      <rPr>
        <sz val="10"/>
        <rFont val="Arial"/>
        <family val="0"/>
        <charset val="1"/>
      </rPr>
      <t xml:space="preserve">ACOS 140%</t>
    </r>
    <r>
      <rPr>
        <sz val="10"/>
        <rFont val="WenQuanYi Zen Hei"/>
        <family val="2"/>
      </rPr>
      <t xml:space="preserve">；广告高花费且结算亏损</t>
    </r>
  </si>
  <si>
    <t xml:space="preserve">AMZ5-US $861/ACOS 81%</t>
  </si>
  <si>
    <r>
      <rPr>
        <sz val="10"/>
        <rFont val="WenQuanYi Zen Hei"/>
        <family val="2"/>
      </rPr>
      <t xml:space="preserve">点击转化差：检查价格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评分</t>
    </r>
    <r>
      <rPr>
        <sz val="10"/>
        <rFont val="Arial"/>
        <family val="0"/>
        <charset val="1"/>
      </rPr>
      <t xml:space="preserve">/Listing </t>
    </r>
    <r>
      <rPr>
        <sz val="10"/>
        <rFont val="WenQuanYi Zen Hei"/>
        <family val="2"/>
      </rPr>
      <t xml:space="preserve">与竞品差距，先降竞价再优化转化</t>
    </r>
  </si>
  <si>
    <t xml:space="preserve">B0FHPXK8SM</t>
  </si>
  <si>
    <t xml:space="preserve">SPU07116</t>
  </si>
  <si>
    <r>
      <rPr>
        <sz val="10"/>
        <rFont val="WenQuanYi Zen Hei"/>
        <family val="2"/>
      </rPr>
      <t xml:space="preserve">米沃奇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电源逆变器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双插脚</t>
    </r>
    <r>
      <rPr>
        <sz val="10"/>
        <rFont val="Arial"/>
        <family val="0"/>
        <charset val="1"/>
      </rPr>
      <t xml:space="preserve">-350W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</si>
  <si>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ACOS 135%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ACOS</t>
    </r>
    <r>
      <rPr>
        <sz val="10"/>
        <rFont val="WenQuanYi Zen Hei"/>
        <family val="2"/>
      </rPr>
      <t xml:space="preserve">恶化 </t>
    </r>
    <r>
      <rPr>
        <sz val="10"/>
        <rFont val="Arial"/>
        <family val="0"/>
        <charset val="1"/>
      </rPr>
      <t xml:space="preserve">56%→135%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TACOS 135%</t>
    </r>
    <r>
      <rPr>
        <sz val="10"/>
        <rFont val="WenQuanYi Zen Hei"/>
        <family val="2"/>
      </rPr>
      <t xml:space="preserve">；广告</t>
    </r>
    <r>
      <rPr>
        <sz val="10"/>
        <rFont val="Arial"/>
        <family val="0"/>
        <charset val="1"/>
      </rPr>
      <t xml:space="preserve">CVR 1.8%</t>
    </r>
  </si>
  <si>
    <t xml:space="preserve">AMZ5-US $594/ACOS 135%</t>
  </si>
  <si>
    <r>
      <rPr>
        <sz val="10"/>
        <rFont val="WenQuanYi Zen Hei"/>
        <family val="2"/>
      </rPr>
      <t xml:space="preserve">立即暂停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大幅降预算，排查广告组与投放词；仅保留品牌词与核心精准词</t>
    </r>
  </si>
  <si>
    <t xml:space="preserve">B0G2B7W1WS</t>
  </si>
  <si>
    <t xml:space="preserve">SPU07130</t>
  </si>
  <si>
    <r>
      <rPr>
        <sz val="10"/>
        <rFont val="WenQuanYi Zen Hei"/>
        <family val="2"/>
      </rPr>
      <t xml:space="preserve">牧田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电源逆变器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双插脚</t>
    </r>
    <r>
      <rPr>
        <sz val="10"/>
        <rFont val="Arial"/>
        <family val="0"/>
        <charset val="1"/>
      </rPr>
      <t xml:space="preserve">-550W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</si>
  <si>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ACOS 148%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ACOS</t>
    </r>
    <r>
      <rPr>
        <sz val="10"/>
        <rFont val="WenQuanYi Zen Hei"/>
        <family val="2"/>
      </rPr>
      <t xml:space="preserve">恶化 </t>
    </r>
    <r>
      <rPr>
        <sz val="10"/>
        <rFont val="Arial"/>
        <family val="0"/>
        <charset val="1"/>
      </rPr>
      <t xml:space="preserve">55%→148%</t>
    </r>
    <r>
      <rPr>
        <sz val="10"/>
        <rFont val="WenQuanYi Zen Hei"/>
        <family val="2"/>
      </rPr>
      <t xml:space="preserve">；近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天花</t>
    </r>
    <r>
      <rPr>
        <sz val="10"/>
        <rFont val="Arial"/>
        <family val="0"/>
        <charset val="1"/>
      </rPr>
      <t xml:space="preserve">$124</t>
    </r>
    <r>
      <rPr>
        <sz val="10"/>
        <rFont val="WenQuanYi Zen Hei"/>
        <family val="2"/>
      </rPr>
      <t xml:space="preserve">零广告出单；广告</t>
    </r>
    <r>
      <rPr>
        <sz val="10"/>
        <rFont val="Arial"/>
        <family val="0"/>
        <charset val="1"/>
      </rPr>
      <t xml:space="preserve">CVR 0.6%</t>
    </r>
    <r>
      <rPr>
        <sz val="10"/>
        <rFont val="WenQuanYi Zen Hei"/>
        <family val="2"/>
      </rPr>
      <t xml:space="preserve">；广告高花费且结算亏损</t>
    </r>
  </si>
  <si>
    <t xml:space="preserve">AMZ8-US $505/ACOS 148%</t>
  </si>
  <si>
    <t xml:space="preserve">B0D4DW8QV2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</si>
  <si>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ACOS 62%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TACOS 31%</t>
    </r>
    <r>
      <rPr>
        <sz val="10"/>
        <rFont val="WenQuanYi Zen Hei"/>
        <family val="2"/>
      </rPr>
      <t xml:space="preserve">；广告高花费且结算亏损</t>
    </r>
  </si>
  <si>
    <r>
      <rPr>
        <sz val="10"/>
        <rFont val="Arial"/>
        <family val="0"/>
        <charset val="1"/>
      </rPr>
      <t xml:space="preserve">AMZ15-US $342/ACOS 55%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AMZ15-CA $194/ACOS 78%</t>
    </r>
  </si>
  <si>
    <t xml:space="preserve">B0FLQ5Y1XM</t>
  </si>
  <si>
    <t xml:space="preserve">SPU07120</t>
  </si>
  <si>
    <r>
      <rPr>
        <sz val="10"/>
        <rFont val="WenQuanYi Zen Hei"/>
        <family val="2"/>
      </rPr>
      <t xml:space="preserve">得伟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电源逆变器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双插脚</t>
    </r>
    <r>
      <rPr>
        <sz val="10"/>
        <rFont val="Arial"/>
        <family val="0"/>
        <charset val="1"/>
      </rPr>
      <t xml:space="preserve">-550W</t>
    </r>
  </si>
  <si>
    <r>
      <rPr>
        <sz val="10"/>
        <rFont val="Arial"/>
        <family val="0"/>
        <charset val="1"/>
      </rPr>
      <t xml:space="preserve">ACOS</t>
    </r>
    <r>
      <rPr>
        <sz val="10"/>
        <rFont val="WenQuanYi Zen Hei"/>
        <family val="2"/>
      </rPr>
      <t xml:space="preserve">恶化 </t>
    </r>
    <r>
      <rPr>
        <sz val="10"/>
        <rFont val="Arial"/>
        <family val="0"/>
        <charset val="1"/>
      </rPr>
      <t xml:space="preserve">20%→52%</t>
    </r>
    <r>
      <rPr>
        <sz val="10"/>
        <rFont val="WenQuanYi Zen Hei"/>
        <family val="2"/>
      </rPr>
      <t xml:space="preserve">；日均花费 </t>
    </r>
    <r>
      <rPr>
        <sz val="10"/>
        <rFont val="Arial"/>
        <family val="0"/>
        <charset val="1"/>
      </rPr>
      <t xml:space="preserve">+69% </t>
    </r>
    <r>
      <rPr>
        <sz val="10"/>
        <rFont val="WenQuanYi Zen Hei"/>
        <family val="2"/>
      </rPr>
      <t xml:space="preserve">且</t>
    </r>
    <r>
      <rPr>
        <sz val="10"/>
        <rFont val="Arial"/>
        <family val="0"/>
        <charset val="1"/>
      </rPr>
      <t xml:space="preserve">ACOS</t>
    </r>
    <r>
      <rPr>
        <sz val="10"/>
        <rFont val="WenQuanYi Zen Hei"/>
        <family val="2"/>
      </rPr>
      <t xml:space="preserve">未改善；广告</t>
    </r>
    <r>
      <rPr>
        <sz val="10"/>
        <rFont val="Arial"/>
        <family val="0"/>
        <charset val="1"/>
      </rPr>
      <t xml:space="preserve">CVR 1.4%</t>
    </r>
  </si>
  <si>
    <r>
      <rPr>
        <sz val="10"/>
        <rFont val="Arial"/>
        <family val="0"/>
        <charset val="1"/>
      </rPr>
      <t xml:space="preserve">AMZ8-US $494/ACOS 57%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AMZ8-CA $124/ACOS 37%</t>
    </r>
  </si>
  <si>
    <r>
      <rPr>
        <sz val="10"/>
        <rFont val="Arial"/>
        <family val="0"/>
        <charset val="1"/>
      </rPr>
      <t xml:space="preserve">CPC </t>
    </r>
    <r>
      <rPr>
        <sz val="10"/>
        <rFont val="WenQuanYi Zen Hei"/>
        <family val="2"/>
      </rPr>
      <t xml:space="preserve">上涨推高 </t>
    </r>
    <r>
      <rPr>
        <sz val="10"/>
        <rFont val="Arial"/>
        <family val="0"/>
        <charset val="1"/>
      </rPr>
      <t xml:space="preserve">ACOS</t>
    </r>
    <r>
      <rPr>
        <sz val="10"/>
        <rFont val="WenQuanYi Zen Hei"/>
        <family val="2"/>
      </rPr>
      <t xml:space="preserve">：下调竞价 </t>
    </r>
    <r>
      <rPr>
        <sz val="10"/>
        <rFont val="Arial"/>
        <family val="0"/>
        <charset val="1"/>
      </rPr>
      <t xml:space="preserve">15–25%</t>
    </r>
    <r>
      <rPr>
        <sz val="10"/>
        <rFont val="WenQuanYi Zen Hei"/>
        <family val="2"/>
      </rPr>
      <t xml:space="preserve">，否定高花费零单搜索词</t>
    </r>
  </si>
  <si>
    <t xml:space="preserve">B0FM2KM4CR</t>
  </si>
  <si>
    <t xml:space="preserve">SPU07051</t>
  </si>
  <si>
    <r>
      <rPr>
        <sz val="10"/>
        <rFont val="WenQuanYi Zen Hei"/>
        <family val="2"/>
      </rPr>
      <t xml:space="preserve">牧田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电源逆变器</t>
    </r>
    <r>
      <rPr>
        <sz val="10"/>
        <rFont val="Arial"/>
        <family val="0"/>
        <charset val="1"/>
      </rPr>
      <t xml:space="preserve">200W</t>
    </r>
  </si>
  <si>
    <r>
      <rPr>
        <sz val="10"/>
        <rFont val="WenQuanYi Zen Hei"/>
        <family val="2"/>
      </rPr>
      <t xml:space="preserve">日均花费 </t>
    </r>
    <r>
      <rPr>
        <sz val="10"/>
        <rFont val="Arial"/>
        <family val="0"/>
        <charset val="1"/>
      </rPr>
      <t xml:space="preserve">+150% </t>
    </r>
    <r>
      <rPr>
        <sz val="10"/>
        <rFont val="WenQuanYi Zen Hei"/>
        <family val="2"/>
      </rPr>
      <t xml:space="preserve">且</t>
    </r>
    <r>
      <rPr>
        <sz val="10"/>
        <rFont val="Arial"/>
        <family val="0"/>
        <charset val="1"/>
      </rPr>
      <t xml:space="preserve">ACOS</t>
    </r>
    <r>
      <rPr>
        <sz val="10"/>
        <rFont val="WenQuanYi Zen Hei"/>
        <family val="2"/>
      </rPr>
      <t xml:space="preserve">未改善；</t>
    </r>
    <r>
      <rPr>
        <sz val="10"/>
        <rFont val="Arial"/>
        <family val="0"/>
        <charset val="1"/>
      </rPr>
      <t xml:space="preserve">TACOS 73%</t>
    </r>
    <r>
      <rPr>
        <sz val="10"/>
        <rFont val="WenQuanYi Zen Hei"/>
        <family val="2"/>
      </rPr>
      <t xml:space="preserve">；近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天</t>
    </r>
    <r>
      <rPr>
        <sz val="10"/>
        <rFont val="Arial"/>
        <family val="0"/>
        <charset val="1"/>
      </rPr>
      <t xml:space="preserve">ACOS 133%</t>
    </r>
    <r>
      <rPr>
        <sz val="10"/>
        <rFont val="WenQuanYi Zen Hei"/>
        <family val="2"/>
      </rPr>
      <t xml:space="preserve">；广告高花费且结算亏损</t>
    </r>
  </si>
  <si>
    <t xml:space="preserve">AMZ8-US $425/ACOS 56%</t>
  </si>
  <si>
    <t xml:space="preserve">B0F2MN7KK8</t>
  </si>
  <si>
    <t xml:space="preserve">SPU07055</t>
  </si>
  <si>
    <r>
      <rPr>
        <sz val="10"/>
        <rFont val="WenQuanYi Zen Hei"/>
        <family val="2"/>
      </rPr>
      <t xml:space="preserve">得伟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双向逆变器</t>
    </r>
    <r>
      <rPr>
        <sz val="10"/>
        <rFont val="Arial"/>
        <family val="0"/>
        <charset val="1"/>
      </rPr>
      <t xml:space="preserve">-65W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</si>
  <si>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ACOS 69%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TACOS 51%</t>
    </r>
    <r>
      <rPr>
        <sz val="10"/>
        <rFont val="WenQuanYi Zen Hei"/>
        <family val="2"/>
      </rPr>
      <t xml:space="preserve">；近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天</t>
    </r>
    <r>
      <rPr>
        <sz val="10"/>
        <rFont val="Arial"/>
        <family val="0"/>
        <charset val="1"/>
      </rPr>
      <t xml:space="preserve">ACOS 110%</t>
    </r>
    <r>
      <rPr>
        <sz val="10"/>
        <rFont val="WenQuanYi Zen Hei"/>
        <family val="2"/>
      </rPr>
      <t xml:space="preserve">；广告高花费且结算亏损</t>
    </r>
  </si>
  <si>
    <t xml:space="preserve">AMZ15-CA $221/ACOS 69%</t>
  </si>
  <si>
    <t xml:space="preserve">B0GXHPWWL2</t>
  </si>
  <si>
    <r>
      <rPr>
        <sz val="10"/>
        <rFont val="WenQuanYi Zen Hei"/>
        <family val="2"/>
      </rPr>
      <t xml:space="preserve">得伟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单包逆变器</t>
    </r>
    <r>
      <rPr>
        <sz val="10"/>
        <rFont val="Arial"/>
        <family val="0"/>
        <charset val="1"/>
      </rPr>
      <t xml:space="preserve">350W-</t>
    </r>
    <r>
      <rPr>
        <sz val="10"/>
        <rFont val="WenQuanYi Zen Hei"/>
        <family val="2"/>
      </rPr>
      <t xml:space="preserve">修正波版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美规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黄色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</si>
  <si>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ACOS 264%</t>
    </r>
    <r>
      <rPr>
        <sz val="10"/>
        <rFont val="WenQuanYi Zen Hei"/>
        <family val="2"/>
      </rPr>
      <t xml:space="preserve">；广告</t>
    </r>
    <r>
      <rPr>
        <sz val="10"/>
        <rFont val="Arial"/>
        <family val="0"/>
        <charset val="1"/>
      </rPr>
      <t xml:space="preserve">CVR 0.5%</t>
    </r>
  </si>
  <si>
    <t xml:space="preserve">HK8-US $101/ACOS 264%</t>
  </si>
  <si>
    <t xml:space="preserve">B0FLQ71NRS</t>
  </si>
  <si>
    <t xml:space="preserve">SPU07121</t>
  </si>
  <si>
    <r>
      <rPr>
        <sz val="10"/>
        <rFont val="WenQuanYi Zen Hei"/>
        <family val="2"/>
      </rPr>
      <t xml:space="preserve">米沃奇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电源逆变器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双插脚</t>
    </r>
    <r>
      <rPr>
        <sz val="10"/>
        <rFont val="Arial"/>
        <family val="0"/>
        <charset val="1"/>
      </rPr>
      <t xml:space="preserve">-550W</t>
    </r>
  </si>
  <si>
    <r>
      <rPr>
        <sz val="10"/>
        <rFont val="Arial"/>
        <family val="0"/>
        <charset val="1"/>
      </rPr>
      <t xml:space="preserve">ACOS</t>
    </r>
    <r>
      <rPr>
        <sz val="10"/>
        <rFont val="WenQuanYi Zen Hei"/>
        <family val="2"/>
      </rPr>
      <t xml:space="preserve">恶化 </t>
    </r>
    <r>
      <rPr>
        <sz val="10"/>
        <rFont val="Arial"/>
        <family val="0"/>
        <charset val="1"/>
      </rPr>
      <t xml:space="preserve">23%→43%</t>
    </r>
    <r>
      <rPr>
        <sz val="10"/>
        <rFont val="WenQuanYi Zen Hei"/>
        <family val="2"/>
      </rPr>
      <t xml:space="preserve">；日均花费 </t>
    </r>
    <r>
      <rPr>
        <sz val="10"/>
        <rFont val="Arial"/>
        <family val="0"/>
        <charset val="1"/>
      </rPr>
      <t xml:space="preserve">+152% </t>
    </r>
    <r>
      <rPr>
        <sz val="10"/>
        <rFont val="WenQuanYi Zen Hei"/>
        <family val="2"/>
      </rPr>
      <t xml:space="preserve">且</t>
    </r>
    <r>
      <rPr>
        <sz val="10"/>
        <rFont val="Arial"/>
        <family val="0"/>
        <charset val="1"/>
      </rPr>
      <t xml:space="preserve">ACOS</t>
    </r>
    <r>
      <rPr>
        <sz val="10"/>
        <rFont val="WenQuanYi Zen Hei"/>
        <family val="2"/>
      </rPr>
      <t xml:space="preserve">未改善；广告</t>
    </r>
    <r>
      <rPr>
        <sz val="10"/>
        <rFont val="Arial"/>
        <family val="0"/>
        <charset val="1"/>
      </rPr>
      <t xml:space="preserve">CVR 1.2%</t>
    </r>
  </si>
  <si>
    <t xml:space="preserve">AMZ8-US $765/ACOS 43%</t>
  </si>
  <si>
    <t xml:space="preserve">B0GXJ4276L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</si>
  <si>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ACOS 102%</t>
    </r>
    <r>
      <rPr>
        <sz val="10"/>
        <rFont val="WenQuanYi Zen Hei"/>
        <family val="2"/>
      </rPr>
      <t xml:space="preserve">；广告</t>
    </r>
    <r>
      <rPr>
        <sz val="10"/>
        <rFont val="Arial"/>
        <family val="0"/>
        <charset val="1"/>
      </rPr>
      <t xml:space="preserve">CVR 1.3%</t>
    </r>
  </si>
  <si>
    <t xml:space="preserve">HK8-US $132/ACOS 102%</t>
  </si>
  <si>
    <t xml:space="preserve">B0FM7FTP4N</t>
  </si>
  <si>
    <r>
      <rPr>
        <sz val="10"/>
        <rFont val="WenQuanYi Zen Hei"/>
        <family val="2"/>
      </rPr>
      <t xml:space="preserve">牧田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电源逆变器</t>
    </r>
    <r>
      <rPr>
        <sz val="10"/>
        <rFont val="Arial"/>
        <family val="0"/>
        <charset val="1"/>
      </rPr>
      <t xml:space="preserve">200W-2</t>
    </r>
    <r>
      <rPr>
        <sz val="10"/>
        <rFont val="WenQuanYi Zen Hei"/>
        <family val="2"/>
      </rPr>
      <t xml:space="preserve">个装</t>
    </r>
  </si>
  <si>
    <r>
      <rPr>
        <sz val="10"/>
        <rFont val="Arial"/>
        <family val="0"/>
        <charset val="1"/>
      </rPr>
      <t xml:space="preserve">ACOS</t>
    </r>
    <r>
      <rPr>
        <sz val="10"/>
        <rFont val="WenQuanYi Zen Hei"/>
        <family val="2"/>
      </rPr>
      <t xml:space="preserve">恶化 </t>
    </r>
    <r>
      <rPr>
        <sz val="10"/>
        <rFont val="Arial"/>
        <family val="0"/>
        <charset val="1"/>
      </rPr>
      <t xml:space="preserve">24%→47%</t>
    </r>
    <r>
      <rPr>
        <sz val="10"/>
        <rFont val="WenQuanYi Zen Hei"/>
        <family val="2"/>
      </rPr>
      <t xml:space="preserve">；日均花费 </t>
    </r>
    <r>
      <rPr>
        <sz val="10"/>
        <rFont val="Arial"/>
        <family val="0"/>
        <charset val="1"/>
      </rPr>
      <t xml:space="preserve">+228% </t>
    </r>
    <r>
      <rPr>
        <sz val="10"/>
        <rFont val="WenQuanYi Zen Hei"/>
        <family val="2"/>
      </rPr>
      <t xml:space="preserve">且</t>
    </r>
    <r>
      <rPr>
        <sz val="10"/>
        <rFont val="Arial"/>
        <family val="0"/>
        <charset val="1"/>
      </rPr>
      <t xml:space="preserve">ACOS</t>
    </r>
    <r>
      <rPr>
        <sz val="10"/>
        <rFont val="WenQuanYi Zen Hei"/>
        <family val="2"/>
      </rPr>
      <t xml:space="preserve">未改善；</t>
    </r>
    <r>
      <rPr>
        <sz val="10"/>
        <rFont val="Arial"/>
        <family val="0"/>
        <charset val="1"/>
      </rPr>
      <t xml:space="preserve">TACOS 38%</t>
    </r>
    <r>
      <rPr>
        <sz val="10"/>
        <rFont val="WenQuanYi Zen Hei"/>
        <family val="2"/>
      </rPr>
      <t xml:space="preserve">；广告高花费且结算亏损</t>
    </r>
  </si>
  <si>
    <t xml:space="preserve">AMZ15-US $275/ACOS 47%</t>
  </si>
  <si>
    <t xml:space="preserve">B0DQKKF484</t>
  </si>
  <si>
    <t xml:space="preserve">SPU07060</t>
  </si>
  <si>
    <r>
      <rPr>
        <sz val="10"/>
        <rFont val="WenQuanYi Zen Hei"/>
        <family val="2"/>
      </rPr>
      <t xml:space="preserve">利优比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电源逆变器</t>
    </r>
    <r>
      <rPr>
        <sz val="10"/>
        <rFont val="Arial"/>
        <family val="0"/>
        <charset val="1"/>
      </rPr>
      <t xml:space="preserve">-200W</t>
    </r>
  </si>
  <si>
    <r>
      <rPr>
        <sz val="10"/>
        <rFont val="WenQuanYi Zen Hei"/>
        <family val="2"/>
      </rPr>
      <t xml:space="preserve">近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天花</t>
    </r>
    <r>
      <rPr>
        <sz val="10"/>
        <rFont val="Arial"/>
        <family val="0"/>
        <charset val="1"/>
      </rPr>
      <t xml:space="preserve">$159</t>
    </r>
    <r>
      <rPr>
        <sz val="10"/>
        <rFont val="WenQuanYi Zen Hei"/>
        <family val="2"/>
      </rPr>
      <t xml:space="preserve">零广告出单</t>
    </r>
  </si>
  <si>
    <r>
      <rPr>
        <sz val="10"/>
        <rFont val="Arial"/>
        <family val="0"/>
        <charset val="1"/>
      </rPr>
      <t xml:space="preserve">AMZ5-US $1578/ACOS 50%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HK5-US $0/</t>
    </r>
    <r>
      <rPr>
        <sz val="10"/>
        <rFont val="WenQuanYi Zen Hei"/>
        <family val="2"/>
      </rPr>
      <t xml:space="preserve">无出单</t>
    </r>
  </si>
  <si>
    <t xml:space="preserve">B0CQ4PFGH5</t>
  </si>
  <si>
    <t xml:space="preserve">广告高花费且结算亏损</t>
  </si>
  <si>
    <r>
      <rPr>
        <sz val="10"/>
        <rFont val="Arial"/>
        <family val="0"/>
        <charset val="1"/>
      </rPr>
      <t xml:space="preserve">HK5-US $3156/ACOS 42%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AMZ5-US $553/ACOS 37%</t>
    </r>
  </si>
  <si>
    <t xml:space="preserve">B0FG2CBW2F</t>
  </si>
  <si>
    <t xml:space="preserve">SPU07115</t>
  </si>
  <si>
    <r>
      <rPr>
        <sz val="10"/>
        <rFont val="WenQuanYi Zen Hei"/>
        <family val="2"/>
      </rPr>
      <t xml:space="preserve">得伟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电源逆变器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双插脚</t>
    </r>
    <r>
      <rPr>
        <sz val="10"/>
        <rFont val="Arial"/>
        <family val="0"/>
        <charset val="1"/>
      </rPr>
      <t xml:space="preserve">-350W,</t>
    </r>
    <r>
      <rPr>
        <sz val="10"/>
        <rFont val="WenQuanYi Zen Hei"/>
        <family val="2"/>
      </rPr>
      <t xml:space="preserve">得伟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电源逆变器</t>
    </r>
    <r>
      <rPr>
        <sz val="10"/>
        <rFont val="Arial"/>
        <family val="0"/>
        <charset val="1"/>
      </rPr>
      <t xml:space="preserve">400W-</t>
    </r>
    <r>
      <rPr>
        <sz val="10"/>
        <rFont val="WenQuanYi Zen Hei"/>
        <family val="2"/>
      </rPr>
      <t xml:space="preserve">双插脚</t>
    </r>
    <r>
      <rPr>
        <sz val="10"/>
        <rFont val="Arial"/>
        <family val="0"/>
        <charset val="1"/>
      </rPr>
      <t xml:space="preserve">AK47,</t>
    </r>
    <r>
      <rPr>
        <sz val="10"/>
        <rFont val="WenQuanYi Zen Hei"/>
        <family val="2"/>
      </rPr>
      <t xml:space="preserve">正宗</t>
    </r>
    <r>
      <rPr>
        <sz val="10"/>
        <rFont val="Arial"/>
        <family val="0"/>
        <charset val="1"/>
      </rPr>
      <t xml:space="preserve">AC</t>
    </r>
    <r>
      <rPr>
        <sz val="10"/>
        <rFont val="WenQuanYi Zen Hei"/>
        <family val="2"/>
      </rPr>
      <t xml:space="preserve">美标</t>
    </r>
    <r>
      <rPr>
        <sz val="10"/>
        <rFont val="Arial"/>
        <family val="0"/>
        <charset val="1"/>
      </rPr>
      <t xml:space="preserve">110V,PD20w-</t>
    </r>
    <r>
      <rPr>
        <sz val="10"/>
        <rFont val="WenQuanYi Zen Hei"/>
        <family val="2"/>
      </rPr>
      <t xml:space="preserve">美规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黄黑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</si>
  <si>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ACOS 71%</t>
    </r>
    <r>
      <rPr>
        <sz val="10"/>
        <rFont val="WenQuanYi Zen Hei"/>
        <family val="2"/>
      </rPr>
      <t xml:space="preserve">；广告高花费且结算亏损</t>
    </r>
  </si>
  <si>
    <t xml:space="preserve">AMZ5-US $352/ACOS 71%</t>
  </si>
  <si>
    <t xml:space="preserve">B0DB1YHDFZ</t>
  </si>
  <si>
    <r>
      <rPr>
        <sz val="10"/>
        <rFont val="Arial"/>
        <family val="0"/>
        <charset val="1"/>
      </rPr>
      <t xml:space="preserve">TACOS 72%</t>
    </r>
    <r>
      <rPr>
        <sz val="10"/>
        <rFont val="WenQuanYi Zen Hei"/>
        <family val="2"/>
      </rPr>
      <t xml:space="preserve">；广告高花费且结算亏损</t>
    </r>
  </si>
  <si>
    <t xml:space="preserve">AMZ5-US $375/ACOS 50%</t>
  </si>
  <si>
    <t xml:space="preserve">合计</t>
  </si>
  <si>
    <r>
      <rPr>
        <b val="true"/>
        <sz val="14"/>
        <rFont val="Arial"/>
        <family val="0"/>
        <charset val="1"/>
      </rPr>
      <t xml:space="preserve">SPU </t>
    </r>
    <r>
      <rPr>
        <b val="true"/>
        <sz val="14"/>
        <rFont val="WenQuanYi Zen Hei"/>
        <family val="2"/>
      </rPr>
      <t xml:space="preserve">维度 </t>
    </r>
    <r>
      <rPr>
        <b val="true"/>
        <sz val="14"/>
        <rFont val="Arial"/>
        <family val="0"/>
        <charset val="1"/>
      </rPr>
      <t xml:space="preserve">· 9</t>
    </r>
    <r>
      <rPr>
        <b val="true"/>
        <sz val="14"/>
        <rFont val="WenQuanYi Zen Hei"/>
        <family val="2"/>
      </rPr>
      <t xml:space="preserve">月 </t>
    </r>
    <r>
      <rPr>
        <b val="true"/>
        <sz val="14"/>
        <rFont val="Arial"/>
        <family val="0"/>
        <charset val="1"/>
      </rPr>
      <t xml:space="preserve">vs 10</t>
    </r>
    <r>
      <rPr>
        <b val="true"/>
        <sz val="14"/>
        <rFont val="WenQuanYi Zen Hei"/>
        <family val="2"/>
      </rPr>
      <t xml:space="preserve">月 广告与销售汇总</t>
    </r>
  </si>
  <si>
    <t xml:space="preserve">款名（品牌）</t>
  </si>
  <si>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WenQuanYi Zen Hei"/>
        <family val="2"/>
      </rPr>
      <t xml:space="preserve">月（</t>
    </r>
    <r>
      <rPr>
        <b val="true"/>
        <sz val="10"/>
        <rFont val="Arial"/>
        <family val="0"/>
        <charset val="1"/>
      </rPr>
      <t xml:space="preserve">30</t>
    </r>
    <r>
      <rPr>
        <b val="true"/>
        <sz val="10"/>
        <rFont val="WenQuanYi Zen Hei"/>
        <family val="2"/>
      </rPr>
      <t xml:space="preserve">天）</t>
    </r>
  </si>
  <si>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月（</t>
    </r>
    <r>
      <rPr>
        <b val="true"/>
        <sz val="10"/>
        <rFont val="Arial"/>
        <family val="0"/>
        <charset val="1"/>
      </rPr>
      <t xml:space="preserve">26</t>
    </r>
    <r>
      <rPr>
        <b val="true"/>
        <sz val="10"/>
        <rFont val="WenQuanYi Zen Hei"/>
        <family val="2"/>
      </rPr>
      <t xml:space="preserve">天）</t>
    </r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</si>
  <si>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 </t>
    </r>
    <r>
      <rPr>
        <b val="true"/>
        <sz val="10"/>
        <rFont val="Arial"/>
        <family val="0"/>
        <charset val="1"/>
      </rPr>
      <t xml:space="preserve">vs 9</t>
    </r>
    <r>
      <rPr>
        <b val="true"/>
        <sz val="10"/>
        <rFont val="WenQuanYi Zen Hei"/>
        <family val="2"/>
      </rPr>
      <t xml:space="preserve">月</t>
    </r>
  </si>
  <si>
    <t xml:space="preserve">广告订单量</t>
  </si>
  <si>
    <t xml:space="preserve">点击</t>
  </si>
  <si>
    <t xml:space="preserve">展示</t>
  </si>
  <si>
    <t xml:space="preserve">销量</t>
  </si>
  <si>
    <t xml:space="preserve">订单量</t>
  </si>
  <si>
    <t xml:space="preserve">Sessions-Total</t>
  </si>
  <si>
    <t xml:space="preserve">ROAS</t>
  </si>
  <si>
    <r>
      <rPr>
        <b val="true"/>
        <sz val="10"/>
        <color rgb="FFFFFFFF"/>
        <rFont val="WenQuanYi Zen Hei"/>
        <family val="2"/>
      </rPr>
      <t xml:space="preserve">广告</t>
    </r>
    <r>
      <rPr>
        <b val="true"/>
        <sz val="10"/>
        <color rgb="FFFFFFFF"/>
        <rFont val="Arial"/>
        <family val="0"/>
        <charset val="1"/>
      </rPr>
      <t xml:space="preserve">CVR</t>
    </r>
  </si>
  <si>
    <t xml:space="preserve">毛利率</t>
  </si>
  <si>
    <t xml:space="preserve">广告销售额日均环比</t>
  </si>
  <si>
    <t xml:space="preserve">日均销量环比</t>
  </si>
  <si>
    <r>
      <rPr>
        <b val="true"/>
        <sz val="10"/>
        <color rgb="FFFFFFFF"/>
        <rFont val="Arial"/>
        <family val="0"/>
        <charset val="1"/>
      </rPr>
      <t xml:space="preserve">ACOS</t>
    </r>
    <r>
      <rPr>
        <b val="true"/>
        <sz val="10"/>
        <color rgb="FFFFFFFF"/>
        <rFont val="WenQuanYi Zen Hei"/>
        <family val="2"/>
      </rPr>
      <t xml:space="preserve">变化</t>
    </r>
    <r>
      <rPr>
        <b val="true"/>
        <sz val="10"/>
        <color rgb="FFFFFFFF"/>
        <rFont val="Arial"/>
        <family val="0"/>
        <charset val="1"/>
      </rPr>
      <t xml:space="preserve">(pp)</t>
    </r>
  </si>
  <si>
    <r>
      <rPr>
        <b val="true"/>
        <sz val="10"/>
        <color rgb="FFFFFFFF"/>
        <rFont val="Arial"/>
        <family val="0"/>
        <charset val="1"/>
      </rPr>
      <t xml:space="preserve">TACOS</t>
    </r>
    <r>
      <rPr>
        <b val="true"/>
        <sz val="10"/>
        <color rgb="FFFFFFFF"/>
        <rFont val="WenQuanYi Zen Hei"/>
        <family val="2"/>
      </rPr>
      <t xml:space="preserve">变化</t>
    </r>
    <r>
      <rPr>
        <b val="true"/>
        <sz val="10"/>
        <color rgb="FFFFFFFF"/>
        <rFont val="Arial"/>
        <family val="0"/>
        <charset val="1"/>
      </rPr>
      <t xml:space="preserve">(pp)</t>
    </r>
  </si>
  <si>
    <r>
      <rPr>
        <b val="true"/>
        <sz val="10"/>
        <color rgb="FFFFFFFF"/>
        <rFont val="Arial"/>
        <family val="0"/>
        <charset val="1"/>
      </rPr>
      <t xml:space="preserve">CPC</t>
    </r>
    <r>
      <rPr>
        <b val="true"/>
        <sz val="10"/>
        <color rgb="FFFFFFFF"/>
        <rFont val="WenQuanYi Zen Hei"/>
        <family val="2"/>
      </rPr>
      <t xml:space="preserve">环比</t>
    </r>
  </si>
  <si>
    <r>
      <rPr>
        <b val="true"/>
        <sz val="10"/>
        <color rgb="FFFFFFFF"/>
        <rFont val="WenQuanYi Zen Hei"/>
        <family val="2"/>
      </rPr>
      <t xml:space="preserve">广告</t>
    </r>
    <r>
      <rPr>
        <b val="true"/>
        <sz val="10"/>
        <color rgb="FFFFFFFF"/>
        <rFont val="Arial"/>
        <family val="0"/>
        <charset val="1"/>
      </rPr>
      <t xml:space="preserve">CVR</t>
    </r>
    <r>
      <rPr>
        <b val="true"/>
        <sz val="10"/>
        <color rgb="FFFFFFFF"/>
        <rFont val="WenQuanYi Zen Hei"/>
        <family val="2"/>
      </rPr>
      <t xml:space="preserve">变化</t>
    </r>
    <r>
      <rPr>
        <b val="true"/>
        <sz val="10"/>
        <color rgb="FFFFFFFF"/>
        <rFont val="Arial"/>
        <family val="0"/>
        <charset val="1"/>
      </rPr>
      <t xml:space="preserve">(pp)</t>
    </r>
  </si>
  <si>
    <t xml:space="preserve">成交均价环比</t>
  </si>
  <si>
    <t xml:space="preserve">SPU07021</t>
  </si>
  <si>
    <r>
      <rPr>
        <sz val="10"/>
        <rFont val="WenQuanYi Zen Hei"/>
        <family val="2"/>
      </rPr>
      <t xml:space="preserve">逆变器</t>
    </r>
    <r>
      <rPr>
        <sz val="10"/>
        <rFont val="Arial"/>
        <family val="0"/>
        <charset val="1"/>
      </rPr>
      <t xml:space="preserve">-200W</t>
    </r>
    <r>
      <rPr>
        <sz val="10"/>
        <rFont val="WenQuanYi Zen Hei"/>
        <family val="2"/>
      </rPr>
      <t xml:space="preserve">（得伟）</t>
    </r>
  </si>
  <si>
    <r>
      <rPr>
        <sz val="10"/>
        <rFont val="WenQuanYi Zen Hei"/>
        <family val="2"/>
      </rPr>
      <t xml:space="preserve">逆变器</t>
    </r>
    <r>
      <rPr>
        <sz val="10"/>
        <rFont val="Arial"/>
        <family val="0"/>
        <charset val="1"/>
      </rPr>
      <t xml:space="preserve">-200W</t>
    </r>
    <r>
      <rPr>
        <sz val="10"/>
        <rFont val="WenQuanYi Zen Hei"/>
        <family val="2"/>
      </rPr>
      <t xml:space="preserve">（米沃奇）</t>
    </r>
  </si>
  <si>
    <r>
      <rPr>
        <sz val="10"/>
        <rFont val="WenQuanYi Zen Hei"/>
        <family val="2"/>
      </rPr>
      <t xml:space="preserve">单包逆变器（得伟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米沃奇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牧田）</t>
    </r>
  </si>
  <si>
    <r>
      <rPr>
        <sz val="10"/>
        <rFont val="WenQuanYi Zen Hei"/>
        <family val="2"/>
      </rPr>
      <t xml:space="preserve">逆变器</t>
    </r>
    <r>
      <rPr>
        <sz val="10"/>
        <rFont val="Arial"/>
        <family val="0"/>
        <charset val="1"/>
      </rPr>
      <t xml:space="preserve">-200W</t>
    </r>
    <r>
      <rPr>
        <sz val="10"/>
        <rFont val="WenQuanYi Zen Hei"/>
        <family val="2"/>
      </rPr>
      <t xml:space="preserve">（利优比）</t>
    </r>
  </si>
  <si>
    <r>
      <rPr>
        <sz val="10"/>
        <rFont val="WenQuanYi Zen Hei"/>
        <family val="2"/>
      </rPr>
      <t xml:space="preserve">逆变器</t>
    </r>
    <r>
      <rPr>
        <sz val="10"/>
        <rFont val="Arial"/>
        <family val="0"/>
        <charset val="1"/>
      </rPr>
      <t xml:space="preserve">-200W</t>
    </r>
    <r>
      <rPr>
        <sz val="10"/>
        <rFont val="WenQuanYi Zen Hei"/>
        <family val="2"/>
      </rPr>
      <t xml:space="preserve">（牧田款）（牧田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工匠）</t>
    </r>
  </si>
  <si>
    <r>
      <rPr>
        <sz val="10"/>
        <rFont val="WenQuanYi Zen Hei"/>
        <family val="2"/>
      </rPr>
      <t xml:space="preserve">逆变器</t>
    </r>
    <r>
      <rPr>
        <sz val="10"/>
        <rFont val="Arial"/>
        <family val="0"/>
        <charset val="1"/>
      </rPr>
      <t xml:space="preserve">-550W</t>
    </r>
    <r>
      <rPr>
        <sz val="10"/>
        <rFont val="WenQuanYi Zen Hei"/>
        <family val="2"/>
      </rPr>
      <t xml:space="preserve">（得伟）</t>
    </r>
  </si>
  <si>
    <r>
      <rPr>
        <sz val="10"/>
        <rFont val="WenQuanYi Zen Hei"/>
        <family val="2"/>
      </rPr>
      <t xml:space="preserve">逆变器</t>
    </r>
    <r>
      <rPr>
        <sz val="10"/>
        <rFont val="Arial"/>
        <family val="0"/>
        <charset val="1"/>
      </rPr>
      <t xml:space="preserve">-550W</t>
    </r>
    <r>
      <rPr>
        <sz val="10"/>
        <rFont val="WenQuanYi Zen Hei"/>
        <family val="2"/>
      </rPr>
      <t xml:space="preserve">（米沃奇）</t>
    </r>
  </si>
  <si>
    <r>
      <rPr>
        <sz val="10"/>
        <rFont val="WenQuanYi Zen Hei"/>
        <family val="2"/>
      </rPr>
      <t xml:space="preserve">电源逆变器</t>
    </r>
    <r>
      <rPr>
        <sz val="10"/>
        <rFont val="Arial"/>
        <family val="0"/>
        <charset val="1"/>
      </rPr>
      <t xml:space="preserve">350W-AC</t>
    </r>
    <r>
      <rPr>
        <sz val="10"/>
        <rFont val="WenQuanYi Zen Hei"/>
        <family val="2"/>
      </rPr>
      <t xml:space="preserve">美标</t>
    </r>
    <r>
      <rPr>
        <sz val="10"/>
        <rFont val="Arial"/>
        <family val="0"/>
        <charset val="1"/>
      </rPr>
      <t xml:space="preserve">110V PD20W</t>
    </r>
    <r>
      <rPr>
        <sz val="10"/>
        <rFont val="WenQuanYi Zen Hei"/>
        <family val="2"/>
      </rPr>
      <t xml:space="preserve">（米沃奇）</t>
    </r>
  </si>
  <si>
    <r>
      <rPr>
        <sz val="10"/>
        <rFont val="WenQuanYi Zen Hei"/>
        <family val="2"/>
      </rPr>
      <t xml:space="preserve">电源逆变器</t>
    </r>
    <r>
      <rPr>
        <sz val="10"/>
        <rFont val="Arial"/>
        <family val="0"/>
        <charset val="1"/>
      </rPr>
      <t xml:space="preserve">-550W</t>
    </r>
    <r>
      <rPr>
        <sz val="10"/>
        <rFont val="WenQuanYi Zen Hei"/>
        <family val="2"/>
      </rPr>
      <t xml:space="preserve">（牧田）</t>
    </r>
  </si>
  <si>
    <r>
      <rPr>
        <sz val="10"/>
        <rFont val="WenQuanYi Zen Hei"/>
        <family val="2"/>
      </rPr>
      <t xml:space="preserve">逆变器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双向</t>
    </r>
    <r>
      <rPr>
        <sz val="10"/>
        <rFont val="Arial"/>
        <family val="0"/>
        <charset val="1"/>
      </rPr>
      <t xml:space="preserve">65W</t>
    </r>
    <r>
      <rPr>
        <sz val="10"/>
        <rFont val="WenQuanYi Zen Hei"/>
        <family val="2"/>
      </rPr>
      <t xml:space="preserve">（得伟）</t>
    </r>
  </si>
  <si>
    <r>
      <rPr>
        <sz val="10"/>
        <rFont val="WenQuanYi Zen Hei"/>
        <family val="2"/>
      </rPr>
      <t xml:space="preserve">电源逆变器</t>
    </r>
    <r>
      <rPr>
        <sz val="10"/>
        <rFont val="Arial"/>
        <family val="0"/>
        <charset val="1"/>
      </rPr>
      <t xml:space="preserve">350W-AC</t>
    </r>
    <r>
      <rPr>
        <sz val="10"/>
        <rFont val="WenQuanYi Zen Hei"/>
        <family val="2"/>
      </rPr>
      <t xml:space="preserve">美标</t>
    </r>
    <r>
      <rPr>
        <sz val="10"/>
        <rFont val="Arial"/>
        <family val="0"/>
        <charset val="1"/>
      </rPr>
      <t xml:space="preserve">110V PD20W</t>
    </r>
    <r>
      <rPr>
        <sz val="10"/>
        <rFont val="WenQuanYi Zen Hei"/>
        <family val="2"/>
      </rPr>
      <t xml:space="preserve">（得伟）</t>
    </r>
  </si>
  <si>
    <t xml:space="preserve">SPU07104</t>
  </si>
  <si>
    <r>
      <rPr>
        <sz val="10"/>
        <rFont val="WenQuanYi Zen Hei"/>
        <family val="2"/>
      </rPr>
      <t xml:space="preserve">车载逆变器</t>
    </r>
    <r>
      <rPr>
        <sz val="10"/>
        <rFont val="Arial"/>
        <family val="0"/>
        <charset val="1"/>
      </rPr>
      <t xml:space="preserve">-300W</t>
    </r>
    <r>
      <rPr>
        <sz val="10"/>
        <rFont val="WenQuanYi Zen Hei"/>
        <family val="2"/>
      </rPr>
      <t xml:space="preserve">（米沃奇）</t>
    </r>
  </si>
  <si>
    <t xml:space="preserve">SPU07103</t>
  </si>
  <si>
    <r>
      <rPr>
        <sz val="10"/>
        <rFont val="WenQuanYi Zen Hei"/>
        <family val="2"/>
      </rPr>
      <t xml:space="preserve">车载逆变器</t>
    </r>
    <r>
      <rPr>
        <sz val="10"/>
        <rFont val="Arial"/>
        <family val="0"/>
        <charset val="1"/>
      </rPr>
      <t xml:space="preserve">-300W</t>
    </r>
    <r>
      <rPr>
        <sz val="10"/>
        <rFont val="WenQuanYi Zen Hei"/>
        <family val="2"/>
      </rPr>
      <t xml:space="preserve">（得伟）</t>
    </r>
  </si>
  <si>
    <t xml:space="preserve">SPU07056</t>
  </si>
  <si>
    <r>
      <rPr>
        <sz val="10"/>
        <rFont val="WenQuanYi Zen Hei"/>
        <family val="2"/>
      </rPr>
      <t xml:space="preserve">逆变器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双向</t>
    </r>
    <r>
      <rPr>
        <sz val="10"/>
        <rFont val="Arial"/>
        <family val="0"/>
        <charset val="1"/>
      </rPr>
      <t xml:space="preserve">100W</t>
    </r>
    <r>
      <rPr>
        <sz val="10"/>
        <rFont val="WenQuanYi Zen Hei"/>
        <family val="2"/>
      </rPr>
      <t xml:space="preserve">（得伟）</t>
    </r>
  </si>
  <si>
    <t xml:space="preserve">SPU07066</t>
  </si>
  <si>
    <r>
      <rPr>
        <sz val="10"/>
        <rFont val="WenQuanYi Zen Hei"/>
        <family val="2"/>
      </rPr>
      <t xml:space="preserve">逆变器</t>
    </r>
    <r>
      <rPr>
        <sz val="10"/>
        <rFont val="Arial"/>
        <family val="0"/>
        <charset val="1"/>
      </rPr>
      <t xml:space="preserve">-200W+</t>
    </r>
    <r>
      <rPr>
        <sz val="10"/>
        <rFont val="WenQuanYi Zen Hei"/>
        <family val="2"/>
      </rPr>
      <t xml:space="preserve">电池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充电器（得伟）</t>
    </r>
  </si>
  <si>
    <t xml:space="preserve">SPU070117</t>
  </si>
  <si>
    <r>
      <rPr>
        <sz val="10"/>
        <rFont val="WenQuanYi Zen Hei"/>
        <family val="2"/>
      </rPr>
      <t xml:space="preserve">车载逆变器</t>
    </r>
    <r>
      <rPr>
        <sz val="10"/>
        <rFont val="Arial"/>
        <family val="0"/>
        <charset val="1"/>
      </rPr>
      <t xml:space="preserve">-300W</t>
    </r>
    <r>
      <rPr>
        <sz val="10"/>
        <rFont val="WenQuanYi Zen Hei"/>
        <family val="2"/>
      </rPr>
      <t xml:space="preserve">（牧田）</t>
    </r>
  </si>
  <si>
    <r>
      <rPr>
        <b val="true"/>
        <sz val="10"/>
        <rFont val="WenQuanYi Zen Hei"/>
        <family val="2"/>
      </rPr>
      <t xml:space="preserve">品类合计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均值</t>
    </r>
  </si>
  <si>
    <r>
      <rPr>
        <i val="true"/>
        <sz val="9"/>
        <color rgb="FF666666"/>
        <rFont val="WenQuanYi Zen Hei"/>
        <family val="2"/>
      </rPr>
      <t xml:space="preserve">高亮规则：红</t>
    </r>
    <r>
      <rPr>
        <i val="true"/>
        <sz val="9"/>
        <color rgb="FF666666"/>
        <rFont val="Arial"/>
        <family val="0"/>
        <charset val="1"/>
      </rPr>
      <t xml:space="preserve">=ACOS/TACOS </t>
    </r>
    <r>
      <rPr>
        <i val="true"/>
        <sz val="9"/>
        <color rgb="FF666666"/>
        <rFont val="WenQuanYi Zen Hei"/>
        <family val="2"/>
      </rPr>
      <t xml:space="preserve">超阈值、毛利为负、日均花费暴涨、</t>
    </r>
    <r>
      <rPr>
        <i val="true"/>
        <sz val="9"/>
        <color rgb="FF666666"/>
        <rFont val="Arial"/>
        <family val="0"/>
        <charset val="1"/>
      </rPr>
      <t xml:space="preserve">ACOS </t>
    </r>
    <r>
      <rPr>
        <i val="true"/>
        <sz val="9"/>
        <color rgb="FF666666"/>
        <rFont val="WenQuanYi Zen Hei"/>
        <family val="2"/>
      </rPr>
      <t xml:space="preserve">恶化；黄</t>
    </r>
    <r>
      <rPr>
        <i val="true"/>
        <sz val="9"/>
        <color rgb="FF666666"/>
        <rFont val="Arial"/>
        <family val="0"/>
        <charset val="1"/>
      </rPr>
      <t xml:space="preserve">=CPC </t>
    </r>
    <r>
      <rPr>
        <i val="true"/>
        <sz val="9"/>
        <color rgb="FF666666"/>
        <rFont val="WenQuanYi Zen Hei"/>
        <family val="2"/>
      </rPr>
      <t xml:space="preserve">偏高、广告</t>
    </r>
    <r>
      <rPr>
        <i val="true"/>
        <sz val="9"/>
        <color rgb="FF666666"/>
        <rFont val="Arial"/>
        <family val="0"/>
        <charset val="1"/>
      </rPr>
      <t xml:space="preserve">CVR </t>
    </r>
    <r>
      <rPr>
        <i val="true"/>
        <sz val="9"/>
        <color rgb="FF666666"/>
        <rFont val="WenQuanYi Zen Hei"/>
        <family val="2"/>
      </rPr>
      <t xml:space="preserve">偏低、价格变动超阈值、日均销量下滑≥</t>
    </r>
    <r>
      <rPr>
        <i val="true"/>
        <sz val="9"/>
        <color rgb="FF666666"/>
        <rFont val="Arial"/>
        <family val="0"/>
        <charset val="1"/>
      </rPr>
      <t xml:space="preserve">20%</t>
    </r>
    <r>
      <rPr>
        <i val="true"/>
        <sz val="9"/>
        <color rgb="FF666666"/>
        <rFont val="WenQuanYi Zen Hei"/>
        <family val="2"/>
      </rPr>
      <t xml:space="preserve">；绿</t>
    </r>
    <r>
      <rPr>
        <i val="true"/>
        <sz val="9"/>
        <color rgb="FF666666"/>
        <rFont val="Arial"/>
        <family val="0"/>
        <charset val="1"/>
      </rPr>
      <t xml:space="preserve">=ACOS </t>
    </r>
    <r>
      <rPr>
        <i val="true"/>
        <sz val="9"/>
        <color rgb="FF666666"/>
        <rFont val="WenQuanYi Zen Hei"/>
        <family val="2"/>
      </rPr>
      <t xml:space="preserve">改善。阈值见「总览」。结算毛利润受回款结算时点影响，单月波动大，仅作参考。</t>
    </r>
  </si>
  <si>
    <r>
      <rPr>
        <b val="true"/>
        <sz val="14"/>
        <rFont val="Arial"/>
        <family val="0"/>
        <charset val="1"/>
      </rPr>
      <t xml:space="preserve">ASIN </t>
    </r>
    <r>
      <rPr>
        <b val="true"/>
        <sz val="14"/>
        <rFont val="WenQuanYi Zen Hei"/>
        <family val="2"/>
      </rPr>
      <t xml:space="preserve">维度 </t>
    </r>
    <r>
      <rPr>
        <b val="true"/>
        <sz val="14"/>
        <rFont val="Arial"/>
        <family val="0"/>
        <charset val="1"/>
      </rPr>
      <t xml:space="preserve">· 9</t>
    </r>
    <r>
      <rPr>
        <b val="true"/>
        <sz val="14"/>
        <rFont val="WenQuanYi Zen Hei"/>
        <family val="2"/>
      </rPr>
      <t xml:space="preserve">月 </t>
    </r>
    <r>
      <rPr>
        <b val="true"/>
        <sz val="14"/>
        <rFont val="Arial"/>
        <family val="0"/>
        <charset val="1"/>
      </rPr>
      <t xml:space="preserve">vs 10</t>
    </r>
    <r>
      <rPr>
        <b val="true"/>
        <sz val="14"/>
        <rFont val="WenQuanYi Zen Hei"/>
        <family val="2"/>
      </rPr>
      <t xml:space="preserve">月 广告与销售汇总（按两月广告花费降序）</t>
    </r>
  </si>
  <si>
    <t xml:space="preserve">主要店铺</t>
  </si>
  <si>
    <t xml:space="preserve">B0CQ4Q6WB9</t>
  </si>
  <si>
    <r>
      <rPr>
        <sz val="10"/>
        <rFont val="WenQuanYi Zen Hei"/>
        <family val="2"/>
      </rPr>
      <t xml:space="preserve">得伟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电源逆变器</t>
    </r>
    <r>
      <rPr>
        <sz val="10"/>
        <rFont val="Arial"/>
        <family val="0"/>
        <charset val="1"/>
      </rPr>
      <t xml:space="preserve">-200W</t>
    </r>
  </si>
  <si>
    <t xml:space="preserve">AMZ5-US/HK5-US/HK5-MX/HK5-CA</t>
  </si>
  <si>
    <t xml:space="preserve">AMZ8-CA/HK8-US/AMZ8-US/HK8-MX</t>
  </si>
  <si>
    <t xml:space="preserve">AMZ5-US/HK5-US</t>
  </si>
  <si>
    <t xml:space="preserve">B0CQ2MHKJ5</t>
  </si>
  <si>
    <t xml:space="preserve">HK8-US/AMZ8-US/AMZ8-CA/HK8-CA</t>
  </si>
  <si>
    <t xml:space="preserve">B0GXJ3VN4S</t>
  </si>
  <si>
    <t xml:space="preserve">AMZ5-US</t>
  </si>
  <si>
    <t xml:space="preserve">B0DHZSTBSD</t>
  </si>
  <si>
    <t xml:space="preserve">HK8-US/AMZ8-US</t>
  </si>
  <si>
    <t xml:space="preserve">AMZ5-US/AMZ5-CA</t>
  </si>
  <si>
    <t xml:space="preserve">B0CYZYC9HX</t>
  </si>
  <si>
    <t xml:space="preserve">B0CYZVRNJ7</t>
  </si>
  <si>
    <t xml:space="preserve">AMZ8-US/HK8-CA/AMZ8-MX</t>
  </si>
  <si>
    <t xml:space="preserve">B0F9FQ2FVF</t>
  </si>
  <si>
    <t xml:space="preserve">AMZ8-US</t>
  </si>
  <si>
    <t xml:space="preserve">AMZ8-US/AMZ8-CA/AMZ8-MX</t>
  </si>
  <si>
    <t xml:space="preserve">AMZ15-US/AMZ15-CA/AMZ15-MX</t>
  </si>
  <si>
    <t xml:space="preserve">AMZ8-CA/AMZ8-US/AMZ8-BR</t>
  </si>
  <si>
    <t xml:space="preserve">HK8-US/HK8-CA</t>
  </si>
  <si>
    <t xml:space="preserve">B0F8B28QLN</t>
  </si>
  <si>
    <t xml:space="preserve">B0GXHMVVNB</t>
  </si>
  <si>
    <t xml:space="preserve">HK8-US/HK8-CA/HK8-MX</t>
  </si>
  <si>
    <t xml:space="preserve">B0FLDS13XV</t>
  </si>
  <si>
    <t xml:space="preserve">B0DY5C9VCP</t>
  </si>
  <si>
    <t xml:space="preserve">AMZ15-US/AMZ15-MX</t>
  </si>
  <si>
    <t xml:space="preserve">B0FLDTQWMM</t>
  </si>
  <si>
    <t xml:space="preserve">B0DS27KTM3</t>
  </si>
  <si>
    <r>
      <rPr>
        <sz val="10"/>
        <rFont val="WenQuanYi Zen Hei"/>
        <family val="2"/>
      </rPr>
      <t xml:space="preserve">得伟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电源逆变器</t>
    </r>
    <r>
      <rPr>
        <sz val="10"/>
        <rFont val="Arial"/>
        <family val="0"/>
        <charset val="1"/>
      </rPr>
      <t xml:space="preserve">-200W-2</t>
    </r>
    <r>
      <rPr>
        <sz val="10"/>
        <rFont val="WenQuanYi Zen Hei"/>
        <family val="2"/>
      </rPr>
      <t xml:space="preserve">个装</t>
    </r>
  </si>
  <si>
    <t xml:space="preserve">HK5-US/AMZ5-US</t>
  </si>
  <si>
    <t xml:space="preserve">B0F8B2F63X</t>
  </si>
  <si>
    <t xml:space="preserve">B0DKBNY1VN</t>
  </si>
  <si>
    <r>
      <rPr>
        <sz val="10"/>
        <rFont val="WenQuanYi Zen Hei"/>
        <family val="2"/>
      </rPr>
      <t xml:space="preserve">米沃奇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电源逆变器</t>
    </r>
    <r>
      <rPr>
        <sz val="10"/>
        <rFont val="Arial"/>
        <family val="0"/>
        <charset val="1"/>
      </rPr>
      <t xml:space="preserve">-200W-2</t>
    </r>
    <r>
      <rPr>
        <sz val="10"/>
        <rFont val="WenQuanYi Zen Hei"/>
        <family val="2"/>
      </rPr>
      <t xml:space="preserve">个装</t>
    </r>
  </si>
  <si>
    <t xml:space="preserve">AMZ8-US/AMZ8-CA/HK8-CA</t>
  </si>
  <si>
    <t xml:space="preserve">B0F5V6D1X4</t>
  </si>
  <si>
    <r>
      <rPr>
        <sz val="10"/>
        <rFont val="WenQuanYi Zen Hei"/>
        <family val="2"/>
      </rPr>
      <t xml:space="preserve">电源逆变器</t>
    </r>
    <r>
      <rPr>
        <sz val="10"/>
        <rFont val="Arial"/>
        <family val="0"/>
        <charset val="1"/>
      </rPr>
      <t xml:space="preserve">200W-</t>
    </r>
    <r>
      <rPr>
        <sz val="10"/>
        <rFont val="WenQuanYi Zen Hei"/>
        <family val="2"/>
      </rPr>
      <t xml:space="preserve">利优比</t>
    </r>
  </si>
  <si>
    <t xml:space="preserve">AMZ15-CA</t>
  </si>
  <si>
    <t xml:space="preserve">B0F13NNXHD</t>
  </si>
  <si>
    <r>
      <rPr>
        <sz val="10"/>
        <rFont val="WenQuanYi Zen Hei"/>
        <family val="2"/>
      </rPr>
      <t xml:space="preserve">组合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得伟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车载逆变器</t>
    </r>
    <r>
      <rPr>
        <sz val="10"/>
        <rFont val="Arial"/>
        <family val="0"/>
        <charset val="1"/>
      </rPr>
      <t xml:space="preserve">-300W</t>
    </r>
  </si>
  <si>
    <t xml:space="preserve">AMZ15-US</t>
  </si>
  <si>
    <t xml:space="preserve">B0F2SCTYDR</t>
  </si>
  <si>
    <r>
      <rPr>
        <sz val="10"/>
        <rFont val="WenQuanYi Zen Hei"/>
        <family val="2"/>
      </rPr>
      <t xml:space="preserve">利优比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电源逆变器</t>
    </r>
    <r>
      <rPr>
        <sz val="10"/>
        <rFont val="Arial"/>
        <family val="0"/>
        <charset val="1"/>
      </rPr>
      <t xml:space="preserve">-200W-2</t>
    </r>
    <r>
      <rPr>
        <sz val="10"/>
        <rFont val="WenQuanYi Zen Hei"/>
        <family val="2"/>
      </rPr>
      <t xml:space="preserve">个装</t>
    </r>
  </si>
  <si>
    <t xml:space="preserve">B0DRVSGQCC</t>
  </si>
  <si>
    <t xml:space="preserve">B0FDQLRW8K</t>
  </si>
  <si>
    <r>
      <rPr>
        <sz val="10"/>
        <rFont val="WenQuanYi Zen Hei"/>
        <family val="2"/>
      </rPr>
      <t xml:space="preserve">组合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米沃奇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车载逆变器</t>
    </r>
    <r>
      <rPr>
        <sz val="10"/>
        <rFont val="Arial"/>
        <family val="0"/>
        <charset val="1"/>
      </rPr>
      <t xml:space="preserve">-300W-2</t>
    </r>
    <r>
      <rPr>
        <sz val="10"/>
        <rFont val="WenQuanYi Zen Hei"/>
        <family val="2"/>
      </rPr>
      <t xml:space="preserve">个装</t>
    </r>
  </si>
  <si>
    <t xml:space="preserve">B0F2MMC1YR</t>
  </si>
  <si>
    <r>
      <rPr>
        <sz val="10"/>
        <rFont val="WenQuanYi Zen Hei"/>
        <family val="2"/>
      </rPr>
      <t xml:space="preserve">组合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米沃奇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车载逆变器</t>
    </r>
    <r>
      <rPr>
        <sz val="10"/>
        <rFont val="Arial"/>
        <family val="0"/>
        <charset val="1"/>
      </rPr>
      <t xml:space="preserve">-300W</t>
    </r>
  </si>
  <si>
    <t xml:space="preserve">AMZ8-CA/AMZ8-US</t>
  </si>
  <si>
    <t xml:space="preserve">B0DB22DQ4H</t>
  </si>
  <si>
    <r>
      <rPr>
        <sz val="10"/>
        <rFont val="WenQuanYi Zen Hei"/>
        <family val="2"/>
      </rPr>
      <t xml:space="preserve">得伟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双向逆变器</t>
    </r>
    <r>
      <rPr>
        <sz val="10"/>
        <rFont val="Arial"/>
        <family val="0"/>
        <charset val="1"/>
      </rPr>
      <t xml:space="preserve">-100W</t>
    </r>
  </si>
  <si>
    <t xml:space="preserve">B0FG6XJXB2</t>
  </si>
  <si>
    <r>
      <rPr>
        <sz val="10"/>
        <rFont val="WenQuanYi Zen Hei"/>
        <family val="2"/>
      </rPr>
      <t xml:space="preserve">得伟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电源逆变器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双插脚</t>
    </r>
    <r>
      <rPr>
        <sz val="10"/>
        <rFont val="Arial"/>
        <family val="0"/>
        <charset val="1"/>
      </rPr>
      <t xml:space="preserve">-350W</t>
    </r>
  </si>
  <si>
    <t xml:space="preserve">B0G2B69C2S</t>
  </si>
  <si>
    <t xml:space="preserve">B0FJDVB59R</t>
  </si>
  <si>
    <t xml:space="preserve">B0FJDFWSH9</t>
  </si>
  <si>
    <t xml:space="preserve">B0DS2636V8</t>
  </si>
  <si>
    <t xml:space="preserve">B0FJDWL3PK</t>
  </si>
  <si>
    <t xml:space="preserve">B0FBRVWP38</t>
  </si>
  <si>
    <t xml:space="preserve">B0FBRSX9XC</t>
  </si>
  <si>
    <t xml:space="preserve">B0F2MPFKX3</t>
  </si>
  <si>
    <t xml:space="preserve">B0DSH1642F</t>
  </si>
  <si>
    <t xml:space="preserve">HK8-US/AMZ8-CA/HK8-CA/AMZ8-US</t>
  </si>
  <si>
    <t xml:space="preserve">B0FG7G96HW</t>
  </si>
  <si>
    <t xml:space="preserve">B0FLXXNRZX</t>
  </si>
  <si>
    <t xml:space="preserve">B0D4D82QH9</t>
  </si>
  <si>
    <t xml:space="preserve">B0F13Q6KL1</t>
  </si>
  <si>
    <t xml:space="preserve">B0DKHR1MJM</t>
  </si>
  <si>
    <t xml:space="preserve">HK8-US/AMZ8-CA/AMZ8-US/HK8-MX</t>
  </si>
  <si>
    <t xml:space="preserve">B0FLXYCM5R</t>
  </si>
  <si>
    <t xml:space="preserve">B0DKBP9KDS</t>
  </si>
  <si>
    <t xml:space="preserve">HK8-CA/AMZ8-US/AMZ8-CA</t>
  </si>
  <si>
    <t xml:space="preserve">B0F2MML298</t>
  </si>
  <si>
    <t xml:space="preserve">B0DSFQPY1F</t>
  </si>
  <si>
    <t xml:space="preserve">B0F2MSL58N</t>
  </si>
  <si>
    <t xml:space="preserve">B0DXV28VH6</t>
  </si>
  <si>
    <r>
      <rPr>
        <sz val="10"/>
        <rFont val="WenQuanYi Zen Hei"/>
        <family val="2"/>
      </rPr>
      <t xml:space="preserve">得伟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电源逆变器</t>
    </r>
    <r>
      <rPr>
        <sz val="10"/>
        <rFont val="Arial"/>
        <family val="0"/>
        <charset val="1"/>
      </rPr>
      <t xml:space="preserve">-200W+4AH</t>
    </r>
    <r>
      <rPr>
        <sz val="10"/>
        <rFont val="WenQuanYi Zen Hei"/>
        <family val="2"/>
      </rPr>
      <t xml:space="preserve">电池包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座充（美规）</t>
    </r>
  </si>
  <si>
    <t xml:space="preserve">B0FF33N9WT</t>
  </si>
  <si>
    <r>
      <rPr>
        <sz val="10"/>
        <rFont val="WenQuanYi Zen Hei"/>
        <family val="2"/>
      </rPr>
      <t xml:space="preserve">组合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得伟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车载逆变器</t>
    </r>
    <r>
      <rPr>
        <sz val="10"/>
        <rFont val="Arial"/>
        <family val="0"/>
        <charset val="1"/>
      </rPr>
      <t xml:space="preserve">-300W-2</t>
    </r>
    <r>
      <rPr>
        <sz val="10"/>
        <rFont val="WenQuanYi Zen Hei"/>
        <family val="2"/>
      </rPr>
      <t xml:space="preserve">个装</t>
    </r>
  </si>
  <si>
    <t xml:space="preserve">B0FF34YY91</t>
  </si>
  <si>
    <t xml:space="preserve">B0DGFQYJL6</t>
  </si>
  <si>
    <t xml:space="preserve">B0DRVS8P1D</t>
  </si>
  <si>
    <t xml:space="preserve">B0DSS2BJLP</t>
  </si>
  <si>
    <t xml:space="preserve">B0F9FPQ7QM</t>
  </si>
  <si>
    <t xml:space="preserve">B0DGT8Q4BQ</t>
  </si>
  <si>
    <t xml:space="preserve">B0FF2ZCH2T</t>
  </si>
  <si>
    <t xml:space="preserve">B0FF358VHG</t>
  </si>
  <si>
    <t xml:space="preserve">B0FH4Y3NF1</t>
  </si>
  <si>
    <r>
      <rPr>
        <sz val="10"/>
        <rFont val="WenQuanYi Zen Hei"/>
        <family val="2"/>
      </rPr>
      <t xml:space="preserve">组合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牧田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车载逆变器</t>
    </r>
    <r>
      <rPr>
        <sz val="10"/>
        <rFont val="Arial"/>
        <family val="0"/>
        <charset val="1"/>
      </rPr>
      <t xml:space="preserve">-300W</t>
    </r>
  </si>
  <si>
    <t xml:space="preserve">B0FDQC9491</t>
  </si>
  <si>
    <t xml:space="preserve">B0FLJHB244</t>
  </si>
  <si>
    <t xml:space="preserve">B0H44FVSWW</t>
  </si>
  <si>
    <r>
      <rPr>
        <sz val="10"/>
        <rFont val="WenQuanYi Zen Hei"/>
        <family val="2"/>
      </rPr>
      <t xml:space="preserve">工匠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逆变器</t>
    </r>
    <r>
      <rPr>
        <sz val="10"/>
        <rFont val="Arial"/>
        <family val="0"/>
        <charset val="1"/>
      </rPr>
      <t xml:space="preserve">-200W-</t>
    </r>
    <r>
      <rPr>
        <sz val="10"/>
        <rFont val="WenQuanYi Zen Hei"/>
        <family val="2"/>
      </rPr>
      <t xml:space="preserve">美规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红黑</t>
    </r>
  </si>
  <si>
    <r>
      <rPr>
        <b val="true"/>
        <sz val="14"/>
        <rFont val="Arial"/>
        <family val="0"/>
        <charset val="1"/>
      </rPr>
      <t xml:space="preserve">SPU </t>
    </r>
    <r>
      <rPr>
        <b val="true"/>
        <sz val="14"/>
        <rFont val="WenQuanYi Zen Hei"/>
        <family val="2"/>
      </rPr>
      <t xml:space="preserve">价格监控（美国站）</t>
    </r>
  </si>
  <si>
    <r>
      <rPr>
        <i val="true"/>
        <sz val="9"/>
        <color rgb="FF666666"/>
        <rFont val="WenQuanYi Zen Hei"/>
        <family val="2"/>
      </rPr>
      <t xml:space="preserve">成交均价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销售额 </t>
    </r>
    <r>
      <rPr>
        <i val="true"/>
        <sz val="9"/>
        <color rgb="FF666666"/>
        <rFont val="Arial"/>
        <family val="0"/>
        <charset val="1"/>
      </rPr>
      <t xml:space="preserve">÷ </t>
    </r>
    <r>
      <rPr>
        <i val="true"/>
        <sz val="9"/>
        <color rgb="FF666666"/>
        <rFont val="WenQuanYi Zen Hei"/>
        <family val="2"/>
      </rPr>
      <t xml:space="preserve">销量（含促销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优惠券后实收）；挂牌价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各 </t>
    </r>
    <r>
      <rPr>
        <i val="true"/>
        <sz val="9"/>
        <color rgb="FF666666"/>
        <rFont val="Arial"/>
        <family val="0"/>
        <charset val="1"/>
      </rPr>
      <t xml:space="preserve">ASIN×</t>
    </r>
    <r>
      <rPr>
        <i val="true"/>
        <sz val="9"/>
        <color rgb="FF666666"/>
        <rFont val="WenQuanYi Zen Hei"/>
        <family val="2"/>
      </rPr>
      <t xml:space="preserve">店铺 当天最低在售价的中位数（衡量标价调整）。黄色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WenQuanYi Zen Hei"/>
        <family val="2"/>
      </rPr>
      <t xml:space="preserve">较上周变动 ≥ 价格变动阈值（见总览）。</t>
    </r>
  </si>
  <si>
    <t xml:space="preserve">周成交均价</t>
  </si>
  <si>
    <t xml:space="preserve">周挂牌价</t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</si>
  <si>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月成交均价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</si>
  <si>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月成交均价</t>
    </r>
  </si>
  <si>
    <r>
      <rPr>
        <b val="true"/>
        <sz val="10"/>
        <color rgb="FFFFFFFF"/>
        <rFont val="WenQuanYi Zen Hei"/>
        <family val="2"/>
      </rPr>
      <t xml:space="preserve">近</t>
    </r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天成交均价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</si>
  <si>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月挂牌价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</si>
  <si>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月挂牌价</t>
    </r>
  </si>
  <si>
    <t xml:space="preserve">挂牌价环比</t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</si>
  <si>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月日均销量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</si>
  <si>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月日均销量</t>
    </r>
  </si>
  <si>
    <t xml:space="preserve">09/01-09/06</t>
  </si>
  <si>
    <t xml:space="preserve">09/07-09/13</t>
  </si>
  <si>
    <t xml:space="preserve">09/14-09/20</t>
  </si>
  <si>
    <t xml:space="preserve">09/21-09/27</t>
  </si>
  <si>
    <t xml:space="preserve">09/28-10/04</t>
  </si>
  <si>
    <t xml:space="preserve">10/05-10/11</t>
  </si>
  <si>
    <t xml:space="preserve">10/12-10/18</t>
  </si>
  <si>
    <t xml:space="preserve">10/19-10/25</t>
  </si>
  <si>
    <t xml:space="preserve">10/26-10/26</t>
  </si>
  <si>
    <r>
      <rPr>
        <i val="true"/>
        <sz val="9"/>
        <color rgb="FF666666"/>
        <rFont val="WenQuanYi Zen Hei"/>
        <family val="2"/>
      </rPr>
      <t xml:space="preserve">环比列：红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WenQuanYi Zen Hei"/>
        <family val="2"/>
      </rPr>
      <t xml:space="preserve">涨价、绿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WenQuanYi Zen Hei"/>
        <family val="2"/>
      </rPr>
      <t xml:space="preserve">降价（≥阈值）；日均销量环比≤</t>
    </r>
    <r>
      <rPr>
        <i val="true"/>
        <sz val="9"/>
        <color rgb="FF666666"/>
        <rFont val="Arial"/>
        <family val="0"/>
        <charset val="1"/>
      </rPr>
      <t xml:space="preserve">-20% </t>
    </r>
    <r>
      <rPr>
        <i val="true"/>
        <sz val="9"/>
        <color rgb="FF666666"/>
        <rFont val="WenQuanYi Zen Hei"/>
        <family val="2"/>
      </rPr>
      <t xml:space="preserve">标黄。成交均价受促销</t>
    </r>
    <r>
      <rPr>
        <i val="true"/>
        <sz val="9"/>
        <color rgb="FF666666"/>
        <rFont val="Arial"/>
        <family val="0"/>
        <charset val="1"/>
      </rPr>
      <t xml:space="preserve">/Coupon/</t>
    </r>
    <r>
      <rPr>
        <i val="true"/>
        <sz val="9"/>
        <color rgb="FF666666"/>
        <rFont val="WenQuanYi Zen Hei"/>
        <family val="2"/>
      </rPr>
      <t xml:space="preserve">秒杀影响，挂牌价反映主动调价。</t>
    </r>
  </si>
  <si>
    <r>
      <rPr>
        <b val="true"/>
        <sz val="10"/>
        <rFont val="WenQuanYi Zen Hei"/>
        <family val="2"/>
      </rPr>
      <t xml:space="preserve">图表数据（周成交均价，主力 </t>
    </r>
    <r>
      <rPr>
        <b val="true"/>
        <sz val="10"/>
        <rFont val="Arial"/>
        <family val="0"/>
        <charset val="1"/>
      </rPr>
      <t xml:space="preserve">SPU</t>
    </r>
    <r>
      <rPr>
        <b val="true"/>
        <sz val="10"/>
        <rFont val="WenQuanYi Zen Hei"/>
        <family val="2"/>
      </rPr>
      <t xml:space="preserve">）</t>
    </r>
  </si>
  <si>
    <t xml:space="preserve">周</t>
  </si>
  <si>
    <r>
      <rPr>
        <b val="true"/>
        <sz val="14"/>
        <rFont val="Arial"/>
        <family val="0"/>
        <charset val="1"/>
      </rPr>
      <t xml:space="preserve">ASIN×</t>
    </r>
    <r>
      <rPr>
        <b val="true"/>
        <sz val="14"/>
        <rFont val="WenQuanYi Zen Hei"/>
        <family val="2"/>
      </rPr>
      <t xml:space="preserve">店铺 挂牌价变动明细（美国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WenQuanYi Zen Hei"/>
        <family val="2"/>
      </rPr>
      <t xml:space="preserve">加拿大，日环比变动 ≥ </t>
    </r>
    <r>
      <rPr>
        <b val="true"/>
        <sz val="14"/>
        <rFont val="Arial"/>
        <family val="0"/>
        <charset val="1"/>
      </rPr>
      <t xml:space="preserve">5%</t>
    </r>
    <r>
      <rPr>
        <b val="true"/>
        <sz val="14"/>
        <rFont val="WenQuanYi Zen Hei"/>
        <family val="2"/>
      </rPr>
      <t xml:space="preserve">）</t>
    </r>
  </si>
  <si>
    <r>
      <rPr>
        <i val="true"/>
        <sz val="9"/>
        <color rgb="FF666666"/>
        <rFont val="WenQuanYi Zen Hei"/>
        <family val="2"/>
      </rPr>
      <t xml:space="preserve">挂牌价取当天最低在售价；“后</t>
    </r>
    <r>
      <rPr>
        <i val="true"/>
        <sz val="9"/>
        <color rgb="FF666666"/>
        <rFont val="Arial"/>
        <family val="0"/>
        <charset val="1"/>
      </rPr>
      <t xml:space="preserve">7</t>
    </r>
    <r>
      <rPr>
        <i val="true"/>
        <sz val="9"/>
        <color rgb="FF666666"/>
        <rFont val="WenQuanYi Zen Hei"/>
        <family val="2"/>
      </rPr>
      <t xml:space="preserve">天”含变价当天。用于核对调价是否带来销量变化。</t>
    </r>
  </si>
  <si>
    <t xml:space="preserve">店铺</t>
  </si>
  <si>
    <t xml:space="preserve">日期</t>
  </si>
  <si>
    <t xml:space="preserve">前一日挂牌价</t>
  </si>
  <si>
    <t xml:space="preserve">当日挂牌价</t>
  </si>
  <si>
    <t xml:space="preserve">变动幅度</t>
  </si>
  <si>
    <r>
      <rPr>
        <b val="true"/>
        <sz val="10"/>
        <color rgb="FFFFFFFF"/>
        <rFont val="WenQuanYi Zen Hei"/>
        <family val="2"/>
      </rPr>
      <t xml:space="preserve">前</t>
    </r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天日均销量</t>
    </r>
  </si>
  <si>
    <r>
      <rPr>
        <b val="true"/>
        <sz val="10"/>
        <color rgb="FFFFFFFF"/>
        <rFont val="WenQuanYi Zen Hei"/>
        <family val="2"/>
      </rPr>
      <t xml:space="preserve">后</t>
    </r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天日均销量</t>
    </r>
  </si>
  <si>
    <t xml:space="preserve">销量变化</t>
  </si>
  <si>
    <t xml:space="preserve">HK8-CA</t>
  </si>
  <si>
    <t xml:space="preserve">2026-10-11</t>
  </si>
  <si>
    <t xml:space="preserve">2026-10-25</t>
  </si>
  <si>
    <t xml:space="preserve">HK8-US</t>
  </si>
  <si>
    <t xml:space="preserve">2026-09-22</t>
  </si>
  <si>
    <t xml:space="preserve">2026-09-26</t>
  </si>
  <si>
    <t xml:space="preserve">2026-10-06</t>
  </si>
  <si>
    <t xml:space="preserve">2026-09-08</t>
  </si>
  <si>
    <t xml:space="preserve">HK5-US</t>
  </si>
  <si>
    <t xml:space="preserve">2026-10-13</t>
  </si>
  <si>
    <t xml:space="preserve">2026-10-08</t>
  </si>
  <si>
    <t xml:space="preserve">2026-09-04</t>
  </si>
  <si>
    <t xml:space="preserve">2026-09-06</t>
  </si>
  <si>
    <t xml:space="preserve">2026-09-07</t>
  </si>
  <si>
    <t xml:space="preserve">2026-09-19</t>
  </si>
  <si>
    <t xml:space="preserve">2026-10-03</t>
  </si>
  <si>
    <t xml:space="preserve">2026-09-29</t>
  </si>
  <si>
    <t xml:space="preserve">AMZ8-CA</t>
  </si>
  <si>
    <t xml:space="preserve">2026-10-09</t>
  </si>
  <si>
    <t xml:space="preserve">2026-09-11</t>
  </si>
  <si>
    <t xml:space="preserve">2026-09-12</t>
  </si>
  <si>
    <t xml:space="preserve">2026-09-13</t>
  </si>
  <si>
    <t xml:space="preserve">2026-09-16</t>
  </si>
  <si>
    <t xml:space="preserve">2026-09-28</t>
  </si>
  <si>
    <t xml:space="preserve">2026-10-14</t>
  </si>
  <si>
    <t xml:space="preserve">2026-10-22</t>
  </si>
  <si>
    <t xml:space="preserve">2026-09-10</t>
  </si>
  <si>
    <t xml:space="preserve">2026-09-18</t>
  </si>
  <si>
    <t xml:space="preserve">2026-10-10</t>
  </si>
  <si>
    <t xml:space="preserve">2026-10-07</t>
  </si>
  <si>
    <t xml:space="preserve">2026-09-24</t>
  </si>
  <si>
    <t xml:space="preserve">2026-09-23</t>
  </si>
  <si>
    <t xml:space="preserve">2026-10-12</t>
  </si>
  <si>
    <t xml:space="preserve">2026-09-17</t>
  </si>
  <si>
    <t xml:space="preserve">2026-10-01</t>
  </si>
  <si>
    <t xml:space="preserve">2026-09-30</t>
  </si>
  <si>
    <t xml:space="preserve">2026-09-21</t>
  </si>
  <si>
    <t xml:space="preserve">2026-10-18</t>
  </si>
  <si>
    <t xml:space="preserve">2026-09-25</t>
  </si>
  <si>
    <t xml:space="preserve">2026-10-04</t>
  </si>
  <si>
    <t xml:space="preserve">2026-10-05</t>
  </si>
  <si>
    <t xml:space="preserve">2026-09-02</t>
  </si>
  <si>
    <t xml:space="preserve">2026-10-17</t>
  </si>
  <si>
    <t xml:space="preserve">2026-10-23</t>
  </si>
  <si>
    <r>
      <rPr>
        <b val="true"/>
        <sz val="14"/>
        <rFont val="Arial"/>
        <family val="0"/>
        <charset val="1"/>
      </rPr>
      <t xml:space="preserve">SPU </t>
    </r>
    <r>
      <rPr>
        <b val="true"/>
        <sz val="14"/>
        <rFont val="WenQuanYi Zen Hei"/>
        <family val="2"/>
      </rPr>
      <t xml:space="preserve">日成交均价（美国站，销售额</t>
    </r>
    <r>
      <rPr>
        <b val="true"/>
        <sz val="14"/>
        <rFont val="Arial"/>
        <family val="0"/>
        <charset val="1"/>
      </rPr>
      <t xml:space="preserve">÷</t>
    </r>
    <r>
      <rPr>
        <b val="true"/>
        <sz val="14"/>
        <rFont val="WenQuanYi Zen Hei"/>
        <family val="2"/>
      </rPr>
      <t xml:space="preserve">销量；无销量日为空）</t>
    </r>
  </si>
  <si>
    <t xml:space="preserve">2026-09-01</t>
  </si>
  <si>
    <t xml:space="preserve">2026-09-03</t>
  </si>
  <si>
    <t xml:space="preserve">2026-09-05</t>
  </si>
  <si>
    <t xml:space="preserve">2026-09-09</t>
  </si>
  <si>
    <t xml:space="preserve">2026-09-14</t>
  </si>
  <si>
    <t xml:space="preserve">2026-09-15</t>
  </si>
  <si>
    <t xml:space="preserve">2026-09-20</t>
  </si>
  <si>
    <t xml:space="preserve">2026-09-27</t>
  </si>
  <si>
    <t xml:space="preserve">2026-10-02</t>
  </si>
  <si>
    <t xml:space="preserve">2026-10-15</t>
  </si>
  <si>
    <t xml:space="preserve">2026-10-16</t>
  </si>
  <si>
    <t xml:space="preserve">2026-10-19</t>
  </si>
  <si>
    <t xml:space="preserve">2026-10-20</t>
  </si>
  <si>
    <t xml:space="preserve">2026-10-21</t>
  </si>
  <si>
    <t xml:space="preserve">2026-10-24</t>
  </si>
  <si>
    <t xml:space="preserve">2026-10-26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</si>
</sst>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-0.0%;\-"/>
    <numFmt numFmtId="166" formatCode="\$#,##0;&quot;($&quot;#,##0\);\-"/>
    <numFmt numFmtId="167" formatCode="\$#,##0.00;&quot;($&quot;#,##0.00\);\-"/>
    <numFmt numFmtId="168" formatCode="\+0.0%;\-0.0%;\-"/>
    <numFmt numFmtId="169" formatCode="#,##0.0;\(#,##0.0\);\-"/>
    <numFmt numFmtId="170" formatCode="#,##0;\(#,##0\);\-"/>
    <numFmt numFmtId="171" formatCode="\$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666666"/>
      <name val="WenQuanYi Zen Hei"/>
      <family val="2"/>
    </font>
    <font>
      <i val="true"/>
      <sz val="9"/>
      <color rgb="FF666666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1"/>
      <color theme="1"/>
      <name val="WenQuanYi Zen Hei"/>
      <family val="2"/>
    </font>
    <font>
      <sz val="10"/>
      <color rgb="FF008000"/>
      <name val="Arial"/>
      <family val="0"/>
      <charset val="1"/>
    </font>
    <font>
      <b val="true"/>
      <sz val="10"/>
      <color rgb="FF9C0006"/>
      <name val="WenQuanYi Zen Hei"/>
      <family val="2"/>
    </font>
    <font>
      <b val="true"/>
      <sz val="10"/>
      <color rgb="FF9C0006"/>
      <name val="Arial"/>
      <family val="0"/>
      <charset val="1"/>
    </font>
    <font>
      <sz val="10"/>
      <color rgb="FF9C5700"/>
      <name val="WenQuanYi Zen Hei"/>
      <family val="2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0066CC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30549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9C57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666666"/>
      <rgbColor rgb="FF800080"/>
      <rgbColor rgb="FF008080"/>
      <rgbColor rgb="FFBFBFBF"/>
      <rgbColor rgb="FF878787"/>
      <rgbColor rgb="FF9999FF"/>
      <rgbColor rgb="FFBE4B48"/>
      <rgbColor rgb="FFE2EFDA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7CE"/>
      <rgbColor rgb="FF4A7EBB"/>
      <rgbColor rgb="FF46AAC4"/>
      <rgbColor rgb="FF98B855"/>
      <rgbColor rgb="FFFFCC00"/>
      <rgbColor rgb="FFF59240"/>
      <rgbColor rgb="FFFF6600"/>
      <rgbColor rgb="FF7D5FA0"/>
      <rgbColor rgb="FF969696"/>
      <rgbColor rgb="FF003366"/>
      <rgbColor rgb="FF339966"/>
      <rgbColor rgb="FF006100"/>
      <rgbColor rgb="FF333300"/>
      <rgbColor rgb="FF9C57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主力 SPU 周成交均价（&lt;$60 档）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SPU价格监控!B25</c:f>
              <c:strCache>
                <c:ptCount val="1"/>
                <c:pt idx="0">
                  <c:v>SPU07021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SPU价格监控!$A$26:$A$34</c:f>
              <c:strCache>
                <c:ptCount val="9"/>
                <c:pt idx="0">
                  <c:v>09/01-09/06</c:v>
                </c:pt>
                <c:pt idx="1">
                  <c:v>09/07-09/13</c:v>
                </c:pt>
                <c:pt idx="2">
                  <c:v>09/14-09/20</c:v>
                </c:pt>
                <c:pt idx="3">
                  <c:v>09/21-09/27</c:v>
                </c:pt>
                <c:pt idx="4">
                  <c:v>09/28-10/04</c:v>
                </c:pt>
                <c:pt idx="5">
                  <c:v>10/05-10/11</c:v>
                </c:pt>
                <c:pt idx="6">
                  <c:v>10/12-10/18</c:v>
                </c:pt>
                <c:pt idx="7">
                  <c:v>10/19-10/25</c:v>
                </c:pt>
                <c:pt idx="8">
                  <c:v>10/26-10/26</c:v>
                </c:pt>
              </c:strCache>
            </c:strRef>
          </c:cat>
          <c:val>
            <c:numRef>
              <c:f>SPU价格监控!$B$26:$B$34</c:f>
              <c:numCache>
                <c:formatCode>\$#,##0.00;"($"#,##0.00\);\-</c:formatCode>
                <c:ptCount val="9"/>
                <c:pt idx="0">
                  <c:v>31.8576497695853</c:v>
                </c:pt>
                <c:pt idx="1">
                  <c:v>24.5707543103448</c:v>
                </c:pt>
                <c:pt idx="2">
                  <c:v>23.285</c:v>
                </c:pt>
                <c:pt idx="3">
                  <c:v>30.1245619335347</c:v>
                </c:pt>
                <c:pt idx="4">
                  <c:v>31.6604347826087</c:v>
                </c:pt>
                <c:pt idx="5">
                  <c:v>32.4729853862213</c:v>
                </c:pt>
                <c:pt idx="6">
                  <c:v>26.5916897305171</c:v>
                </c:pt>
                <c:pt idx="7">
                  <c:v>26.2155129274395</c:v>
                </c:pt>
                <c:pt idx="8">
                  <c:v>20.99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SPU价格监控!C25</c:f>
              <c:strCache>
                <c:ptCount val="1"/>
                <c:pt idx="0">
                  <c:v>SPU07022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SPU价格监控!$A$26:$A$34</c:f>
              <c:strCache>
                <c:ptCount val="9"/>
                <c:pt idx="0">
                  <c:v>09/01-09/06</c:v>
                </c:pt>
                <c:pt idx="1">
                  <c:v>09/07-09/13</c:v>
                </c:pt>
                <c:pt idx="2">
                  <c:v>09/14-09/20</c:v>
                </c:pt>
                <c:pt idx="3">
                  <c:v>09/21-09/27</c:v>
                </c:pt>
                <c:pt idx="4">
                  <c:v>09/28-10/04</c:v>
                </c:pt>
                <c:pt idx="5">
                  <c:v>10/05-10/11</c:v>
                </c:pt>
                <c:pt idx="6">
                  <c:v>10/12-10/18</c:v>
                </c:pt>
                <c:pt idx="7">
                  <c:v>10/19-10/25</c:v>
                </c:pt>
                <c:pt idx="8">
                  <c:v>10/26-10/26</c:v>
                </c:pt>
              </c:strCache>
            </c:strRef>
          </c:cat>
          <c:val>
            <c:numRef>
              <c:f>SPU价格监控!$C$26:$C$34</c:f>
              <c:numCache>
                <c:formatCode>\$#,##0.00;"($"#,##0.00\);\-</c:formatCode>
                <c:ptCount val="9"/>
                <c:pt idx="0">
                  <c:v>34.4970860927152</c:v>
                </c:pt>
                <c:pt idx="1">
                  <c:v>24.8836577181208</c:v>
                </c:pt>
                <c:pt idx="2">
                  <c:v>24.5266016713092</c:v>
                </c:pt>
                <c:pt idx="3">
                  <c:v>30.215321888412</c:v>
                </c:pt>
                <c:pt idx="4">
                  <c:v>30.282389380531</c:v>
                </c:pt>
                <c:pt idx="5">
                  <c:v>30.6005013927577</c:v>
                </c:pt>
                <c:pt idx="6">
                  <c:v>26.2723920863309</c:v>
                </c:pt>
                <c:pt idx="7">
                  <c:v>24.1214070351759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SPU价格监控!D25</c:f>
              <c:strCache>
                <c:ptCount val="1"/>
                <c:pt idx="0">
                  <c:v>SPU50039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SPU价格监控!$A$26:$A$34</c:f>
              <c:strCache>
                <c:ptCount val="9"/>
                <c:pt idx="0">
                  <c:v>09/01-09/06</c:v>
                </c:pt>
                <c:pt idx="1">
                  <c:v>09/07-09/13</c:v>
                </c:pt>
                <c:pt idx="2">
                  <c:v>09/14-09/20</c:v>
                </c:pt>
                <c:pt idx="3">
                  <c:v>09/21-09/27</c:v>
                </c:pt>
                <c:pt idx="4">
                  <c:v>09/28-10/04</c:v>
                </c:pt>
                <c:pt idx="5">
                  <c:v>10/05-10/11</c:v>
                </c:pt>
                <c:pt idx="6">
                  <c:v>10/12-10/18</c:v>
                </c:pt>
                <c:pt idx="7">
                  <c:v>10/19-10/25</c:v>
                </c:pt>
                <c:pt idx="8">
                  <c:v>10/26-10/26</c:v>
                </c:pt>
              </c:strCache>
            </c:strRef>
          </c:cat>
          <c:val>
            <c:numRef>
              <c:f>SPU价格监控!$D$26:$D$34</c:f>
              <c:numCache>
                <c:formatCode>\$#,##0.00;"($"#,##0.00\);\-</c:formatCode>
                <c:ptCount val="9"/>
                <c:pt idx="0">
                  <c:v>43.3977981651376</c:v>
                </c:pt>
                <c:pt idx="1">
                  <c:v>39.2207692307692</c:v>
                </c:pt>
                <c:pt idx="2">
                  <c:v>39.0305882352941</c:v>
                </c:pt>
                <c:pt idx="3">
                  <c:v>42.9492173913044</c:v>
                </c:pt>
                <c:pt idx="4">
                  <c:v>42.7485227272727</c:v>
                </c:pt>
                <c:pt idx="5">
                  <c:v>39.1414534883721</c:v>
                </c:pt>
                <c:pt idx="6">
                  <c:v>42.9610126582279</c:v>
                </c:pt>
                <c:pt idx="7">
                  <c:v>43.4242105263158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SPU价格监控!E25</c:f>
              <c:strCache>
                <c:ptCount val="1"/>
                <c:pt idx="0">
                  <c:v>SPU07060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SPU价格监控!$A$26:$A$34</c:f>
              <c:strCache>
                <c:ptCount val="9"/>
                <c:pt idx="0">
                  <c:v>09/01-09/06</c:v>
                </c:pt>
                <c:pt idx="1">
                  <c:v>09/07-09/13</c:v>
                </c:pt>
                <c:pt idx="2">
                  <c:v>09/14-09/20</c:v>
                </c:pt>
                <c:pt idx="3">
                  <c:v>09/21-09/27</c:v>
                </c:pt>
                <c:pt idx="4">
                  <c:v>09/28-10/04</c:v>
                </c:pt>
                <c:pt idx="5">
                  <c:v>10/05-10/11</c:v>
                </c:pt>
                <c:pt idx="6">
                  <c:v>10/12-10/18</c:v>
                </c:pt>
                <c:pt idx="7">
                  <c:v>10/19-10/25</c:v>
                </c:pt>
                <c:pt idx="8">
                  <c:v>10/26-10/26</c:v>
                </c:pt>
              </c:strCache>
            </c:strRef>
          </c:cat>
          <c:val>
            <c:numRef>
              <c:f>SPU价格监控!$E$26:$E$34</c:f>
              <c:numCache>
                <c:formatCode>\$#,##0.00;"($"#,##0.00\);\-</c:formatCode>
                <c:ptCount val="9"/>
                <c:pt idx="0">
                  <c:v>40.4572357723577</c:v>
                </c:pt>
                <c:pt idx="1">
                  <c:v>39.3800303030303</c:v>
                </c:pt>
                <c:pt idx="2">
                  <c:v>39.0611228070175</c:v>
                </c:pt>
                <c:pt idx="3">
                  <c:v>38.6795473251029</c:v>
                </c:pt>
                <c:pt idx="4">
                  <c:v>37.6197933884298</c:v>
                </c:pt>
                <c:pt idx="5">
                  <c:v>38.385078125</c:v>
                </c:pt>
                <c:pt idx="6">
                  <c:v>42.6428381962865</c:v>
                </c:pt>
                <c:pt idx="7">
                  <c:v>42.644967948718</c:v>
                </c:pt>
                <c:pt idx="8">
                  <c:v>36.99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SPU价格监控!F25</c:f>
              <c:strCache>
                <c:ptCount val="1"/>
                <c:pt idx="0">
                  <c:v>SPU07051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SPU价格监控!$A$26:$A$34</c:f>
              <c:strCache>
                <c:ptCount val="9"/>
                <c:pt idx="0">
                  <c:v>09/01-09/06</c:v>
                </c:pt>
                <c:pt idx="1">
                  <c:v>09/07-09/13</c:v>
                </c:pt>
                <c:pt idx="2">
                  <c:v>09/14-09/20</c:v>
                </c:pt>
                <c:pt idx="3">
                  <c:v>09/21-09/27</c:v>
                </c:pt>
                <c:pt idx="4">
                  <c:v>09/28-10/04</c:v>
                </c:pt>
                <c:pt idx="5">
                  <c:v>10/05-10/11</c:v>
                </c:pt>
                <c:pt idx="6">
                  <c:v>10/12-10/18</c:v>
                </c:pt>
                <c:pt idx="7">
                  <c:v>10/19-10/25</c:v>
                </c:pt>
                <c:pt idx="8">
                  <c:v>10/26-10/26</c:v>
                </c:pt>
              </c:strCache>
            </c:strRef>
          </c:cat>
          <c:val>
            <c:numRef>
              <c:f>SPU价格监控!$F$26:$F$34</c:f>
              <c:numCache>
                <c:formatCode>\$#,##0.00;"($"#,##0.00\);\-</c:formatCode>
                <c:ptCount val="9"/>
                <c:pt idx="0">
                  <c:v>35.107</c:v>
                </c:pt>
                <c:pt idx="1">
                  <c:v>33.0588288288288</c:v>
                </c:pt>
                <c:pt idx="2">
                  <c:v>35.0222935779817</c:v>
                </c:pt>
                <c:pt idx="3">
                  <c:v>36.1986075949367</c:v>
                </c:pt>
                <c:pt idx="4">
                  <c:v>36.190487804878</c:v>
                </c:pt>
                <c:pt idx="5">
                  <c:v>32.39208</c:v>
                </c:pt>
                <c:pt idx="6">
                  <c:v>32.5910714285714</c:v>
                </c:pt>
                <c:pt idx="7">
                  <c:v>35.8781553398058</c:v>
                </c:pt>
                <c:pt idx="8">
                  <c:v>32.39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SPU价格监控!I25</c:f>
              <c:strCache>
                <c:ptCount val="1"/>
                <c:pt idx="0">
                  <c:v>SPU07116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SPU价格监控!$A$26:$A$34</c:f>
              <c:strCache>
                <c:ptCount val="9"/>
                <c:pt idx="0">
                  <c:v>09/01-09/06</c:v>
                </c:pt>
                <c:pt idx="1">
                  <c:v>09/07-09/13</c:v>
                </c:pt>
                <c:pt idx="2">
                  <c:v>09/14-09/20</c:v>
                </c:pt>
                <c:pt idx="3">
                  <c:v>09/21-09/27</c:v>
                </c:pt>
                <c:pt idx="4">
                  <c:v>09/28-10/04</c:v>
                </c:pt>
                <c:pt idx="5">
                  <c:v>10/05-10/11</c:v>
                </c:pt>
                <c:pt idx="6">
                  <c:v>10/12-10/18</c:v>
                </c:pt>
                <c:pt idx="7">
                  <c:v>10/19-10/25</c:v>
                </c:pt>
                <c:pt idx="8">
                  <c:v>10/26-10/26</c:v>
                </c:pt>
              </c:strCache>
            </c:strRef>
          </c:cat>
          <c:val>
            <c:numRef>
              <c:f>SPU价格监控!$I$26:$I$34</c:f>
              <c:numCache>
                <c:formatCode>\$#,##0.00;"($"#,##0.00\);\-</c:formatCode>
                <c:ptCount val="9"/>
                <c:pt idx="0">
                  <c:v>69.99</c:v>
                </c:pt>
                <c:pt idx="1">
                  <c:v>55.49</c:v>
                </c:pt>
                <c:pt idx="2">
                  <c:v>46.79</c:v>
                </c:pt>
                <c:pt idx="3">
                  <c:v>45.69</c:v>
                </c:pt>
                <c:pt idx="4">
                  <c:v>47.3233333333333</c:v>
                </c:pt>
                <c:pt idx="5">
                  <c:v>54.59</c:v>
                </c:pt>
                <c:pt idx="6">
                  <c:v>66.99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430352"/>
        <c:axId val="42852622"/>
      </c:lineChart>
      <c:catAx>
        <c:axId val="7343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52622"/>
        <c:crosses val="autoZero"/>
        <c:auto val="1"/>
        <c:lblAlgn val="ctr"/>
        <c:lblOffset val="100"/>
        <c:noMultiLvlLbl val="0"/>
      </c:catAx>
      <c:valAx>
        <c:axId val="428526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303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550W SPU 周成交均价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SPU价格监控!G25</c:f>
              <c:strCache>
                <c:ptCount val="1"/>
                <c:pt idx="0">
                  <c:v>SPU07120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SPU价格监控!$A$26:$A$34</c:f>
              <c:strCache>
                <c:ptCount val="9"/>
                <c:pt idx="0">
                  <c:v>09/01-09/06</c:v>
                </c:pt>
                <c:pt idx="1">
                  <c:v>09/07-09/13</c:v>
                </c:pt>
                <c:pt idx="2">
                  <c:v>09/14-09/20</c:v>
                </c:pt>
                <c:pt idx="3">
                  <c:v>09/21-09/27</c:v>
                </c:pt>
                <c:pt idx="4">
                  <c:v>09/28-10/04</c:v>
                </c:pt>
                <c:pt idx="5">
                  <c:v>10/05-10/11</c:v>
                </c:pt>
                <c:pt idx="6">
                  <c:v>10/12-10/18</c:v>
                </c:pt>
                <c:pt idx="7">
                  <c:v>10/19-10/25</c:v>
                </c:pt>
                <c:pt idx="8">
                  <c:v>10/26-10/26</c:v>
                </c:pt>
              </c:strCache>
            </c:strRef>
          </c:cat>
          <c:val>
            <c:numRef>
              <c:f>SPU价格监控!$G$26:$G$34</c:f>
              <c:numCache>
                <c:formatCode>\$#,##0.00;"($"#,##0.00\);\-</c:formatCode>
                <c:ptCount val="9"/>
                <c:pt idx="0">
                  <c:v>113.356666666667</c:v>
                </c:pt>
                <c:pt idx="1">
                  <c:v>90.615625</c:v>
                </c:pt>
                <c:pt idx="2">
                  <c:v>93.1478947368421</c:v>
                </c:pt>
                <c:pt idx="3">
                  <c:v>87.4536585365853</c:v>
                </c:pt>
                <c:pt idx="4">
                  <c:v>89.7341860465116</c:v>
                </c:pt>
                <c:pt idx="5">
                  <c:v>99.8627272727273</c:v>
                </c:pt>
                <c:pt idx="6">
                  <c:v>106.9075</c:v>
                </c:pt>
                <c:pt idx="7">
                  <c:v>106.7975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SPU价格监控!H25</c:f>
              <c:strCache>
                <c:ptCount val="1"/>
                <c:pt idx="0">
                  <c:v>SPU07121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SPU价格监控!$A$26:$A$34</c:f>
              <c:strCache>
                <c:ptCount val="9"/>
                <c:pt idx="0">
                  <c:v>09/01-09/06</c:v>
                </c:pt>
                <c:pt idx="1">
                  <c:v>09/07-09/13</c:v>
                </c:pt>
                <c:pt idx="2">
                  <c:v>09/14-09/20</c:v>
                </c:pt>
                <c:pt idx="3">
                  <c:v>09/21-09/27</c:v>
                </c:pt>
                <c:pt idx="4">
                  <c:v>09/28-10/04</c:v>
                </c:pt>
                <c:pt idx="5">
                  <c:v>10/05-10/11</c:v>
                </c:pt>
                <c:pt idx="6">
                  <c:v>10/12-10/18</c:v>
                </c:pt>
                <c:pt idx="7">
                  <c:v>10/19-10/25</c:v>
                </c:pt>
                <c:pt idx="8">
                  <c:v>10/26-10/26</c:v>
                </c:pt>
              </c:strCache>
            </c:strRef>
          </c:cat>
          <c:val>
            <c:numRef>
              <c:f>SPU价格监控!$H$26:$H$34</c:f>
              <c:numCache>
                <c:formatCode>\$#,##0.00;"($"#,##0.00\);\-</c:formatCode>
                <c:ptCount val="9"/>
                <c:pt idx="0">
                  <c:v>110.0625</c:v>
                </c:pt>
                <c:pt idx="1">
                  <c:v>96.9130769230769</c:v>
                </c:pt>
                <c:pt idx="2">
                  <c:v>93.6958823529412</c:v>
                </c:pt>
                <c:pt idx="3">
                  <c:v>90.0117391304348</c:v>
                </c:pt>
                <c:pt idx="4">
                  <c:v>89.6037254901961</c:v>
                </c:pt>
                <c:pt idx="5">
                  <c:v>92.2848275862069</c:v>
                </c:pt>
                <c:pt idx="6">
                  <c:v>104.432692307692</c:v>
                </c:pt>
                <c:pt idx="7">
                  <c:v>101.995</c:v>
                </c:pt>
                <c:pt idx="8">
                  <c:v>89.99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03119"/>
        <c:axId val="26351536"/>
      </c:lineChart>
      <c:catAx>
        <c:axId val="520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51536"/>
        <c:crosses val="autoZero"/>
        <c:auto val="1"/>
        <c:lblAlgn val="ctr"/>
        <c:lblOffset val="100"/>
        <c:noMultiLvlLbl val="0"/>
      </c:catAx>
      <c:valAx>
        <c:axId val="263515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31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22</xdr:row>
      <xdr:rowOff>134640</xdr:rowOff>
    </xdr:from>
    <xdr:to>
      <xdr:col>22</xdr:col>
      <xdr:colOff>221400</xdr:colOff>
      <xdr:row>37</xdr:row>
      <xdr:rowOff>156600</xdr:rowOff>
    </xdr:to>
    <xdr:graphicFrame>
      <xdr:nvGraphicFramePr>
        <xdr:cNvPr id="0" name="Chart 1"/>
        <xdr:cNvGraphicFramePr/>
      </xdr:nvGraphicFramePr>
      <xdr:xfrm>
        <a:off x="11418480" y="457200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40</xdr:row>
      <xdr:rowOff>134640</xdr:rowOff>
    </xdr:from>
    <xdr:to>
      <xdr:col>22</xdr:col>
      <xdr:colOff>221400</xdr:colOff>
      <xdr:row>55</xdr:row>
      <xdr:rowOff>156600</xdr:rowOff>
    </xdr:to>
    <xdr:graphicFrame>
      <xdr:nvGraphicFramePr>
        <xdr:cNvPr id="1" name="Chart 2"/>
        <xdr:cNvGraphicFramePr/>
      </xdr:nvGraphicFramePr>
      <xdr:xfrm>
        <a:off x="11418480" y="800100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  <col collapsed="false" customWidth="true" hidden="false" outlineLevel="0" max="9" min="6" style="0" width="13"/>
  </cols>
  <sheetData>
    <row r="1" customFormat="false" ht="19.4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4" t="s">
        <v>2</v>
      </c>
      <c r="B4" s="2"/>
      <c r="C4" s="2"/>
      <c r="D4" s="2"/>
      <c r="E4" s="2"/>
      <c r="F4" s="4" t="s">
        <v>3</v>
      </c>
      <c r="G4" s="2"/>
      <c r="H4" s="2"/>
      <c r="I4" s="2"/>
    </row>
    <row r="5" customFormat="false" ht="15" hidden="false" customHeight="false" outlineLevel="0" collapsed="false">
      <c r="A5" s="5" t="s">
        <v>4</v>
      </c>
      <c r="B5" s="6" t="n">
        <v>0.5</v>
      </c>
      <c r="C5" s="7" t="s">
        <v>5</v>
      </c>
      <c r="D5" s="2"/>
      <c r="E5" s="2"/>
      <c r="F5" s="8" t="s">
        <v>6</v>
      </c>
      <c r="G5" s="9" t="s">
        <v>7</v>
      </c>
      <c r="H5" s="9" t="s">
        <v>8</v>
      </c>
      <c r="I5" s="9" t="s">
        <v>9</v>
      </c>
    </row>
    <row r="6" customFormat="false" ht="15" hidden="false" customHeight="false" outlineLevel="0" collapsed="false">
      <c r="A6" s="5" t="s">
        <v>10</v>
      </c>
      <c r="B6" s="6" t="n">
        <v>0.25</v>
      </c>
      <c r="C6" s="7" t="s">
        <v>11</v>
      </c>
      <c r="D6" s="2"/>
      <c r="E6" s="2"/>
      <c r="F6" s="10" t="s">
        <v>12</v>
      </c>
      <c r="G6" s="10" t="n">
        <f aca="false">COUNTIF(广告跑飞ASIN!$A$5:$A$21,F6)</f>
        <v>13</v>
      </c>
      <c r="H6" s="11" t="n">
        <f aca="false">SUMIF(广告跑飞ASIN!$A$5:$A$21,F6,广告跑飞ASIN!$F$5:$F$21)</f>
        <v>10957.66</v>
      </c>
      <c r="I6" s="11" t="n">
        <f aca="false">SUMIF(广告跑飞ASIN!$A$5:$A$21,F6,广告跑飞ASIN!$Q$5:$Q$21)</f>
        <v>4350.86857727446</v>
      </c>
    </row>
    <row r="7" customFormat="false" ht="15" hidden="false" customHeight="false" outlineLevel="0" collapsed="false">
      <c r="A7" s="5" t="s">
        <v>13</v>
      </c>
      <c r="B7" s="12" t="n">
        <v>1</v>
      </c>
      <c r="C7" s="7" t="s">
        <v>14</v>
      </c>
      <c r="D7" s="2"/>
      <c r="E7" s="2"/>
      <c r="F7" s="10" t="s">
        <v>15</v>
      </c>
      <c r="G7" s="10" t="n">
        <f aca="false">COUNTIF(广告跑飞ASIN!$A$5:$A$21,F7)</f>
        <v>4</v>
      </c>
      <c r="H7" s="11" t="n">
        <f aca="false">SUMIF(广告跑飞ASIN!$A$5:$A$21,F7,广告跑飞ASIN!$F$5:$F$21)</f>
        <v>6013.76</v>
      </c>
      <c r="I7" s="11" t="n">
        <f aca="false">SUMIF(广告跑飞ASIN!$A$5:$A$21,F7,广告跑飞ASIN!$Q$5:$Q$21)</f>
        <v>870.658441619893</v>
      </c>
    </row>
    <row r="8" customFormat="false" ht="15" hidden="false" customHeight="false" outlineLevel="0" collapsed="false">
      <c r="A8" s="13" t="s">
        <v>16</v>
      </c>
      <c r="B8" s="6" t="n">
        <v>0.03</v>
      </c>
      <c r="C8" s="3" t="s">
        <v>17</v>
      </c>
      <c r="D8" s="2"/>
      <c r="E8" s="2"/>
      <c r="F8" s="10" t="s">
        <v>18</v>
      </c>
      <c r="G8" s="10" t="n">
        <f aca="false">COUNTIF(广告跑飞ASIN!$A$5:$A$21,F8)</f>
        <v>0</v>
      </c>
      <c r="H8" s="11" t="n">
        <f aca="false">SUMIF(广告跑飞ASIN!$A$5:$A$21,F8,广告跑飞ASIN!$F$5:$F$21)</f>
        <v>0</v>
      </c>
      <c r="I8" s="11" t="n">
        <f aca="false">SUMIF(广告跑飞ASIN!$A$5:$A$21,F8,广告跑飞ASIN!$Q$5:$Q$21)</f>
        <v>0</v>
      </c>
    </row>
    <row r="9" customFormat="false" ht="15" hidden="false" customHeight="false" outlineLevel="0" collapsed="false">
      <c r="A9" s="13" t="s">
        <v>19</v>
      </c>
      <c r="B9" s="6" t="n">
        <v>0.5</v>
      </c>
      <c r="C9" s="7" t="s">
        <v>20</v>
      </c>
      <c r="D9" s="2"/>
      <c r="E9" s="2"/>
      <c r="F9" s="2"/>
      <c r="G9" s="2"/>
      <c r="H9" s="2"/>
      <c r="I9" s="2"/>
    </row>
    <row r="10" customFormat="false" ht="15" hidden="false" customHeight="false" outlineLevel="0" collapsed="false">
      <c r="A10" s="5" t="s">
        <v>21</v>
      </c>
      <c r="B10" s="6" t="n">
        <v>0.1</v>
      </c>
      <c r="C10" s="7" t="s">
        <v>22</v>
      </c>
      <c r="D10" s="2"/>
      <c r="E10" s="2"/>
      <c r="F10" s="3" t="s">
        <v>23</v>
      </c>
      <c r="G10" s="2"/>
      <c r="H10" s="2"/>
      <c r="I10" s="2"/>
    </row>
    <row r="11" customFormat="false" ht="15" hidden="false" customHeight="false" outlineLevel="0" collapsed="false">
      <c r="A11" s="13" t="s">
        <v>24</v>
      </c>
      <c r="B11" s="6" t="n">
        <v>0.05</v>
      </c>
      <c r="C11" s="7" t="s">
        <v>25</v>
      </c>
      <c r="D11" s="2"/>
      <c r="E11" s="2"/>
      <c r="F11" s="2"/>
      <c r="G11" s="2"/>
      <c r="H11" s="2"/>
      <c r="I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3" t="s">
        <v>26</v>
      </c>
      <c r="B13" s="2"/>
      <c r="C13" s="2"/>
      <c r="D13" s="2"/>
      <c r="E13" s="2"/>
      <c r="F13" s="2"/>
      <c r="G13" s="2"/>
      <c r="H13" s="2"/>
      <c r="I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15" hidden="false" customHeight="false" outlineLevel="0" collapsed="false">
      <c r="A15" s="4" t="s">
        <v>27</v>
      </c>
      <c r="B15" s="2"/>
      <c r="C15" s="2"/>
      <c r="D15" s="2"/>
      <c r="E15" s="2"/>
      <c r="F15" s="2"/>
      <c r="G15" s="2"/>
      <c r="H15" s="2"/>
      <c r="I15" s="2"/>
    </row>
    <row r="16" customFormat="false" ht="15" hidden="false" customHeight="false" outlineLevel="0" collapsed="false">
      <c r="A16" s="8" t="s">
        <v>28</v>
      </c>
      <c r="B16" s="9" t="s">
        <v>29</v>
      </c>
      <c r="C16" s="9" t="s">
        <v>30</v>
      </c>
      <c r="D16" s="8" t="s">
        <v>31</v>
      </c>
      <c r="E16" s="2"/>
      <c r="F16" s="2"/>
      <c r="G16" s="2"/>
      <c r="H16" s="2"/>
      <c r="I16" s="2"/>
    </row>
    <row r="17" customFormat="false" ht="15" hidden="false" customHeight="false" outlineLevel="0" collapsed="false">
      <c r="A17" s="14" t="s">
        <v>32</v>
      </c>
      <c r="B17" s="15" t="n">
        <f aca="false">SPU月度汇总!C21</f>
        <v>34165.36</v>
      </c>
      <c r="C17" s="15" t="n">
        <f aca="false">SPU月度汇总!X21</f>
        <v>32021.91</v>
      </c>
      <c r="D17" s="16" t="n">
        <f aca="false">IF(N(B17)=0,"",C17/B17-1)</f>
        <v>-0.0627375212788626</v>
      </c>
      <c r="E17" s="2"/>
      <c r="F17" s="2"/>
      <c r="G17" s="2"/>
      <c r="H17" s="2"/>
      <c r="I17" s="2"/>
    </row>
    <row r="18" customFormat="false" ht="15" hidden="false" customHeight="false" outlineLevel="0" collapsed="false">
      <c r="A18" s="14" t="s">
        <v>33</v>
      </c>
      <c r="B18" s="15" t="n">
        <f aca="false">SPU月度汇总!U21</f>
        <v>1138.84533333333</v>
      </c>
      <c r="C18" s="15" t="n">
        <f aca="false">SPU月度汇总!AP21</f>
        <v>1231.61192307692</v>
      </c>
      <c r="D18" s="16" t="n">
        <f aca="false">IF(N(B18)=0,"",C18/B18-1)</f>
        <v>0.0814567062166971</v>
      </c>
      <c r="E18" s="2"/>
      <c r="F18" s="2"/>
      <c r="G18" s="2"/>
      <c r="H18" s="2"/>
      <c r="I18" s="2"/>
    </row>
    <row r="19" customFormat="false" ht="15" hidden="false" customHeight="false" outlineLevel="0" collapsed="false">
      <c r="A19" s="14" t="s">
        <v>34</v>
      </c>
      <c r="B19" s="15" t="n">
        <f aca="false">SPU月度汇总!D21</f>
        <v>80180.77</v>
      </c>
      <c r="C19" s="15" t="n">
        <f aca="false">SPU月度汇总!Y21</f>
        <v>83159.75</v>
      </c>
      <c r="D19" s="16" t="n">
        <f aca="false">IF(N(B19)=0,"",C19/B19-1)</f>
        <v>0.0371532974801814</v>
      </c>
      <c r="E19" s="2"/>
      <c r="F19" s="2"/>
      <c r="G19" s="2"/>
      <c r="H19" s="2"/>
      <c r="I19" s="2"/>
    </row>
    <row r="20" customFormat="false" ht="15" hidden="false" customHeight="false" outlineLevel="0" collapsed="false">
      <c r="A20" s="14" t="s">
        <v>35</v>
      </c>
      <c r="B20" s="15" t="n">
        <f aca="false">SPU月度汇总!H21</f>
        <v>213471.15</v>
      </c>
      <c r="C20" s="15" t="n">
        <f aca="false">SPU月度汇总!AC21</f>
        <v>251392.03</v>
      </c>
      <c r="D20" s="16" t="n">
        <f aca="false">IF(N(B20)=0,"",C20/B20-1)</f>
        <v>0.177639367193178</v>
      </c>
      <c r="E20" s="2"/>
      <c r="F20" s="2"/>
      <c r="G20" s="2"/>
      <c r="H20" s="2"/>
      <c r="I20" s="2"/>
    </row>
    <row r="21" customFormat="false" ht="15" hidden="false" customHeight="false" outlineLevel="0" collapsed="false">
      <c r="A21" s="14" t="s">
        <v>36</v>
      </c>
      <c r="B21" s="17" t="n">
        <f aca="false">SPU月度汇总!V21</f>
        <v>202.133333333333</v>
      </c>
      <c r="C21" s="17" t="n">
        <f aca="false">SPU月度汇总!AQ21</f>
        <v>292.115384615385</v>
      </c>
      <c r="D21" s="16" t="n">
        <f aca="false">IF(N(B21)=0,"",C21/B21-1)</f>
        <v>0.445161863202761</v>
      </c>
      <c r="E21" s="2"/>
      <c r="F21" s="2"/>
      <c r="G21" s="2"/>
      <c r="H21" s="2"/>
      <c r="I21" s="2"/>
    </row>
    <row r="22" customFormat="false" ht="15" hidden="false" customHeight="false" outlineLevel="0" collapsed="false">
      <c r="A22" s="18" t="s">
        <v>37</v>
      </c>
      <c r="B22" s="19" t="n">
        <f aca="false">SPU月度汇总!M21</f>
        <v>0.426104164377568</v>
      </c>
      <c r="C22" s="19" t="n">
        <f aca="false">SPU月度汇总!AH21</f>
        <v>0.385065010416698</v>
      </c>
      <c r="D22" s="16" t="n">
        <f aca="false">C22-B22</f>
        <v>-0.0410391539608703</v>
      </c>
      <c r="E22" s="2"/>
      <c r="F22" s="2"/>
      <c r="G22" s="2"/>
      <c r="H22" s="2"/>
      <c r="I22" s="2"/>
    </row>
    <row r="23" customFormat="false" ht="15" hidden="false" customHeight="false" outlineLevel="0" collapsed="false">
      <c r="A23" s="18" t="s">
        <v>38</v>
      </c>
      <c r="B23" s="19" t="n">
        <f aca="false">SPU月度汇总!N21</f>
        <v>0.160046732310197</v>
      </c>
      <c r="C23" s="19" t="n">
        <f aca="false">SPU月度汇总!AI21</f>
        <v>0.127378381884263</v>
      </c>
      <c r="D23" s="16" t="n">
        <f aca="false">C23-B23</f>
        <v>-0.0326683504259348</v>
      </c>
      <c r="E23" s="2"/>
      <c r="F23" s="2"/>
      <c r="G23" s="2"/>
      <c r="H23" s="2"/>
      <c r="I23" s="2"/>
    </row>
    <row r="24" customFormat="false" ht="15" hidden="false" customHeight="false" outlineLevel="0" collapsed="false">
      <c r="A24" s="18" t="s">
        <v>39</v>
      </c>
      <c r="B24" s="20" t="n">
        <f aca="false">SPU月度汇总!P21</f>
        <v>0.753586695193771</v>
      </c>
      <c r="C24" s="20" t="n">
        <f aca="false">SPU月度汇总!AK21</f>
        <v>0.749804715854544</v>
      </c>
      <c r="D24" s="16" t="n">
        <f aca="false">IF(N(B24)=0,"",C24/B24-1)</f>
        <v>-0.00501863868264663</v>
      </c>
      <c r="E24" s="2"/>
      <c r="F24" s="2"/>
      <c r="G24" s="2"/>
      <c r="H24" s="2"/>
      <c r="I24" s="2"/>
    </row>
    <row r="25" customFormat="false" ht="15" hidden="false" customHeight="false" outlineLevel="0" collapsed="false">
      <c r="A25" s="18" t="s">
        <v>40</v>
      </c>
      <c r="B25" s="19" t="n">
        <f aca="false">SPU月度汇总!Q21</f>
        <v>0.00739677841968646</v>
      </c>
      <c r="C25" s="19" t="n">
        <f aca="false">SPU月度汇总!AL21</f>
        <v>0.00763809450226029</v>
      </c>
      <c r="D25" s="16" t="n">
        <f aca="false">C25-B25</f>
        <v>0.000241316082573834</v>
      </c>
      <c r="E25" s="2"/>
      <c r="F25" s="2"/>
      <c r="G25" s="2"/>
      <c r="H25" s="2"/>
      <c r="I25" s="2"/>
    </row>
    <row r="26" customFormat="false" ht="15" hidden="false" customHeight="false" outlineLevel="0" collapsed="false">
      <c r="A26" s="14" t="s">
        <v>41</v>
      </c>
      <c r="B26" s="19" t="n">
        <f aca="false">SPU月度汇总!R21</f>
        <v>0.0474888060524516</v>
      </c>
      <c r="C26" s="19" t="n">
        <f aca="false">SPU月度汇总!AM21</f>
        <v>0.0575549675697193</v>
      </c>
      <c r="D26" s="16" t="n">
        <f aca="false">C26-B26</f>
        <v>0.0100661615172676</v>
      </c>
      <c r="E26" s="2"/>
      <c r="F26" s="2"/>
      <c r="G26" s="2"/>
      <c r="H26" s="2"/>
      <c r="I26" s="2"/>
    </row>
    <row r="27" customFormat="false" ht="15" hidden="false" customHeight="false" outlineLevel="0" collapsed="false">
      <c r="A27" s="14" t="s">
        <v>42</v>
      </c>
      <c r="B27" s="19" t="n">
        <f aca="false">SPU月度汇总!S21</f>
        <v>0.385565902578797</v>
      </c>
      <c r="C27" s="19" t="n">
        <f aca="false">SPU月度汇总!AN21</f>
        <v>0.357527272727273</v>
      </c>
      <c r="D27" s="16" t="n">
        <f aca="false">C27-B27</f>
        <v>-0.0280386298515238</v>
      </c>
      <c r="E27" s="2"/>
      <c r="F27" s="2"/>
      <c r="G27" s="2"/>
      <c r="H27" s="2"/>
      <c r="I27" s="2"/>
    </row>
    <row r="28" customFormat="false" ht="15" hidden="false" customHeight="false" outlineLevel="0" collapsed="false">
      <c r="A28" s="14" t="s">
        <v>43</v>
      </c>
      <c r="B28" s="20" t="n">
        <f aca="false">SPU月度汇总!T21</f>
        <v>35.203026055409</v>
      </c>
      <c r="C28" s="20" t="n">
        <f aca="false">SPU月度汇总!AO21</f>
        <v>33.0996747860435</v>
      </c>
      <c r="D28" s="16" t="n">
        <f aca="false">IF(N(B28)=0,"",C28/B28-1)</f>
        <v>-0.0597491609401669</v>
      </c>
      <c r="E28" s="2"/>
      <c r="F28" s="2"/>
      <c r="G28" s="2"/>
      <c r="H28" s="2"/>
      <c r="I28" s="2"/>
    </row>
    <row r="29" customFormat="false" ht="15" hidden="false" customHeight="false" outlineLevel="0" collapsed="false">
      <c r="A29" s="14" t="s">
        <v>44</v>
      </c>
      <c r="B29" s="15" t="n">
        <f aca="false">SPU月度汇总!L21</f>
        <v>-25524.08</v>
      </c>
      <c r="C29" s="15" t="n">
        <f aca="false">SPU月度汇总!AG21</f>
        <v>4077.36</v>
      </c>
      <c r="D29" s="11" t="n">
        <f aca="false">C29-B29</f>
        <v>29601.44</v>
      </c>
      <c r="E29" s="2"/>
      <c r="F29" s="2"/>
      <c r="G29" s="2"/>
      <c r="H29" s="2"/>
      <c r="I29" s="2"/>
    </row>
    <row r="30" customFormat="false" ht="15" hidden="false" customHeight="false" outlineLevel="0" collapsed="false">
      <c r="A30" s="3" t="s">
        <v>45</v>
      </c>
      <c r="B30" s="2"/>
      <c r="C30" s="2"/>
      <c r="D30" s="2"/>
      <c r="E30" s="2"/>
      <c r="F30" s="2"/>
      <c r="G30" s="2"/>
      <c r="H30" s="2"/>
      <c r="I3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18" min="5" style="0" width="10"/>
    <col collapsed="false" customWidth="true" hidden="false" outlineLevel="0" max="19" min="19" style="0" width="40"/>
    <col collapsed="false" customWidth="true" hidden="false" outlineLevel="0" max="20" min="20" style="0" width="38"/>
    <col collapsed="false" customWidth="true" hidden="false" outlineLevel="0" max="21" min="21" style="0" width="40"/>
  </cols>
  <sheetData>
    <row r="1" customFormat="false" ht="19.4" hidden="false" customHeight="false" outlineLevel="0" collapsed="false">
      <c r="A1" s="1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48" hidden="false" customHeight="true" outlineLevel="0" collapsed="false">
      <c r="A2" s="21" t="s">
        <v>47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30" hidden="false" customHeight="true" outlineLevel="0" collapsed="false">
      <c r="A4" s="22" t="s">
        <v>6</v>
      </c>
      <c r="B4" s="23" t="s">
        <v>48</v>
      </c>
      <c r="C4" s="23" t="s">
        <v>49</v>
      </c>
      <c r="D4" s="22" t="s">
        <v>50</v>
      </c>
      <c r="E4" s="23" t="s">
        <v>51</v>
      </c>
      <c r="F4" s="23" t="s">
        <v>8</v>
      </c>
      <c r="G4" s="22" t="s">
        <v>52</v>
      </c>
      <c r="H4" s="22" t="s">
        <v>53</v>
      </c>
      <c r="I4" s="23" t="s">
        <v>54</v>
      </c>
      <c r="J4" s="23" t="s">
        <v>55</v>
      </c>
      <c r="K4" s="22" t="s">
        <v>56</v>
      </c>
      <c r="L4" s="23" t="s">
        <v>57</v>
      </c>
      <c r="M4" s="23" t="s">
        <v>58</v>
      </c>
      <c r="N4" s="23" t="s">
        <v>59</v>
      </c>
      <c r="O4" s="23" t="s">
        <v>60</v>
      </c>
      <c r="P4" s="23" t="s">
        <v>61</v>
      </c>
      <c r="Q4" s="23" t="s">
        <v>9</v>
      </c>
      <c r="R4" s="23" t="s">
        <v>62</v>
      </c>
      <c r="S4" s="22" t="s">
        <v>63</v>
      </c>
      <c r="T4" s="22" t="s">
        <v>64</v>
      </c>
      <c r="U4" s="22" t="s">
        <v>65</v>
      </c>
    </row>
    <row r="5" customFormat="false" ht="26.85" hidden="false" customHeight="false" outlineLevel="0" collapsed="false">
      <c r="A5" s="24" t="s">
        <v>12</v>
      </c>
      <c r="B5" s="18" t="s">
        <v>66</v>
      </c>
      <c r="C5" s="18" t="s">
        <v>67</v>
      </c>
      <c r="D5" s="25" t="s">
        <v>68</v>
      </c>
      <c r="E5" s="26" t="n">
        <v>2645.07</v>
      </c>
      <c r="F5" s="26" t="n">
        <v>3852.8</v>
      </c>
      <c r="G5" s="27" t="n">
        <v>0.680688398242187</v>
      </c>
      <c r="H5" s="26" t="n">
        <v>70.0528571428571</v>
      </c>
      <c r="I5" s="28" t="n">
        <v>0.482624165237383</v>
      </c>
      <c r="J5" s="28" t="n">
        <v>0.543299081011184</v>
      </c>
      <c r="K5" s="28" t="n">
        <v>0.50322746164503</v>
      </c>
      <c r="L5" s="28" t="n">
        <v>0.275179558089971</v>
      </c>
      <c r="M5" s="29" t="n">
        <v>0.682422600619195</v>
      </c>
      <c r="N5" s="29" t="n">
        <v>0.78039295118493</v>
      </c>
      <c r="O5" s="28" t="n">
        <v>0.0467895483086895</v>
      </c>
      <c r="P5" s="30" t="n">
        <v>231</v>
      </c>
      <c r="Q5" s="26" t="n">
        <v>1122.11532928009</v>
      </c>
      <c r="R5" s="26" t="n">
        <v>-1910.08</v>
      </c>
      <c r="S5" s="25" t="s">
        <v>69</v>
      </c>
      <c r="T5" s="31" t="s">
        <v>70</v>
      </c>
      <c r="U5" s="25" t="s">
        <v>71</v>
      </c>
    </row>
    <row r="6" customFormat="false" ht="26.85" hidden="false" customHeight="false" outlineLevel="0" collapsed="false">
      <c r="A6" s="24" t="s">
        <v>12</v>
      </c>
      <c r="B6" s="18" t="s">
        <v>72</v>
      </c>
      <c r="C6" s="18" t="s">
        <v>73</v>
      </c>
      <c r="D6" s="25" t="s">
        <v>74</v>
      </c>
      <c r="E6" s="26" t="n">
        <v>1799.96</v>
      </c>
      <c r="F6" s="26" t="n">
        <v>2071.66</v>
      </c>
      <c r="G6" s="27" t="n">
        <v>0.328016690969201</v>
      </c>
      <c r="H6" s="26" t="n">
        <v>71.3671428571429</v>
      </c>
      <c r="I6" s="28" t="n">
        <v>0.673123812658001</v>
      </c>
      <c r="J6" s="32" t="n">
        <v>0.816865199064709</v>
      </c>
      <c r="K6" s="32" t="n">
        <v>1.72909455904749</v>
      </c>
      <c r="L6" s="28" t="n">
        <v>0.407748492834691</v>
      </c>
      <c r="M6" s="29" t="n">
        <v>1.15530166880616</v>
      </c>
      <c r="N6" s="29" t="n">
        <v>1.09380147835269</v>
      </c>
      <c r="O6" s="28" t="n">
        <v>0.0337909186906019</v>
      </c>
      <c r="P6" s="30" t="n">
        <v>64</v>
      </c>
      <c r="Q6" s="26" t="n">
        <v>1095.09277643211</v>
      </c>
      <c r="R6" s="26" t="n">
        <v>-2342.14</v>
      </c>
      <c r="S6" s="31" t="s">
        <v>75</v>
      </c>
      <c r="T6" s="31" t="s">
        <v>76</v>
      </c>
      <c r="U6" s="25" t="s">
        <v>77</v>
      </c>
    </row>
    <row r="7" customFormat="false" ht="39.55" hidden="false" customHeight="false" outlineLevel="0" collapsed="false">
      <c r="A7" s="24" t="s">
        <v>12</v>
      </c>
      <c r="B7" s="18" t="s">
        <v>78</v>
      </c>
      <c r="C7" s="18" t="s">
        <v>73</v>
      </c>
      <c r="D7" s="25" t="s">
        <v>79</v>
      </c>
      <c r="E7" s="26" t="n">
        <v>822.37</v>
      </c>
      <c r="F7" s="26" t="n">
        <v>861.16</v>
      </c>
      <c r="G7" s="27" t="n">
        <v>0.208271403195829</v>
      </c>
      <c r="H7" s="26" t="n">
        <v>26.1057142857143</v>
      </c>
      <c r="I7" s="28" t="n">
        <v>0.618351203813706</v>
      </c>
      <c r="J7" s="32" t="n">
        <v>0.805206219787001</v>
      </c>
      <c r="K7" s="32" t="n">
        <v>1.395281362144</v>
      </c>
      <c r="L7" s="28" t="n">
        <v>0.444185398764146</v>
      </c>
      <c r="M7" s="29" t="n">
        <v>0.834893401015229</v>
      </c>
      <c r="N7" s="29" t="n">
        <v>0.779330316742082</v>
      </c>
      <c r="O7" s="28" t="n">
        <v>0.0226244343891403</v>
      </c>
      <c r="P7" s="30" t="n">
        <v>25</v>
      </c>
      <c r="Q7" s="26" t="n">
        <v>449.336822009446</v>
      </c>
      <c r="R7" s="26" t="n">
        <v>-602.47</v>
      </c>
      <c r="S7" s="31" t="s">
        <v>80</v>
      </c>
      <c r="T7" s="31" t="s">
        <v>81</v>
      </c>
      <c r="U7" s="25" t="s">
        <v>82</v>
      </c>
    </row>
    <row r="8" customFormat="false" ht="26.85" hidden="false" customHeight="false" outlineLevel="0" collapsed="false">
      <c r="A8" s="24" t="s">
        <v>12</v>
      </c>
      <c r="B8" s="18" t="s">
        <v>83</v>
      </c>
      <c r="C8" s="18" t="s">
        <v>84</v>
      </c>
      <c r="D8" s="25" t="s">
        <v>85</v>
      </c>
      <c r="E8" s="26" t="n">
        <v>840.11</v>
      </c>
      <c r="F8" s="26" t="n">
        <v>594.43</v>
      </c>
      <c r="G8" s="27" t="n">
        <v>-0.183582186581794</v>
      </c>
      <c r="H8" s="26" t="n">
        <v>0</v>
      </c>
      <c r="I8" s="28" t="n">
        <v>0.561420743116814</v>
      </c>
      <c r="J8" s="32" t="n">
        <v>1.34666183366938</v>
      </c>
      <c r="K8" s="28"/>
      <c r="L8" s="28" t="n">
        <v>1.35242190521694</v>
      </c>
      <c r="M8" s="29" t="n">
        <v>1.08261597938144</v>
      </c>
      <c r="N8" s="29" t="n">
        <v>1.21312244897959</v>
      </c>
      <c r="O8" s="28" t="n">
        <v>0.0183673469387755</v>
      </c>
      <c r="P8" s="30" t="n">
        <v>9</v>
      </c>
      <c r="Q8" s="26" t="n">
        <v>424.458453751965</v>
      </c>
      <c r="R8" s="26" t="n">
        <v>-3037.01</v>
      </c>
      <c r="S8" s="31" t="s">
        <v>86</v>
      </c>
      <c r="T8" s="31" t="s">
        <v>87</v>
      </c>
      <c r="U8" s="25" t="s">
        <v>88</v>
      </c>
    </row>
    <row r="9" customFormat="false" ht="39.55" hidden="false" customHeight="false" outlineLevel="0" collapsed="false">
      <c r="A9" s="24" t="s">
        <v>12</v>
      </c>
      <c r="B9" s="18" t="s">
        <v>89</v>
      </c>
      <c r="C9" s="18" t="s">
        <v>90</v>
      </c>
      <c r="D9" s="25" t="s">
        <v>91</v>
      </c>
      <c r="E9" s="26" t="n">
        <v>607.85</v>
      </c>
      <c r="F9" s="26" t="n">
        <v>504.53</v>
      </c>
      <c r="G9" s="27" t="n">
        <v>-0.0422801678045571</v>
      </c>
      <c r="H9" s="26" t="n">
        <v>17.7242857142857</v>
      </c>
      <c r="I9" s="28" t="n">
        <v>0.551052970346397</v>
      </c>
      <c r="J9" s="32" t="n">
        <v>1.48081946523436</v>
      </c>
      <c r="K9" s="28"/>
      <c r="L9" s="28" t="n">
        <v>0.265987283980557</v>
      </c>
      <c r="M9" s="29" t="n">
        <v>1.03025423728814</v>
      </c>
      <c r="N9" s="29" t="n">
        <v>1.01925252525253</v>
      </c>
      <c r="O9" s="28" t="n">
        <v>0.00606060606060606</v>
      </c>
      <c r="P9" s="30" t="n">
        <v>3</v>
      </c>
      <c r="Q9" s="26" t="n">
        <v>373.334500300927</v>
      </c>
      <c r="R9" s="26" t="n">
        <v>-189.21</v>
      </c>
      <c r="S9" s="31" t="s">
        <v>92</v>
      </c>
      <c r="T9" s="31" t="s">
        <v>93</v>
      </c>
      <c r="U9" s="25" t="s">
        <v>88</v>
      </c>
    </row>
    <row r="10" customFormat="false" ht="26.85" hidden="false" customHeight="false" outlineLevel="0" collapsed="false">
      <c r="A10" s="24" t="s">
        <v>12</v>
      </c>
      <c r="B10" s="18" t="s">
        <v>94</v>
      </c>
      <c r="C10" s="18" t="s">
        <v>67</v>
      </c>
      <c r="D10" s="25" t="s">
        <v>68</v>
      </c>
      <c r="E10" s="26" t="n">
        <v>561.4</v>
      </c>
      <c r="F10" s="26" t="n">
        <v>536.42</v>
      </c>
      <c r="G10" s="27" t="n">
        <v>0.102504727193006</v>
      </c>
      <c r="H10" s="26" t="n">
        <v>22.1014285714286</v>
      </c>
      <c r="I10" s="28" t="n">
        <v>0.6786750483559</v>
      </c>
      <c r="J10" s="32" t="n">
        <v>0.615005388548761</v>
      </c>
      <c r="K10" s="28" t="n">
        <v>0.450301248653841</v>
      </c>
      <c r="L10" s="28" t="n">
        <v>0.306932619243797</v>
      </c>
      <c r="M10" s="29" t="n">
        <v>0.640136830102623</v>
      </c>
      <c r="N10" s="29" t="n">
        <v>0.684209183673469</v>
      </c>
      <c r="O10" s="28" t="n">
        <v>0.0433673469387755</v>
      </c>
      <c r="P10" s="30" t="n">
        <v>34</v>
      </c>
      <c r="Q10" s="26" t="n">
        <v>200.558596614348</v>
      </c>
      <c r="R10" s="26" t="n">
        <v>-215.73</v>
      </c>
      <c r="S10" s="31" t="s">
        <v>95</v>
      </c>
      <c r="T10" s="31" t="s">
        <v>96</v>
      </c>
      <c r="U10" s="25" t="s">
        <v>77</v>
      </c>
    </row>
    <row r="11" customFormat="false" ht="26.85" hidden="false" customHeight="false" outlineLevel="0" collapsed="false">
      <c r="A11" s="24" t="s">
        <v>12</v>
      </c>
      <c r="B11" s="18" t="s">
        <v>97</v>
      </c>
      <c r="C11" s="18" t="s">
        <v>98</v>
      </c>
      <c r="D11" s="25" t="s">
        <v>99</v>
      </c>
      <c r="E11" s="26" t="n">
        <v>420.31</v>
      </c>
      <c r="F11" s="26" t="n">
        <v>617.27</v>
      </c>
      <c r="G11" s="27" t="n">
        <v>0.694545966987736</v>
      </c>
      <c r="H11" s="26" t="n">
        <v>20.8542857142857</v>
      </c>
      <c r="I11" s="28" t="n">
        <v>0.200559243017813</v>
      </c>
      <c r="J11" s="28" t="n">
        <v>0.516500711237553</v>
      </c>
      <c r="K11" s="28" t="n">
        <v>0.49262646373975</v>
      </c>
      <c r="L11" s="28" t="n">
        <v>0.0562411279021669</v>
      </c>
      <c r="M11" s="29" t="n">
        <v>0.432863027806385</v>
      </c>
      <c r="N11" s="29" t="n">
        <v>0.591821668264621</v>
      </c>
      <c r="O11" s="28" t="n">
        <v>0.0143815915627996</v>
      </c>
      <c r="P11" s="30" t="n">
        <v>15</v>
      </c>
      <c r="Q11" s="26" t="n">
        <v>157.078806051004</v>
      </c>
      <c r="R11" s="26" t="n">
        <v>1848.17</v>
      </c>
      <c r="S11" s="31" t="s">
        <v>100</v>
      </c>
      <c r="T11" s="31" t="s">
        <v>101</v>
      </c>
      <c r="U11" s="31" t="s">
        <v>102</v>
      </c>
    </row>
    <row r="12" customFormat="false" ht="39.55" hidden="false" customHeight="false" outlineLevel="0" collapsed="false">
      <c r="A12" s="24" t="s">
        <v>12</v>
      </c>
      <c r="B12" s="18" t="s">
        <v>103</v>
      </c>
      <c r="C12" s="18" t="s">
        <v>104</v>
      </c>
      <c r="D12" s="25" t="s">
        <v>105</v>
      </c>
      <c r="E12" s="26" t="n">
        <v>196.39</v>
      </c>
      <c r="F12" s="26" t="n">
        <v>424.91</v>
      </c>
      <c r="G12" s="27" t="n">
        <v>1.49646504012816</v>
      </c>
      <c r="H12" s="26" t="n">
        <v>15.2828571428571</v>
      </c>
      <c r="I12" s="28" t="n">
        <v>0.506446954458714</v>
      </c>
      <c r="J12" s="28" t="n">
        <v>0.556412539611869</v>
      </c>
      <c r="K12" s="32" t="n">
        <v>1.33374890911358</v>
      </c>
      <c r="L12" s="28" t="n">
        <v>0.729559424470314</v>
      </c>
      <c r="M12" s="29" t="n">
        <v>0.550112044817927</v>
      </c>
      <c r="N12" s="29" t="n">
        <v>0.595946704067321</v>
      </c>
      <c r="O12" s="28" t="n">
        <v>0.02945301542777</v>
      </c>
      <c r="P12" s="30" t="n">
        <v>21</v>
      </c>
      <c r="Q12" s="26" t="n">
        <v>130.851254145184</v>
      </c>
      <c r="R12" s="26" t="n">
        <v>-288.59</v>
      </c>
      <c r="S12" s="25" t="s">
        <v>106</v>
      </c>
      <c r="T12" s="31" t="s">
        <v>107</v>
      </c>
      <c r="U12" s="25" t="s">
        <v>82</v>
      </c>
    </row>
    <row r="13" customFormat="false" ht="26.85" hidden="false" customHeight="false" outlineLevel="0" collapsed="false">
      <c r="A13" s="24" t="s">
        <v>12</v>
      </c>
      <c r="B13" s="18" t="s">
        <v>108</v>
      </c>
      <c r="C13" s="18" t="s">
        <v>109</v>
      </c>
      <c r="D13" s="25" t="s">
        <v>110</v>
      </c>
      <c r="E13" s="26" t="n">
        <v>232.37</v>
      </c>
      <c r="F13" s="26" t="n">
        <v>221.31</v>
      </c>
      <c r="G13" s="27" t="n">
        <v>0.098927108954221</v>
      </c>
      <c r="H13" s="26" t="n">
        <v>7.19</v>
      </c>
      <c r="I13" s="28" t="n">
        <v>0.571298618281949</v>
      </c>
      <c r="J13" s="32" t="n">
        <v>0.690277907738374</v>
      </c>
      <c r="K13" s="32" t="n">
        <v>1.09890829694323</v>
      </c>
      <c r="L13" s="28" t="n">
        <v>0.508618312189741</v>
      </c>
      <c r="M13" s="29" t="n">
        <v>0.650896358543417</v>
      </c>
      <c r="N13" s="29" t="n">
        <v>0.634126074498567</v>
      </c>
      <c r="O13" s="28" t="n">
        <v>0.0372492836676218</v>
      </c>
      <c r="P13" s="30" t="n">
        <v>13</v>
      </c>
      <c r="Q13" s="26" t="n">
        <v>97.8543070103024</v>
      </c>
      <c r="R13" s="26" t="n">
        <v>-88.24</v>
      </c>
      <c r="S13" s="31" t="s">
        <v>111</v>
      </c>
      <c r="T13" s="31" t="s">
        <v>112</v>
      </c>
      <c r="U13" s="25" t="s">
        <v>77</v>
      </c>
    </row>
    <row r="14" customFormat="false" ht="26.85" hidden="false" customHeight="false" outlineLevel="0" collapsed="false">
      <c r="A14" s="24" t="s">
        <v>12</v>
      </c>
      <c r="B14" s="18" t="s">
        <v>113</v>
      </c>
      <c r="C14" s="18" t="s">
        <v>73</v>
      </c>
      <c r="D14" s="25" t="s">
        <v>114</v>
      </c>
      <c r="E14" s="26" t="n">
        <v>165.43</v>
      </c>
      <c r="F14" s="26" t="n">
        <v>101.49</v>
      </c>
      <c r="G14" s="27" t="n">
        <v>-0.292124486768747</v>
      </c>
      <c r="H14" s="26" t="n">
        <v>0.00142857142857143</v>
      </c>
      <c r="I14" s="28" t="n">
        <v>1.06072069761477</v>
      </c>
      <c r="J14" s="32" t="n">
        <v>2.64296875</v>
      </c>
      <c r="K14" s="28"/>
      <c r="L14" s="28" t="n">
        <v>0.250598780216795</v>
      </c>
      <c r="M14" s="29" t="n">
        <v>0.523512658227848</v>
      </c>
      <c r="N14" s="29" t="n">
        <v>0.487932692307692</v>
      </c>
      <c r="O14" s="28" t="n">
        <v>0.00480769230769231</v>
      </c>
      <c r="P14" s="30" t="n">
        <v>1</v>
      </c>
      <c r="Q14" s="26" t="n">
        <v>86.7035035999988</v>
      </c>
      <c r="R14" s="26" t="n">
        <v>-48.59</v>
      </c>
      <c r="S14" s="31" t="s">
        <v>115</v>
      </c>
      <c r="T14" s="31" t="s">
        <v>116</v>
      </c>
      <c r="U14" s="25" t="s">
        <v>88</v>
      </c>
    </row>
    <row r="15" customFormat="false" ht="26.85" hidden="false" customHeight="false" outlineLevel="0" collapsed="false">
      <c r="A15" s="24" t="s">
        <v>12</v>
      </c>
      <c r="B15" s="18" t="s">
        <v>117</v>
      </c>
      <c r="C15" s="18" t="s">
        <v>118</v>
      </c>
      <c r="D15" s="25" t="s">
        <v>119</v>
      </c>
      <c r="E15" s="26" t="n">
        <v>349.65</v>
      </c>
      <c r="F15" s="26" t="n">
        <v>764.77</v>
      </c>
      <c r="G15" s="27" t="n">
        <v>1.52374352374352</v>
      </c>
      <c r="H15" s="26" t="n">
        <v>30.47</v>
      </c>
      <c r="I15" s="28" t="n">
        <v>0.229575254591177</v>
      </c>
      <c r="J15" s="28" t="n">
        <v>0.43251573643104</v>
      </c>
      <c r="K15" s="32" t="n">
        <v>0.667469879518072</v>
      </c>
      <c r="L15" s="28" t="n">
        <v>0.100200329908902</v>
      </c>
      <c r="M15" s="29" t="n">
        <v>0.517233727810651</v>
      </c>
      <c r="N15" s="29" t="n">
        <v>0.514996632996633</v>
      </c>
      <c r="O15" s="28" t="n">
        <v>0.0121212121212121</v>
      </c>
      <c r="P15" s="30" t="n">
        <v>18</v>
      </c>
      <c r="Q15" s="26" t="n">
        <v>83.9018992312988</v>
      </c>
      <c r="R15" s="26" t="n">
        <v>2187.5</v>
      </c>
      <c r="S15" s="31" t="s">
        <v>120</v>
      </c>
      <c r="T15" s="31" t="s">
        <v>121</v>
      </c>
      <c r="U15" s="25" t="s">
        <v>82</v>
      </c>
    </row>
    <row r="16" customFormat="false" ht="26.85" hidden="false" customHeight="false" outlineLevel="0" collapsed="false">
      <c r="A16" s="24" t="s">
        <v>12</v>
      </c>
      <c r="B16" s="18" t="s">
        <v>122</v>
      </c>
      <c r="C16" s="18" t="s">
        <v>73</v>
      </c>
      <c r="D16" s="25" t="s">
        <v>79</v>
      </c>
      <c r="E16" s="26" t="n">
        <v>775.8</v>
      </c>
      <c r="F16" s="26" t="n">
        <v>131.68</v>
      </c>
      <c r="G16" s="27" t="n">
        <v>-0.804152537331192</v>
      </c>
      <c r="H16" s="26" t="n">
        <v>0.00142857142857143</v>
      </c>
      <c r="I16" s="28" t="n">
        <v>0.706357949941274</v>
      </c>
      <c r="J16" s="32" t="n">
        <v>1.01801314263626</v>
      </c>
      <c r="K16" s="28"/>
      <c r="L16" s="28" t="n">
        <v>0.290127128913566</v>
      </c>
      <c r="M16" s="29" t="n">
        <v>0.601395348837209</v>
      </c>
      <c r="N16" s="29" t="n">
        <v>0.420702875399361</v>
      </c>
      <c r="O16" s="28" t="n">
        <v>0.012779552715655</v>
      </c>
      <c r="P16" s="30" t="n">
        <v>4</v>
      </c>
      <c r="Q16" s="26" t="n">
        <v>81.8718409026001</v>
      </c>
      <c r="R16" s="26" t="n">
        <v>-7.22999999999999</v>
      </c>
      <c r="S16" s="31" t="s">
        <v>123</v>
      </c>
      <c r="T16" s="31" t="s">
        <v>124</v>
      </c>
      <c r="U16" s="25" t="s">
        <v>88</v>
      </c>
    </row>
    <row r="17" customFormat="false" ht="39.55" hidden="false" customHeight="false" outlineLevel="0" collapsed="false">
      <c r="A17" s="24" t="s">
        <v>12</v>
      </c>
      <c r="B17" s="18" t="s">
        <v>125</v>
      </c>
      <c r="C17" s="18" t="s">
        <v>104</v>
      </c>
      <c r="D17" s="25" t="s">
        <v>126</v>
      </c>
      <c r="E17" s="26" t="n">
        <v>96.79</v>
      </c>
      <c r="F17" s="26" t="n">
        <v>275.23</v>
      </c>
      <c r="G17" s="27" t="n">
        <v>2.2810525562876</v>
      </c>
      <c r="H17" s="26" t="n">
        <v>15.5114285714286</v>
      </c>
      <c r="I17" s="28" t="n">
        <v>0.240221383897548</v>
      </c>
      <c r="J17" s="28" t="n">
        <v>0.465812544426768</v>
      </c>
      <c r="K17" s="28" t="n">
        <v>0.385131060901642</v>
      </c>
      <c r="L17" s="28" t="n">
        <v>0.382886078766885</v>
      </c>
      <c r="M17" s="29" t="n">
        <v>0.887981651376147</v>
      </c>
      <c r="N17" s="29" t="n">
        <v>1.06266409266409</v>
      </c>
      <c r="O17" s="28" t="n">
        <v>0.0540540540540541</v>
      </c>
      <c r="P17" s="30" t="n">
        <v>14</v>
      </c>
      <c r="Q17" s="26" t="n">
        <v>47.7104879451898</v>
      </c>
      <c r="R17" s="26" t="n">
        <v>-214.94</v>
      </c>
      <c r="S17" s="31" t="s">
        <v>127</v>
      </c>
      <c r="T17" s="31" t="s">
        <v>128</v>
      </c>
      <c r="U17" s="31" t="s">
        <v>102</v>
      </c>
    </row>
    <row r="18" customFormat="false" ht="26.85" hidden="false" customHeight="false" outlineLevel="0" collapsed="false">
      <c r="A18" s="33" t="s">
        <v>15</v>
      </c>
      <c r="B18" s="18" t="s">
        <v>129</v>
      </c>
      <c r="C18" s="18" t="s">
        <v>130</v>
      </c>
      <c r="D18" s="25" t="s">
        <v>131</v>
      </c>
      <c r="E18" s="26" t="n">
        <v>2474.49</v>
      </c>
      <c r="F18" s="26" t="n">
        <v>1577.74</v>
      </c>
      <c r="G18" s="27" t="n">
        <v>-0.264305278756742</v>
      </c>
      <c r="H18" s="26" t="n">
        <v>22.68</v>
      </c>
      <c r="I18" s="28" t="n">
        <v>0.364838265931237</v>
      </c>
      <c r="J18" s="28" t="n">
        <v>0.495524469374808</v>
      </c>
      <c r="K18" s="28"/>
      <c r="L18" s="28" t="n">
        <v>0.280067880612488</v>
      </c>
      <c r="M18" s="29" t="n">
        <v>0.448358398260555</v>
      </c>
      <c r="N18" s="29" t="n">
        <v>0.462138254247217</v>
      </c>
      <c r="O18" s="28" t="n">
        <v>0.0231400117164616</v>
      </c>
      <c r="P18" s="30" t="n">
        <v>79</v>
      </c>
      <c r="Q18" s="26" t="n">
        <v>351.700708133442</v>
      </c>
      <c r="R18" s="26" t="n">
        <v>498.91</v>
      </c>
      <c r="S18" s="25" t="s">
        <v>132</v>
      </c>
      <c r="T18" s="31" t="s">
        <v>133</v>
      </c>
      <c r="U18" s="25" t="s">
        <v>82</v>
      </c>
    </row>
    <row r="19" customFormat="false" ht="26.85" hidden="false" customHeight="false" outlineLevel="0" collapsed="false">
      <c r="A19" s="33" t="s">
        <v>15</v>
      </c>
      <c r="B19" s="18" t="s">
        <v>134</v>
      </c>
      <c r="C19" s="18" t="s">
        <v>67</v>
      </c>
      <c r="D19" s="25" t="s">
        <v>68</v>
      </c>
      <c r="E19" s="26" t="n">
        <v>2584.13</v>
      </c>
      <c r="F19" s="26" t="n">
        <v>3709</v>
      </c>
      <c r="G19" s="27" t="n">
        <v>0.656114585804656</v>
      </c>
      <c r="H19" s="26" t="n">
        <v>242.017142857143</v>
      </c>
      <c r="I19" s="28" t="n">
        <v>0.465122934590878</v>
      </c>
      <c r="J19" s="28" t="n">
        <v>0.415816031955838</v>
      </c>
      <c r="K19" s="28" t="n">
        <v>0.431663621793647</v>
      </c>
      <c r="L19" s="28" t="n">
        <v>0.199435622460678</v>
      </c>
      <c r="M19" s="29" t="n">
        <v>1.05345699143905</v>
      </c>
      <c r="N19" s="29" t="n">
        <v>0.694179300018716</v>
      </c>
      <c r="O19" s="28" t="n">
        <v>0.0660677521991391</v>
      </c>
      <c r="P19" s="30" t="n">
        <v>353</v>
      </c>
      <c r="Q19" s="26" t="n">
        <v>274.293269435032</v>
      </c>
      <c r="R19" s="26" t="n">
        <v>-1758.54</v>
      </c>
      <c r="S19" s="25" t="s">
        <v>135</v>
      </c>
      <c r="T19" s="31" t="s">
        <v>136</v>
      </c>
      <c r="U19" s="25" t="s">
        <v>71</v>
      </c>
    </row>
    <row r="20" customFormat="false" ht="52.2" hidden="false" customHeight="false" outlineLevel="0" collapsed="false">
      <c r="A20" s="33" t="s">
        <v>15</v>
      </c>
      <c r="B20" s="18" t="s">
        <v>137</v>
      </c>
      <c r="C20" s="18" t="s">
        <v>138</v>
      </c>
      <c r="D20" s="25" t="s">
        <v>139</v>
      </c>
      <c r="E20" s="26" t="n">
        <v>648.75</v>
      </c>
      <c r="F20" s="26" t="n">
        <v>352.41</v>
      </c>
      <c r="G20" s="27" t="n">
        <v>-0.373214762116496</v>
      </c>
      <c r="H20" s="26" t="n">
        <v>1.20571428571429</v>
      </c>
      <c r="I20" s="28" t="n">
        <v>0.728449679425998</v>
      </c>
      <c r="J20" s="32" t="n">
        <v>0.705398426709902</v>
      </c>
      <c r="K20" s="28" t="n">
        <v>0.131895608688858</v>
      </c>
      <c r="L20" s="28" t="n">
        <v>0.20511372895956</v>
      </c>
      <c r="M20" s="29" t="n">
        <v>0.638533464566929</v>
      </c>
      <c r="N20" s="29" t="n">
        <v>0.92496062992126</v>
      </c>
      <c r="O20" s="28" t="n">
        <v>0.0341207349081365</v>
      </c>
      <c r="P20" s="30" t="n">
        <v>13</v>
      </c>
      <c r="Q20" s="26" t="n">
        <v>160.035371445922</v>
      </c>
      <c r="R20" s="26" t="n">
        <v>-224.81</v>
      </c>
      <c r="S20" s="31" t="s">
        <v>140</v>
      </c>
      <c r="T20" s="31" t="s">
        <v>141</v>
      </c>
      <c r="U20" s="25" t="s">
        <v>77</v>
      </c>
    </row>
    <row r="21" customFormat="false" ht="15" hidden="false" customHeight="false" outlineLevel="0" collapsed="false">
      <c r="A21" s="33" t="s">
        <v>15</v>
      </c>
      <c r="B21" s="18" t="s">
        <v>142</v>
      </c>
      <c r="C21" s="18" t="s">
        <v>109</v>
      </c>
      <c r="D21" s="25" t="s">
        <v>110</v>
      </c>
      <c r="E21" s="26" t="n">
        <v>351.93</v>
      </c>
      <c r="F21" s="26" t="n">
        <v>374.61</v>
      </c>
      <c r="G21" s="27" t="n">
        <v>0.228205346780063</v>
      </c>
      <c r="H21" s="26" t="n">
        <v>8.22857142857143</v>
      </c>
      <c r="I21" s="28" t="n">
        <v>0.448970479422346</v>
      </c>
      <c r="J21" s="28" t="n">
        <v>0.497443796725404</v>
      </c>
      <c r="K21" s="28" t="n">
        <v>0.288490433737354</v>
      </c>
      <c r="L21" s="28" t="n">
        <v>0.722920164418457</v>
      </c>
      <c r="M21" s="29" t="n">
        <v>0.593473861720068</v>
      </c>
      <c r="N21" s="29" t="n">
        <v>0.619190082644628</v>
      </c>
      <c r="O21" s="28" t="n">
        <v>0.0396694214876033</v>
      </c>
      <c r="P21" s="30" t="n">
        <v>24</v>
      </c>
      <c r="Q21" s="26" t="n">
        <v>84.6290926054972</v>
      </c>
      <c r="R21" s="26" t="n">
        <v>-226.13</v>
      </c>
      <c r="S21" s="31" t="s">
        <v>143</v>
      </c>
      <c r="T21" s="31" t="s">
        <v>144</v>
      </c>
      <c r="U21" s="25" t="s">
        <v>77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34" t="n">
        <f aca="false">SUM(F5:F21)</f>
        <v>16971.42</v>
      </c>
      <c r="G22" s="2"/>
      <c r="H22" s="2"/>
      <c r="I22" s="2"/>
      <c r="J22" s="2"/>
      <c r="K22" s="2"/>
      <c r="L22" s="2"/>
      <c r="M22" s="2"/>
      <c r="N22" s="2"/>
      <c r="O22" s="2"/>
      <c r="P22" s="4" t="s">
        <v>145</v>
      </c>
      <c r="Q22" s="34" t="n">
        <f aca="false">SUM(Q5:Q21)</f>
        <v>5221.52701889436</v>
      </c>
      <c r="R22" s="2"/>
      <c r="S22" s="2"/>
      <c r="T22" s="2"/>
      <c r="U22" s="2"/>
    </row>
  </sheetData>
  <autoFilter ref="A4:U21"/>
  <mergeCells count="1"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52" min="3" style="0" width="11"/>
  </cols>
  <sheetData>
    <row r="1" customFormat="false" ht="19.4" hidden="false" customHeight="false" outlineLevel="0" collapsed="false">
      <c r="A1" s="35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customFormat="false" ht="15" hidden="false" customHeight="true" outlineLevel="0" collapsed="false">
      <c r="A3" s="23" t="s">
        <v>49</v>
      </c>
      <c r="B3" s="22" t="s">
        <v>147</v>
      </c>
      <c r="C3" s="36" t="s">
        <v>148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 t="s">
        <v>149</v>
      </c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8" t="s">
        <v>150</v>
      </c>
      <c r="AT3" s="38"/>
      <c r="AU3" s="38"/>
      <c r="AV3" s="38"/>
      <c r="AW3" s="38"/>
      <c r="AX3" s="38"/>
      <c r="AY3" s="38"/>
      <c r="AZ3" s="38"/>
    </row>
    <row r="4" customFormat="false" ht="30" hidden="false" customHeight="true" outlineLevel="0" collapsed="false">
      <c r="A4" s="23"/>
      <c r="B4" s="23"/>
      <c r="C4" s="22" t="s">
        <v>32</v>
      </c>
      <c r="D4" s="22" t="s">
        <v>34</v>
      </c>
      <c r="E4" s="22" t="s">
        <v>151</v>
      </c>
      <c r="F4" s="22" t="s">
        <v>152</v>
      </c>
      <c r="G4" s="22" t="s">
        <v>153</v>
      </c>
      <c r="H4" s="22" t="s">
        <v>35</v>
      </c>
      <c r="I4" s="22" t="s">
        <v>154</v>
      </c>
      <c r="J4" s="22" t="s">
        <v>155</v>
      </c>
      <c r="K4" s="23" t="s">
        <v>156</v>
      </c>
      <c r="L4" s="22" t="s">
        <v>44</v>
      </c>
      <c r="M4" s="23" t="s">
        <v>37</v>
      </c>
      <c r="N4" s="23" t="s">
        <v>38</v>
      </c>
      <c r="O4" s="23" t="s">
        <v>157</v>
      </c>
      <c r="P4" s="23" t="s">
        <v>39</v>
      </c>
      <c r="Q4" s="23" t="s">
        <v>40</v>
      </c>
      <c r="R4" s="22" t="s">
        <v>158</v>
      </c>
      <c r="S4" s="22" t="s">
        <v>42</v>
      </c>
      <c r="T4" s="22" t="s">
        <v>43</v>
      </c>
      <c r="U4" s="22" t="s">
        <v>33</v>
      </c>
      <c r="V4" s="22" t="s">
        <v>36</v>
      </c>
      <c r="W4" s="22" t="s">
        <v>159</v>
      </c>
      <c r="X4" s="22" t="s">
        <v>32</v>
      </c>
      <c r="Y4" s="22" t="s">
        <v>34</v>
      </c>
      <c r="Z4" s="22" t="s">
        <v>151</v>
      </c>
      <c r="AA4" s="22" t="s">
        <v>152</v>
      </c>
      <c r="AB4" s="22" t="s">
        <v>153</v>
      </c>
      <c r="AC4" s="22" t="s">
        <v>35</v>
      </c>
      <c r="AD4" s="22" t="s">
        <v>154</v>
      </c>
      <c r="AE4" s="22" t="s">
        <v>155</v>
      </c>
      <c r="AF4" s="23" t="s">
        <v>156</v>
      </c>
      <c r="AG4" s="22" t="s">
        <v>44</v>
      </c>
      <c r="AH4" s="23" t="s">
        <v>37</v>
      </c>
      <c r="AI4" s="23" t="s">
        <v>38</v>
      </c>
      <c r="AJ4" s="23" t="s">
        <v>157</v>
      </c>
      <c r="AK4" s="23" t="s">
        <v>39</v>
      </c>
      <c r="AL4" s="23" t="s">
        <v>40</v>
      </c>
      <c r="AM4" s="22" t="s">
        <v>158</v>
      </c>
      <c r="AN4" s="22" t="s">
        <v>42</v>
      </c>
      <c r="AO4" s="22" t="s">
        <v>43</v>
      </c>
      <c r="AP4" s="22" t="s">
        <v>33</v>
      </c>
      <c r="AQ4" s="22" t="s">
        <v>36</v>
      </c>
      <c r="AR4" s="22" t="s">
        <v>159</v>
      </c>
      <c r="AS4" s="22" t="s">
        <v>52</v>
      </c>
      <c r="AT4" s="22" t="s">
        <v>160</v>
      </c>
      <c r="AU4" s="22" t="s">
        <v>161</v>
      </c>
      <c r="AV4" s="23" t="s">
        <v>162</v>
      </c>
      <c r="AW4" s="23" t="s">
        <v>163</v>
      </c>
      <c r="AX4" s="23" t="s">
        <v>164</v>
      </c>
      <c r="AY4" s="22" t="s">
        <v>165</v>
      </c>
      <c r="AZ4" s="22" t="s">
        <v>166</v>
      </c>
    </row>
    <row r="5" customFormat="false" ht="15" hidden="false" customHeight="false" outlineLevel="0" collapsed="false">
      <c r="A5" s="18" t="s">
        <v>167</v>
      </c>
      <c r="B5" s="14" t="s">
        <v>168</v>
      </c>
      <c r="C5" s="26" t="n">
        <v>6278.14</v>
      </c>
      <c r="D5" s="26" t="n">
        <v>13794.77</v>
      </c>
      <c r="E5" s="30" t="n">
        <v>456</v>
      </c>
      <c r="F5" s="30" t="n">
        <v>5664</v>
      </c>
      <c r="G5" s="30" t="n">
        <v>1017432</v>
      </c>
      <c r="H5" s="26" t="n">
        <v>48596.36</v>
      </c>
      <c r="I5" s="30" t="n">
        <v>1820</v>
      </c>
      <c r="J5" s="30" t="n">
        <v>1622</v>
      </c>
      <c r="K5" s="30" t="n">
        <v>57828</v>
      </c>
      <c r="L5" s="26" t="n">
        <v>-1543.86</v>
      </c>
      <c r="M5" s="28" t="n">
        <f aca="false">IF(N(D5)=0,"",C5/D5)</f>
        <v>0.455110161314759</v>
      </c>
      <c r="N5" s="28" t="n">
        <f aca="false">IF(N(H5)=0,"",C5/H5)</f>
        <v>0.129189511313193</v>
      </c>
      <c r="O5" s="39" t="n">
        <f aca="false">IF(N(C5)=0,"",D5/C5)</f>
        <v>2.19727021060378</v>
      </c>
      <c r="P5" s="29" t="n">
        <f aca="false">IF(N(F5)=0,"",C5/F5)</f>
        <v>1.10842867231638</v>
      </c>
      <c r="Q5" s="28" t="n">
        <f aca="false">IF(N(G5)=0,"",F5/G5)</f>
        <v>0.00556695680890713</v>
      </c>
      <c r="R5" s="28" t="n">
        <f aca="false">IF(N(F5)=0,"",E5/F5)</f>
        <v>0.0805084745762712</v>
      </c>
      <c r="S5" s="28" t="n">
        <f aca="false">IF(N(J5)=0,"",E5/J5)</f>
        <v>0.281134401972873</v>
      </c>
      <c r="T5" s="29" t="n">
        <f aca="false">IF(N(I5)=0,"",H5/I5)</f>
        <v>26.7012967032967</v>
      </c>
      <c r="U5" s="26" t="n">
        <f aca="false">IF(N(30)=0,"",C5/30)</f>
        <v>209.271333333333</v>
      </c>
      <c r="V5" s="39" t="n">
        <f aca="false">IF(N(30)=0,"",I5/30)</f>
        <v>60.6666666666667</v>
      </c>
      <c r="W5" s="28" t="n">
        <f aca="false">IF(N(H5)=0,"",L5/H5)</f>
        <v>-0.031769046076702</v>
      </c>
      <c r="X5" s="26" t="n">
        <v>9619.07</v>
      </c>
      <c r="Y5" s="26" t="n">
        <v>33108.67</v>
      </c>
      <c r="Z5" s="30" t="n">
        <v>1064</v>
      </c>
      <c r="AA5" s="30" t="n">
        <v>11315</v>
      </c>
      <c r="AB5" s="30" t="n">
        <v>1410010</v>
      </c>
      <c r="AC5" s="26" t="n">
        <v>92025.43</v>
      </c>
      <c r="AD5" s="30" t="n">
        <v>3320</v>
      </c>
      <c r="AE5" s="30" t="n">
        <v>2890</v>
      </c>
      <c r="AF5" s="30" t="n">
        <v>79851</v>
      </c>
      <c r="AG5" s="26" t="n">
        <v>-816.98</v>
      </c>
      <c r="AH5" s="28" t="n">
        <f aca="false">IF(N(Y5)=0,"",X5/Y5)</f>
        <v>0.290530244796907</v>
      </c>
      <c r="AI5" s="28" t="n">
        <f aca="false">IF(N(AC5)=0,"",X5/AC5)</f>
        <v>0.104526216286085</v>
      </c>
      <c r="AJ5" s="39" t="n">
        <f aca="false">IF(N(X5)=0,"",Y5/X5)</f>
        <v>3.44198243697156</v>
      </c>
      <c r="AK5" s="29" t="n">
        <f aca="false">IF(N(AA5)=0,"",X5/AA5)</f>
        <v>0.850116659301812</v>
      </c>
      <c r="AL5" s="28" t="n">
        <f aca="false">IF(N(AB5)=0,"",AA5/AB5)</f>
        <v>0.00802476578180297</v>
      </c>
      <c r="AM5" s="28" t="n">
        <f aca="false">IF(N(AA5)=0,"",Z5/AA5)</f>
        <v>0.0940344675209898</v>
      </c>
      <c r="AN5" s="28" t="n">
        <f aca="false">IF(N(AE5)=0,"",Z5/AE5)</f>
        <v>0.368166089965398</v>
      </c>
      <c r="AO5" s="29" t="n">
        <f aca="false">IF(N(AD5)=0,"",AC5/AD5)</f>
        <v>27.7185030120482</v>
      </c>
      <c r="AP5" s="26" t="n">
        <f aca="false">IF(N(26)=0,"",X5/26)</f>
        <v>369.964230769231</v>
      </c>
      <c r="AQ5" s="39" t="n">
        <f aca="false">IF(N(26)=0,"",AD5/26)</f>
        <v>127.692307692308</v>
      </c>
      <c r="AR5" s="28" t="n">
        <f aca="false">IF(N(AC5)=0,"",AG5/AC5)</f>
        <v>-0.00887776346168662</v>
      </c>
      <c r="AS5" s="27" t="n">
        <f aca="false">IF(OR(U5="",AP5=""),"",IF(N(U5)=0,"",AP5/U5-1))</f>
        <v>0.767868655856181</v>
      </c>
      <c r="AT5" s="27" t="n">
        <f aca="false">IF(N(D5)=0,"",(Y5/26)/(D5/30)-1)</f>
        <v>1.76933298188093</v>
      </c>
      <c r="AU5" s="27" t="n">
        <f aca="false">IF(OR(V5="",AQ5=""),"",IF(N(V5)=0,"",AQ5/V5-1))</f>
        <v>1.10481825866441</v>
      </c>
      <c r="AV5" s="27" t="n">
        <f aca="false">IF(OR(M5="",AH5=""),"",AH5-M5)</f>
        <v>-0.164579916517852</v>
      </c>
      <c r="AW5" s="27" t="n">
        <f aca="false">IF(OR(N5="",AI5=""),"",AI5-N5)</f>
        <v>-0.0246632950271077</v>
      </c>
      <c r="AX5" s="27" t="n">
        <f aca="false">IF(OR(P5="",AK5=""),"",IF(N(P5)=0,"",AK5/P5-1))</f>
        <v>-0.233043423962279</v>
      </c>
      <c r="AY5" s="27" t="n">
        <f aca="false">IF(OR(R5="",AM5=""),"",AM5-R5)</f>
        <v>0.0135259929447187</v>
      </c>
      <c r="AZ5" s="27" t="n">
        <f aca="false">IF(OR(T5="",AO5=""),"",IF(N(T5)=0,"",AO5/T5-1))</f>
        <v>0.0380957644137896</v>
      </c>
    </row>
    <row r="6" customFormat="false" ht="15" hidden="false" customHeight="false" outlineLevel="0" collapsed="false">
      <c r="A6" s="18" t="s">
        <v>67</v>
      </c>
      <c r="B6" s="14" t="s">
        <v>169</v>
      </c>
      <c r="C6" s="26" t="n">
        <v>6127.31</v>
      </c>
      <c r="D6" s="26" t="n">
        <v>14149.59</v>
      </c>
      <c r="E6" s="30" t="n">
        <v>486</v>
      </c>
      <c r="F6" s="30" t="n">
        <v>7661</v>
      </c>
      <c r="G6" s="30" t="n">
        <v>1418377</v>
      </c>
      <c r="H6" s="26" t="n">
        <v>35692.21</v>
      </c>
      <c r="I6" s="30" t="n">
        <v>1281</v>
      </c>
      <c r="J6" s="30" t="n">
        <v>1165</v>
      </c>
      <c r="K6" s="30" t="n">
        <v>34400</v>
      </c>
      <c r="L6" s="26" t="n">
        <v>-1523.49</v>
      </c>
      <c r="M6" s="28" t="n">
        <f aca="false">IF(N(D6)=0,"",C6/D6)</f>
        <v>0.43303798908661</v>
      </c>
      <c r="N6" s="28" t="n">
        <f aca="false">IF(N(H6)=0,"",C6/H6)</f>
        <v>0.171670793150662</v>
      </c>
      <c r="O6" s="39" t="n">
        <f aca="false">IF(N(C6)=0,"",D6/C6)</f>
        <v>2.30926621959718</v>
      </c>
      <c r="P6" s="29" t="n">
        <f aca="false">IF(N(F6)=0,"",C6/F6)</f>
        <v>0.799805508419267</v>
      </c>
      <c r="Q6" s="28" t="n">
        <f aca="false">IF(N(G6)=0,"",F6/G6)</f>
        <v>0.00540124381599532</v>
      </c>
      <c r="R6" s="28" t="n">
        <f aca="false">IF(N(F6)=0,"",E6/F6)</f>
        <v>0.0634381934473306</v>
      </c>
      <c r="S6" s="28" t="n">
        <f aca="false">IF(N(J6)=0,"",E6/J6)</f>
        <v>0.417167381974249</v>
      </c>
      <c r="T6" s="29" t="n">
        <f aca="false">IF(N(I6)=0,"",H6/I6)</f>
        <v>27.8627712724434</v>
      </c>
      <c r="U6" s="26" t="n">
        <f aca="false">IF(N(30)=0,"",C6/30)</f>
        <v>204.243666666667</v>
      </c>
      <c r="V6" s="39" t="n">
        <f aca="false">IF(N(30)=0,"",I6/30)</f>
        <v>42.7</v>
      </c>
      <c r="W6" s="28" t="n">
        <f aca="false">IF(N(H6)=0,"",L6/H6)</f>
        <v>-0.0426841038983016</v>
      </c>
      <c r="X6" s="26" t="n">
        <v>8643.51</v>
      </c>
      <c r="Y6" s="26" t="n">
        <v>21270.14</v>
      </c>
      <c r="Z6" s="30" t="n">
        <v>710</v>
      </c>
      <c r="AA6" s="30" t="n">
        <v>11822</v>
      </c>
      <c r="AB6" s="30" t="n">
        <v>2052166</v>
      </c>
      <c r="AC6" s="26" t="n">
        <v>46126.14</v>
      </c>
      <c r="AD6" s="30" t="n">
        <v>1718</v>
      </c>
      <c r="AE6" s="30" t="n">
        <v>1556</v>
      </c>
      <c r="AF6" s="30" t="n">
        <v>45311</v>
      </c>
      <c r="AG6" s="26" t="n">
        <v>-3526.95</v>
      </c>
      <c r="AH6" s="28" t="n">
        <f aca="false">IF(N(Y6)=0,"",X6/Y6)</f>
        <v>0.406368270260563</v>
      </c>
      <c r="AI6" s="28" t="n">
        <f aca="false">IF(N(AC6)=0,"",X6/AC6)</f>
        <v>0.187388539340166</v>
      </c>
      <c r="AJ6" s="39" t="n">
        <f aca="false">IF(N(X6)=0,"",Y6/X6)</f>
        <v>2.46082205030132</v>
      </c>
      <c r="AK6" s="29" t="n">
        <f aca="false">IF(N(AA6)=0,"",X6/AA6)</f>
        <v>0.731137709355439</v>
      </c>
      <c r="AL6" s="28" t="n">
        <f aca="false">IF(N(AB6)=0,"",AA6/AB6)</f>
        <v>0.00576074255201577</v>
      </c>
      <c r="AM6" s="28" t="n">
        <f aca="false">IF(N(AA6)=0,"",Z6/AA6)</f>
        <v>0.0600575198781932</v>
      </c>
      <c r="AN6" s="28" t="n">
        <f aca="false">IF(N(AE6)=0,"",Z6/AE6)</f>
        <v>0.456298200514139</v>
      </c>
      <c r="AO6" s="29" t="n">
        <f aca="false">IF(N(AD6)=0,"",AC6/AD6)</f>
        <v>26.8487427240978</v>
      </c>
      <c r="AP6" s="26" t="n">
        <f aca="false">IF(N(26)=0,"",X6/26)</f>
        <v>332.442692307692</v>
      </c>
      <c r="AQ6" s="39" t="n">
        <f aca="false">IF(N(26)=0,"",AD6/26)</f>
        <v>66.0769230769231</v>
      </c>
      <c r="AR6" s="28" t="n">
        <f aca="false">IF(N(AC6)=0,"",AG6/AC6)</f>
        <v>-0.0764631508294429</v>
      </c>
      <c r="AS6" s="27" t="n">
        <f aca="false">IF(OR(U6="",AP6=""),"",IF(N(U6)=0,"",AP6/U6-1))</f>
        <v>0.627676871127912</v>
      </c>
      <c r="AT6" s="27" t="n">
        <f aca="false">IF(N(D6)=0,"",(Y6/26)/(D6/30)-1)</f>
        <v>0.734500379924028</v>
      </c>
      <c r="AU6" s="27" t="n">
        <f aca="false">IF(OR(V6="",AQ6=""),"",IF(N(V6)=0,"",AQ6/V6-1))</f>
        <v>0.547468924518105</v>
      </c>
      <c r="AV6" s="27" t="n">
        <f aca="false">IF(OR(M6="",AH6=""),"",AH6-M6)</f>
        <v>-0.0266697188260471</v>
      </c>
      <c r="AW6" s="27" t="n">
        <f aca="false">IF(OR(N6="",AI6=""),"",AI6-N6)</f>
        <v>0.0157177461895036</v>
      </c>
      <c r="AX6" s="27" t="n">
        <f aca="false">IF(OR(P6="",AK6=""),"",IF(N(P6)=0,"",AK6/P6-1))</f>
        <v>-0.0858556215742279</v>
      </c>
      <c r="AY6" s="27" t="n">
        <f aca="false">IF(OR(R6="",AM6=""),"",AM6-R6)</f>
        <v>-0.00338067356913743</v>
      </c>
      <c r="AZ6" s="27" t="n">
        <f aca="false">IF(OR(T6="",AO6=""),"",IF(N(T6)=0,"",AO6/T6-1))</f>
        <v>-0.0363936716283674</v>
      </c>
    </row>
    <row r="7" customFormat="false" ht="15" hidden="false" customHeight="false" outlineLevel="0" collapsed="false">
      <c r="A7" s="18" t="s">
        <v>73</v>
      </c>
      <c r="B7" s="14" t="s">
        <v>170</v>
      </c>
      <c r="C7" s="26" t="n">
        <v>6794.83</v>
      </c>
      <c r="D7" s="26" t="n">
        <v>12233.82</v>
      </c>
      <c r="E7" s="30" t="n">
        <v>286</v>
      </c>
      <c r="F7" s="30" t="n">
        <v>7376</v>
      </c>
      <c r="G7" s="30" t="n">
        <v>762158</v>
      </c>
      <c r="H7" s="26" t="n">
        <v>24210.94</v>
      </c>
      <c r="I7" s="30" t="n">
        <v>584</v>
      </c>
      <c r="J7" s="30" t="n">
        <v>554</v>
      </c>
      <c r="K7" s="30" t="n">
        <v>19274</v>
      </c>
      <c r="L7" s="26" t="n">
        <v>-3088.64</v>
      </c>
      <c r="M7" s="28" t="n">
        <f aca="false">IF(N(D7)=0,"",C7/D7)</f>
        <v>0.555413599349999</v>
      </c>
      <c r="N7" s="28" t="n">
        <f aca="false">IF(N(H7)=0,"",C7/H7)</f>
        <v>0.28065122626383</v>
      </c>
      <c r="O7" s="39" t="n">
        <f aca="false">IF(N(C7)=0,"",D7/C7)</f>
        <v>1.80046005565997</v>
      </c>
      <c r="P7" s="29" t="n">
        <f aca="false">IF(N(F7)=0,"",C7/F7)</f>
        <v>0.921207971800434</v>
      </c>
      <c r="Q7" s="28" t="n">
        <f aca="false">IF(N(G7)=0,"",F7/G7)</f>
        <v>0.00967778334676012</v>
      </c>
      <c r="R7" s="28" t="n">
        <f aca="false">IF(N(F7)=0,"",E7/F7)</f>
        <v>0.0387744034707158</v>
      </c>
      <c r="S7" s="28" t="n">
        <f aca="false">IF(N(J7)=0,"",E7/J7)</f>
        <v>0.516245487364621</v>
      </c>
      <c r="T7" s="29" t="n">
        <f aca="false">IF(N(I7)=0,"",H7/I7)</f>
        <v>41.4570890410959</v>
      </c>
      <c r="U7" s="26" t="n">
        <f aca="false">IF(N(30)=0,"",C7/30)</f>
        <v>226.494333333333</v>
      </c>
      <c r="V7" s="39" t="n">
        <f aca="false">IF(N(30)=0,"",I7/30)</f>
        <v>19.4666666666667</v>
      </c>
      <c r="W7" s="28" t="n">
        <f aca="false">IF(N(H7)=0,"",L7/H7)</f>
        <v>-0.127572081050963</v>
      </c>
      <c r="X7" s="26" t="n">
        <v>4577.37</v>
      </c>
      <c r="Y7" s="26" t="n">
        <v>7518.68</v>
      </c>
      <c r="Z7" s="30" t="n">
        <v>183</v>
      </c>
      <c r="AA7" s="30" t="n">
        <v>5038</v>
      </c>
      <c r="AB7" s="30" t="n">
        <v>498105</v>
      </c>
      <c r="AC7" s="26" t="n">
        <v>15346.59</v>
      </c>
      <c r="AD7" s="30" t="n">
        <v>367</v>
      </c>
      <c r="AE7" s="30" t="n">
        <v>350</v>
      </c>
      <c r="AF7" s="30" t="n">
        <v>13394</v>
      </c>
      <c r="AG7" s="26" t="n">
        <v>-3097.11</v>
      </c>
      <c r="AH7" s="28" t="n">
        <f aca="false">IF(N(Y7)=0,"",X7/Y7)</f>
        <v>0.608799682923066</v>
      </c>
      <c r="AI7" s="28" t="n">
        <f aca="false">IF(N(AC7)=0,"",X7/AC7)</f>
        <v>0.298266259801037</v>
      </c>
      <c r="AJ7" s="39" t="n">
        <f aca="false">IF(N(X7)=0,"",Y7/X7)</f>
        <v>1.64257641396697</v>
      </c>
      <c r="AK7" s="29" t="n">
        <f aca="false">IF(N(AA7)=0,"",X7/AA7)</f>
        <v>0.908568876538309</v>
      </c>
      <c r="AL7" s="28" t="n">
        <f aca="false">IF(N(AB7)=0,"",AA7/AB7)</f>
        <v>0.0101143333232953</v>
      </c>
      <c r="AM7" s="28" t="n">
        <f aca="false">IF(N(AA7)=0,"",Z7/AA7)</f>
        <v>0.036323938070663</v>
      </c>
      <c r="AN7" s="28" t="n">
        <f aca="false">IF(N(AE7)=0,"",Z7/AE7)</f>
        <v>0.522857142857143</v>
      </c>
      <c r="AO7" s="29" t="n">
        <f aca="false">IF(N(AD7)=0,"",AC7/AD7)</f>
        <v>41.8163215258856</v>
      </c>
      <c r="AP7" s="26" t="n">
        <f aca="false">IF(N(26)=0,"",X7/26)</f>
        <v>176.052692307692</v>
      </c>
      <c r="AQ7" s="39" t="n">
        <f aca="false">IF(N(26)=0,"",AD7/26)</f>
        <v>14.1153846153846</v>
      </c>
      <c r="AR7" s="28" t="n">
        <f aca="false">IF(N(AC7)=0,"",AG7/AC7)</f>
        <v>-0.20181095604952</v>
      </c>
      <c r="AS7" s="27" t="n">
        <f aca="false">IF(OR(U7="",AP7=""),"",IF(N(U7)=0,"",AP7/U7-1))</f>
        <v>-0.222705973625423</v>
      </c>
      <c r="AT7" s="27" t="n">
        <f aca="false">IF(N(D7)=0,"",(Y7/26)/(D7/30)-1)</f>
        <v>-0.290867447780007</v>
      </c>
      <c r="AU7" s="27" t="n">
        <f aca="false">IF(OR(V7="",AQ7=""),"",IF(N(V7)=0,"",AQ7/V7-1))</f>
        <v>-0.274894625922023</v>
      </c>
      <c r="AV7" s="27" t="n">
        <f aca="false">IF(OR(M7="",AH7=""),"",AH7-M7)</f>
        <v>0.0533860835730677</v>
      </c>
      <c r="AW7" s="27" t="n">
        <f aca="false">IF(OR(N7="",AI7=""),"",AI7-N7)</f>
        <v>0.0176150335372077</v>
      </c>
      <c r="AX7" s="27" t="n">
        <f aca="false">IF(OR(P7="",AK7=""),"",IF(N(P7)=0,"",AK7/P7-1))</f>
        <v>-0.013720132314338</v>
      </c>
      <c r="AY7" s="27" t="n">
        <f aca="false">IF(OR(R7="",AM7=""),"",AM7-R7)</f>
        <v>-0.00245046540005287</v>
      </c>
      <c r="AZ7" s="27" t="n">
        <f aca="false">IF(OR(T7="",AO7=""),"",IF(N(T7)=0,"",AO7/T7-1))</f>
        <v>0.00866516422398989</v>
      </c>
    </row>
    <row r="8" customFormat="false" ht="15" hidden="false" customHeight="false" outlineLevel="0" collapsed="false">
      <c r="A8" s="18" t="s">
        <v>130</v>
      </c>
      <c r="B8" s="14" t="s">
        <v>171</v>
      </c>
      <c r="C8" s="26" t="n">
        <v>6271.94</v>
      </c>
      <c r="D8" s="26" t="n">
        <v>19415.76</v>
      </c>
      <c r="E8" s="30" t="n">
        <v>495</v>
      </c>
      <c r="F8" s="30" t="n">
        <v>11899</v>
      </c>
      <c r="G8" s="30" t="n">
        <v>1390844</v>
      </c>
      <c r="H8" s="26" t="n">
        <v>47276.01</v>
      </c>
      <c r="I8" s="30" t="n">
        <v>1203</v>
      </c>
      <c r="J8" s="30" t="n">
        <v>1159</v>
      </c>
      <c r="K8" s="30" t="n">
        <v>38122</v>
      </c>
      <c r="L8" s="26" t="n">
        <v>4486.43</v>
      </c>
      <c r="M8" s="28" t="n">
        <f aca="false">IF(N(D8)=0,"",C8/D8)</f>
        <v>0.323033453235928</v>
      </c>
      <c r="N8" s="28" t="n">
        <f aca="false">IF(N(H8)=0,"",C8/H8)</f>
        <v>0.132666441182325</v>
      </c>
      <c r="O8" s="39" t="n">
        <f aca="false">IF(N(C8)=0,"",D8/C8)</f>
        <v>3.09565461404286</v>
      </c>
      <c r="P8" s="29" t="n">
        <f aca="false">IF(N(F8)=0,"",C8/F8)</f>
        <v>0.527098075468527</v>
      </c>
      <c r="Q8" s="28" t="n">
        <f aca="false">IF(N(G8)=0,"",F8/G8)</f>
        <v>0.00855523696403047</v>
      </c>
      <c r="R8" s="28" t="n">
        <f aca="false">IF(N(F8)=0,"",E8/F8)</f>
        <v>0.0416001344650811</v>
      </c>
      <c r="S8" s="28" t="n">
        <f aca="false">IF(N(J8)=0,"",E8/J8)</f>
        <v>0.42709232096635</v>
      </c>
      <c r="T8" s="29" t="n">
        <f aca="false">IF(N(I8)=0,"",H8/I8)</f>
        <v>39.2984289276808</v>
      </c>
      <c r="U8" s="26" t="n">
        <f aca="false">IF(N(30)=0,"",C8/30)</f>
        <v>209.064666666667</v>
      </c>
      <c r="V8" s="39" t="n">
        <f aca="false">IF(N(30)=0,"",I8/30)</f>
        <v>40.1</v>
      </c>
      <c r="W8" s="28" t="n">
        <f aca="false">IF(N(H8)=0,"",L8/H8)</f>
        <v>0.0948986600180515</v>
      </c>
      <c r="X8" s="26" t="n">
        <v>2346.6</v>
      </c>
      <c r="Y8" s="26" t="n">
        <v>6844.74</v>
      </c>
      <c r="Z8" s="30" t="n">
        <v>172</v>
      </c>
      <c r="AA8" s="30" t="n">
        <v>4420</v>
      </c>
      <c r="AB8" s="30" t="n">
        <v>418774</v>
      </c>
      <c r="AC8" s="26" t="n">
        <v>49465.86</v>
      </c>
      <c r="AD8" s="30" t="n">
        <v>1217</v>
      </c>
      <c r="AE8" s="30" t="n">
        <v>1166</v>
      </c>
      <c r="AF8" s="30" t="n">
        <v>36883</v>
      </c>
      <c r="AG8" s="26" t="n">
        <v>11479.28</v>
      </c>
      <c r="AH8" s="28" t="n">
        <f aca="false">IF(N(Y8)=0,"",X8/Y8)</f>
        <v>0.342832598462469</v>
      </c>
      <c r="AI8" s="28" t="n">
        <f aca="false">IF(N(AC8)=0,"",X8/AC8)</f>
        <v>0.0474387789881749</v>
      </c>
      <c r="AJ8" s="39" t="n">
        <f aca="false">IF(N(X8)=0,"",Y8/X8)</f>
        <v>2.91687547941703</v>
      </c>
      <c r="AK8" s="29" t="n">
        <f aca="false">IF(N(AA8)=0,"",X8/AA8)</f>
        <v>0.530904977375566</v>
      </c>
      <c r="AL8" s="28" t="n">
        <f aca="false">IF(N(AB8)=0,"",AA8/AB8)</f>
        <v>0.0105546189591522</v>
      </c>
      <c r="AM8" s="28" t="n">
        <f aca="false">IF(N(AA8)=0,"",Z8/AA8)</f>
        <v>0.0389140271493213</v>
      </c>
      <c r="AN8" s="28" t="n">
        <f aca="false">IF(N(AE8)=0,"",Z8/AE8)</f>
        <v>0.147512864493997</v>
      </c>
      <c r="AO8" s="29" t="n">
        <f aca="false">IF(N(AD8)=0,"",AC8/AD8)</f>
        <v>40.6457354149548</v>
      </c>
      <c r="AP8" s="26" t="n">
        <f aca="false">IF(N(26)=0,"",X8/26)</f>
        <v>90.2538461538462</v>
      </c>
      <c r="AQ8" s="39" t="n">
        <f aca="false">IF(N(26)=0,"",AD8/26)</f>
        <v>46.8076923076923</v>
      </c>
      <c r="AR8" s="28" t="n">
        <f aca="false">IF(N(AC8)=0,"",AG8/AC8)</f>
        <v>0.232064700785552</v>
      </c>
      <c r="AS8" s="27" t="n">
        <f aca="false">IF(OR(U8="",AP8=""),"",IF(N(U8)=0,"",AP8/U8-1))</f>
        <v>-0.568296988712363</v>
      </c>
      <c r="AT8" s="27" t="n">
        <f aca="false">IF(N(D8)=0,"",(Y8/26)/(D8/30)-1)</f>
        <v>-0.593228546135875</v>
      </c>
      <c r="AU8" s="27" t="n">
        <f aca="false">IF(OR(V8="",AQ8=""),"",IF(N(V8)=0,"",AQ8/V8-1))</f>
        <v>0.167274122386342</v>
      </c>
      <c r="AV8" s="27" t="n">
        <f aca="false">IF(OR(M8="",AH8=""),"",AH8-M8)</f>
        <v>0.0197991452265411</v>
      </c>
      <c r="AW8" s="27" t="n">
        <f aca="false">IF(OR(N8="",AI8=""),"",AI8-N8)</f>
        <v>-0.08522766219415</v>
      </c>
      <c r="AX8" s="27" t="n">
        <f aca="false">IF(OR(P8="",AK8=""),"",IF(N(P8)=0,"",AK8/P8-1))</f>
        <v>0.0072223786885488</v>
      </c>
      <c r="AY8" s="27" t="n">
        <f aca="false">IF(OR(R8="",AM8=""),"",AM8-R8)</f>
        <v>-0.00268610731575984</v>
      </c>
      <c r="AZ8" s="27" t="n">
        <f aca="false">IF(OR(T8="",AO8=""),"",IF(N(T8)=0,"",AO8/T8-1))</f>
        <v>0.0342839783685347</v>
      </c>
    </row>
    <row r="9" customFormat="false" ht="15" hidden="false" customHeight="false" outlineLevel="0" collapsed="false">
      <c r="A9" s="18" t="s">
        <v>104</v>
      </c>
      <c r="B9" s="14" t="s">
        <v>172</v>
      </c>
      <c r="C9" s="26" t="n">
        <v>3088.11</v>
      </c>
      <c r="D9" s="26" t="n">
        <v>7084.84</v>
      </c>
      <c r="E9" s="30" t="n">
        <v>192</v>
      </c>
      <c r="F9" s="30" t="n">
        <v>4198</v>
      </c>
      <c r="G9" s="30" t="n">
        <v>687156</v>
      </c>
      <c r="H9" s="26" t="n">
        <v>16435.4</v>
      </c>
      <c r="I9" s="30" t="n">
        <v>477</v>
      </c>
      <c r="J9" s="30" t="n">
        <v>421</v>
      </c>
      <c r="K9" s="30" t="n">
        <v>15853</v>
      </c>
      <c r="L9" s="26" t="n">
        <v>1354.99</v>
      </c>
      <c r="M9" s="28" t="n">
        <f aca="false">IF(N(D9)=0,"",C9/D9)</f>
        <v>0.435875757250693</v>
      </c>
      <c r="N9" s="28" t="n">
        <f aca="false">IF(N(H9)=0,"",C9/H9)</f>
        <v>0.187893814570987</v>
      </c>
      <c r="O9" s="39" t="n">
        <f aca="false">IF(N(C9)=0,"",D9/C9)</f>
        <v>2.29423174692611</v>
      </c>
      <c r="P9" s="29" t="n">
        <f aca="false">IF(N(F9)=0,"",C9/F9)</f>
        <v>0.735614578370653</v>
      </c>
      <c r="Q9" s="28" t="n">
        <f aca="false">IF(N(G9)=0,"",F9/G9)</f>
        <v>0.00610923865905268</v>
      </c>
      <c r="R9" s="28" t="n">
        <f aca="false">IF(N(F9)=0,"",E9/F9)</f>
        <v>0.0457360647927585</v>
      </c>
      <c r="S9" s="28" t="n">
        <f aca="false">IF(N(J9)=0,"",E9/J9)</f>
        <v>0.456057007125891</v>
      </c>
      <c r="T9" s="29" t="n">
        <f aca="false">IF(N(I9)=0,"",H9/I9)</f>
        <v>34.4557651991614</v>
      </c>
      <c r="U9" s="26" t="n">
        <f aca="false">IF(N(30)=0,"",C9/30)</f>
        <v>102.937</v>
      </c>
      <c r="V9" s="39" t="n">
        <f aca="false">IF(N(30)=0,"",I9/30)</f>
        <v>15.9</v>
      </c>
      <c r="W9" s="28" t="n">
        <f aca="false">IF(N(H9)=0,"",L9/H9)</f>
        <v>0.0824433844019616</v>
      </c>
      <c r="X9" s="26" t="n">
        <v>2360.78</v>
      </c>
      <c r="Y9" s="26" t="n">
        <v>5842.8</v>
      </c>
      <c r="Z9" s="30" t="n">
        <v>164</v>
      </c>
      <c r="AA9" s="30" t="n">
        <v>3580</v>
      </c>
      <c r="AB9" s="30" t="n">
        <v>563106</v>
      </c>
      <c r="AC9" s="26" t="n">
        <v>12961.03</v>
      </c>
      <c r="AD9" s="30" t="n">
        <v>384</v>
      </c>
      <c r="AE9" s="30" t="n">
        <v>357</v>
      </c>
      <c r="AF9" s="30" t="n">
        <v>13129</v>
      </c>
      <c r="AG9" s="26" t="n">
        <v>498.68</v>
      </c>
      <c r="AH9" s="28" t="n">
        <f aca="false">IF(N(Y9)=0,"",X9/Y9)</f>
        <v>0.404049428356268</v>
      </c>
      <c r="AI9" s="28" t="n">
        <f aca="false">IF(N(AC9)=0,"",X9/AC9)</f>
        <v>0.182144474628945</v>
      </c>
      <c r="AJ9" s="39" t="n">
        <f aca="false">IF(N(X9)=0,"",Y9/X9)</f>
        <v>2.47494472165979</v>
      </c>
      <c r="AK9" s="29" t="n">
        <f aca="false">IF(N(AA9)=0,"",X9/AA9)</f>
        <v>0.659435754189944</v>
      </c>
      <c r="AL9" s="28" t="n">
        <f aca="false">IF(N(AB9)=0,"",AA9/AB9)</f>
        <v>0.00635759519522079</v>
      </c>
      <c r="AM9" s="28" t="n">
        <f aca="false">IF(N(AA9)=0,"",Z9/AA9)</f>
        <v>0.0458100558659218</v>
      </c>
      <c r="AN9" s="28" t="n">
        <f aca="false">IF(N(AE9)=0,"",Z9/AE9)</f>
        <v>0.459383753501401</v>
      </c>
      <c r="AO9" s="29" t="n">
        <f aca="false">IF(N(AD9)=0,"",AC9/AD9)</f>
        <v>33.7526822916667</v>
      </c>
      <c r="AP9" s="26" t="n">
        <f aca="false">IF(N(26)=0,"",X9/26)</f>
        <v>90.7992307692308</v>
      </c>
      <c r="AQ9" s="39" t="n">
        <f aca="false">IF(N(26)=0,"",AD9/26)</f>
        <v>14.7692307692308</v>
      </c>
      <c r="AR9" s="28" t="n">
        <f aca="false">IF(N(AC9)=0,"",AG9/AC9)</f>
        <v>0.0384753372224275</v>
      </c>
      <c r="AS9" s="27" t="n">
        <f aca="false">IF(OR(U9="",AP9=""),"",IF(N(U9)=0,"",AP9/U9-1))</f>
        <v>-0.117914542203185</v>
      </c>
      <c r="AT9" s="27" t="n">
        <f aca="false">IF(N(D9)=0,"",(Y9/26)/(D9/30)-1)</f>
        <v>-0.048434077877227</v>
      </c>
      <c r="AU9" s="27" t="n">
        <f aca="false">IF(OR(V9="",AQ9=""),"",IF(N(V9)=0,"",AQ9/V9-1))</f>
        <v>-0.0711175616835994</v>
      </c>
      <c r="AV9" s="27" t="n">
        <f aca="false">IF(OR(M9="",AH9=""),"",AH9-M9)</f>
        <v>-0.0318263288944255</v>
      </c>
      <c r="AW9" s="27" t="n">
        <f aca="false">IF(OR(N9="",AI9=""),"",AI9-N9)</f>
        <v>-0.0057493399420416</v>
      </c>
      <c r="AX9" s="27" t="n">
        <f aca="false">IF(OR(P9="",AK9=""),"",IF(N(P9)=0,"",AK9/P9-1))</f>
        <v>-0.103558067526939</v>
      </c>
      <c r="AY9" s="27" t="n">
        <f aca="false">IF(OR(R9="",AM9=""),"",AM9-R9)</f>
        <v>7.3991073163332E-005</v>
      </c>
      <c r="AZ9" s="27" t="n">
        <f aca="false">IF(OR(T9="",AO9=""),"",IF(N(T9)=0,"",AO9/T9-1))</f>
        <v>-0.0204053778353432</v>
      </c>
    </row>
    <row r="10" customFormat="false" ht="15" hidden="false" customHeight="false" outlineLevel="0" collapsed="false">
      <c r="A10" s="18" t="s">
        <v>98</v>
      </c>
      <c r="B10" s="14" t="s">
        <v>173</v>
      </c>
      <c r="C10" s="26" t="n">
        <v>940.9</v>
      </c>
      <c r="D10" s="26" t="n">
        <v>3326.48</v>
      </c>
      <c r="E10" s="30" t="n">
        <v>43</v>
      </c>
      <c r="F10" s="30" t="n">
        <v>1426</v>
      </c>
      <c r="G10" s="30" t="n">
        <v>114221</v>
      </c>
      <c r="H10" s="26" t="n">
        <v>11977.08</v>
      </c>
      <c r="I10" s="30" t="n">
        <v>127</v>
      </c>
      <c r="J10" s="30" t="n">
        <v>124</v>
      </c>
      <c r="K10" s="30" t="n">
        <v>5956</v>
      </c>
      <c r="L10" s="26" t="n">
        <v>-10430.65</v>
      </c>
      <c r="M10" s="28" t="n">
        <f aca="false">IF(N(D10)=0,"",C10/D10)</f>
        <v>0.282851542771939</v>
      </c>
      <c r="N10" s="28" t="n">
        <f aca="false">IF(N(H10)=0,"",C10/H10)</f>
        <v>0.0785583798388255</v>
      </c>
      <c r="O10" s="39" t="n">
        <f aca="false">IF(N(C10)=0,"",D10/C10)</f>
        <v>3.53542353066213</v>
      </c>
      <c r="P10" s="29" t="n">
        <f aca="false">IF(N(F10)=0,"",C10/F10)</f>
        <v>0.659817671809257</v>
      </c>
      <c r="Q10" s="28" t="n">
        <f aca="false">IF(N(G10)=0,"",F10/G10)</f>
        <v>0.0124845693874156</v>
      </c>
      <c r="R10" s="28" t="n">
        <f aca="false">IF(N(F10)=0,"",E10/F10)</f>
        <v>0.0301542776998597</v>
      </c>
      <c r="S10" s="28" t="n">
        <f aca="false">IF(N(J10)=0,"",E10/J10)</f>
        <v>0.346774193548387</v>
      </c>
      <c r="T10" s="29" t="n">
        <f aca="false">IF(N(I10)=0,"",H10/I10)</f>
        <v>94.3077165354331</v>
      </c>
      <c r="U10" s="26" t="n">
        <f aca="false">IF(N(30)=0,"",C10/30)</f>
        <v>31.3633333333333</v>
      </c>
      <c r="V10" s="39" t="n">
        <f aca="false">IF(N(30)=0,"",I10/30)</f>
        <v>4.23333333333333</v>
      </c>
      <c r="W10" s="28" t="n">
        <f aca="false">IF(N(H10)=0,"",L10/H10)</f>
        <v>-0.870884222197731</v>
      </c>
      <c r="X10" s="26" t="n">
        <v>780.95</v>
      </c>
      <c r="Y10" s="26" t="n">
        <v>1528.41</v>
      </c>
      <c r="Z10" s="30" t="n">
        <v>26</v>
      </c>
      <c r="AA10" s="30" t="n">
        <v>1177</v>
      </c>
      <c r="AB10" s="30" t="n">
        <v>82939</v>
      </c>
      <c r="AC10" s="26" t="n">
        <v>11536.37</v>
      </c>
      <c r="AD10" s="30" t="n">
        <v>114</v>
      </c>
      <c r="AE10" s="30" t="n">
        <v>106</v>
      </c>
      <c r="AF10" s="30" t="n">
        <v>5211</v>
      </c>
      <c r="AG10" s="26" t="n">
        <v>2153.1</v>
      </c>
      <c r="AH10" s="28" t="n">
        <f aca="false">IF(N(Y10)=0,"",X10/Y10)</f>
        <v>0.510955829914748</v>
      </c>
      <c r="AI10" s="28" t="n">
        <f aca="false">IF(N(AC10)=0,"",X10/AC10)</f>
        <v>0.0676946041085714</v>
      </c>
      <c r="AJ10" s="39" t="n">
        <f aca="false">IF(N(X10)=0,"",Y10/X10)</f>
        <v>1.95711633267175</v>
      </c>
      <c r="AK10" s="29" t="n">
        <f aca="false">IF(N(AA10)=0,"",X10/AA10)</f>
        <v>0.663508920985557</v>
      </c>
      <c r="AL10" s="28" t="n">
        <f aca="false">IF(N(AB10)=0,"",AA10/AB10)</f>
        <v>0.0141911525337899</v>
      </c>
      <c r="AM10" s="28" t="n">
        <f aca="false">IF(N(AA10)=0,"",Z10/AA10)</f>
        <v>0.022090059473237</v>
      </c>
      <c r="AN10" s="28" t="n">
        <f aca="false">IF(N(AE10)=0,"",Z10/AE10)</f>
        <v>0.245283018867925</v>
      </c>
      <c r="AO10" s="29" t="n">
        <f aca="false">IF(N(AD10)=0,"",AC10/AD10)</f>
        <v>101.196228070175</v>
      </c>
      <c r="AP10" s="26" t="n">
        <f aca="false">IF(N(26)=0,"",X10/26)</f>
        <v>30.0365384615385</v>
      </c>
      <c r="AQ10" s="39" t="n">
        <f aca="false">IF(N(26)=0,"",AD10/26)</f>
        <v>4.38461538461539</v>
      </c>
      <c r="AR10" s="28" t="n">
        <f aca="false">IF(N(AC10)=0,"",AG10/AC10)</f>
        <v>0.18663583085494</v>
      </c>
      <c r="AS10" s="27" t="n">
        <f aca="false">IF(OR(U10="",AP10=""),"",IF(N(U10)=0,"",AP10/U10-1))</f>
        <v>-0.0423040133423809</v>
      </c>
      <c r="AT10" s="27" t="n">
        <f aca="false">IF(N(D10)=0,"",(Y10/26)/(D10/30)-1)</f>
        <v>-0.469845001322719</v>
      </c>
      <c r="AU10" s="27" t="n">
        <f aca="false">IF(OR(V10="",AQ10=""),"",IF(N(V10)=0,"",AQ10/V10-1))</f>
        <v>0.0357359176256815</v>
      </c>
      <c r="AV10" s="27" t="n">
        <f aca="false">IF(OR(M10="",AH10=""),"",AH10-M10)</f>
        <v>0.228104287142809</v>
      </c>
      <c r="AW10" s="27" t="n">
        <f aca="false">IF(OR(N10="",AI10=""),"",AI10-N10)</f>
        <v>-0.0108637757302541</v>
      </c>
      <c r="AX10" s="27" t="n">
        <f aca="false">IF(OR(P10="",AK10=""),"",IF(N(P10)=0,"",AK10/P10-1))</f>
        <v>0.00559434724774555</v>
      </c>
      <c r="AY10" s="27" t="n">
        <f aca="false">IF(OR(R10="",AM10=""),"",AM10-R10)</f>
        <v>-0.00806421822662271</v>
      </c>
      <c r="AZ10" s="27" t="n">
        <f aca="false">IF(OR(T10="",AO10=""),"",IF(N(T10)=0,"",AO10/T10-1))</f>
        <v>0.073042925730836</v>
      </c>
    </row>
    <row r="11" customFormat="false" ht="15" hidden="false" customHeight="false" outlineLevel="0" collapsed="false">
      <c r="A11" s="18" t="s">
        <v>118</v>
      </c>
      <c r="B11" s="14" t="s">
        <v>174</v>
      </c>
      <c r="C11" s="26" t="n">
        <v>647.67</v>
      </c>
      <c r="D11" s="26" t="n">
        <v>2431.26</v>
      </c>
      <c r="E11" s="30" t="n">
        <v>28</v>
      </c>
      <c r="F11" s="30" t="n">
        <v>947</v>
      </c>
      <c r="G11" s="30" t="n">
        <v>84718</v>
      </c>
      <c r="H11" s="26" t="n">
        <v>11943.21</v>
      </c>
      <c r="I11" s="30" t="n">
        <v>126</v>
      </c>
      <c r="J11" s="30" t="n">
        <v>120</v>
      </c>
      <c r="K11" s="30" t="n">
        <v>3577</v>
      </c>
      <c r="L11" s="26" t="n">
        <v>-1756.35</v>
      </c>
      <c r="M11" s="28" t="n">
        <f aca="false">IF(N(D11)=0,"",C11/D11)</f>
        <v>0.266392734631426</v>
      </c>
      <c r="N11" s="28" t="n">
        <f aca="false">IF(N(H11)=0,"",C11/H11)</f>
        <v>0.054229139402221</v>
      </c>
      <c r="O11" s="39" t="n">
        <f aca="false">IF(N(C11)=0,"",D11/C11)</f>
        <v>3.7538561304368</v>
      </c>
      <c r="P11" s="29" t="n">
        <f aca="false">IF(N(F11)=0,"",C11/F11)</f>
        <v>0.683917634635692</v>
      </c>
      <c r="Q11" s="28" t="n">
        <f aca="false">IF(N(G11)=0,"",F11/G11)</f>
        <v>0.0111782619986308</v>
      </c>
      <c r="R11" s="28" t="n">
        <f aca="false">IF(N(F11)=0,"",E11/F11)</f>
        <v>0.0295670538542767</v>
      </c>
      <c r="S11" s="28" t="n">
        <f aca="false">IF(N(J11)=0,"",E11/J11)</f>
        <v>0.233333333333333</v>
      </c>
      <c r="T11" s="29" t="n">
        <f aca="false">IF(N(I11)=0,"",H11/I11)</f>
        <v>94.7873809523809</v>
      </c>
      <c r="U11" s="26" t="n">
        <f aca="false">IF(N(30)=0,"",C11/30)</f>
        <v>21.589</v>
      </c>
      <c r="V11" s="39" t="n">
        <f aca="false">IF(N(30)=0,"",I11/30)</f>
        <v>4.2</v>
      </c>
      <c r="W11" s="28" t="n">
        <f aca="false">IF(N(H11)=0,"",L11/H11)</f>
        <v>-0.14705845413419</v>
      </c>
      <c r="X11" s="26" t="n">
        <v>1027.4</v>
      </c>
      <c r="Y11" s="26" t="n">
        <v>2387.99</v>
      </c>
      <c r="Z11" s="30" t="n">
        <v>26</v>
      </c>
      <c r="AA11" s="30" t="n">
        <v>1690</v>
      </c>
      <c r="AB11" s="30" t="n">
        <v>156231</v>
      </c>
      <c r="AC11" s="26" t="n">
        <v>10303.59</v>
      </c>
      <c r="AD11" s="30" t="n">
        <v>106</v>
      </c>
      <c r="AE11" s="30" t="n">
        <v>104</v>
      </c>
      <c r="AF11" s="30" t="n">
        <v>4300</v>
      </c>
      <c r="AG11" s="26" t="n">
        <v>2550.54</v>
      </c>
      <c r="AH11" s="28" t="n">
        <f aca="false">IF(N(Y11)=0,"",X11/Y11)</f>
        <v>0.430236307522226</v>
      </c>
      <c r="AI11" s="28" t="n">
        <f aca="false">IF(N(AC11)=0,"",X11/AC11)</f>
        <v>0.0997128185418869</v>
      </c>
      <c r="AJ11" s="39" t="n">
        <f aca="false">IF(N(X11)=0,"",Y11/X11)</f>
        <v>2.32430406852248</v>
      </c>
      <c r="AK11" s="29" t="n">
        <f aca="false">IF(N(AA11)=0,"",X11/AA11)</f>
        <v>0.60792899408284</v>
      </c>
      <c r="AL11" s="28" t="n">
        <f aca="false">IF(N(AB11)=0,"",AA11/AB11)</f>
        <v>0.0108173153855509</v>
      </c>
      <c r="AM11" s="28" t="n">
        <f aca="false">IF(N(AA11)=0,"",Z11/AA11)</f>
        <v>0.0153846153846154</v>
      </c>
      <c r="AN11" s="28" t="n">
        <f aca="false">IF(N(AE11)=0,"",Z11/AE11)</f>
        <v>0.25</v>
      </c>
      <c r="AO11" s="29" t="n">
        <f aca="false">IF(N(AD11)=0,"",AC11/AD11)</f>
        <v>97.203679245283</v>
      </c>
      <c r="AP11" s="26" t="n">
        <f aca="false">IF(N(26)=0,"",X11/26)</f>
        <v>39.5153846153846</v>
      </c>
      <c r="AQ11" s="39" t="n">
        <f aca="false">IF(N(26)=0,"",AD11/26)</f>
        <v>4.07692307692308</v>
      </c>
      <c r="AR11" s="28" t="n">
        <f aca="false">IF(N(AC11)=0,"",AG11/AC11)</f>
        <v>0.247538964574483</v>
      </c>
      <c r="AS11" s="27" t="n">
        <f aca="false">IF(OR(U11="",AP11=""),"",IF(N(U11)=0,"",AP11/U11-1))</f>
        <v>0.830348076121387</v>
      </c>
      <c r="AT11" s="27" t="n">
        <f aca="false">IF(N(D11)=0,"",(Y11/26)/(D11/30)-1)</f>
        <v>0.133310742957593</v>
      </c>
      <c r="AU11" s="27" t="n">
        <f aca="false">IF(OR(V11="",AQ11=""),"",IF(N(V11)=0,"",AQ11/V11-1))</f>
        <v>-0.0293040293040294</v>
      </c>
      <c r="AV11" s="27" t="n">
        <f aca="false">IF(OR(M11="",AH11=""),"",AH11-M11)</f>
        <v>0.1638435728908</v>
      </c>
      <c r="AW11" s="27" t="n">
        <f aca="false">IF(OR(N11="",AI11=""),"",AI11-N11)</f>
        <v>0.0454836791396659</v>
      </c>
      <c r="AX11" s="27" t="n">
        <f aca="false">IF(OR(P11="",AK11=""),"",IF(N(P11)=0,"",AK11/P11-1))</f>
        <v>-0.111107883032332</v>
      </c>
      <c r="AY11" s="27" t="n">
        <f aca="false">IF(OR(R11="",AM11=""),"",AM11-R11)</f>
        <v>-0.0141824384696613</v>
      </c>
      <c r="AZ11" s="27" t="n">
        <f aca="false">IF(OR(T11="",AO11=""),"",IF(N(T11)=0,"",AO11/T11-1))</f>
        <v>0.025491771885922</v>
      </c>
    </row>
    <row r="12" customFormat="false" ht="15" hidden="false" customHeight="false" outlineLevel="0" collapsed="false">
      <c r="A12" s="18" t="s">
        <v>84</v>
      </c>
      <c r="B12" s="14" t="s">
        <v>175</v>
      </c>
      <c r="C12" s="26" t="n">
        <v>884.89</v>
      </c>
      <c r="D12" s="26" t="n">
        <v>1604.97</v>
      </c>
      <c r="E12" s="30" t="n">
        <v>25</v>
      </c>
      <c r="F12" s="30" t="n">
        <v>1005</v>
      </c>
      <c r="G12" s="30" t="n">
        <v>93601</v>
      </c>
      <c r="H12" s="26" t="n">
        <v>1431.16</v>
      </c>
      <c r="I12" s="30" t="n">
        <v>28</v>
      </c>
      <c r="J12" s="30" t="n">
        <v>27</v>
      </c>
      <c r="K12" s="30" t="n">
        <v>1945</v>
      </c>
      <c r="L12" s="26" t="n">
        <v>-2584.79</v>
      </c>
      <c r="M12" s="28" t="n">
        <f aca="false">IF(N(D12)=0,"",C12/D12)</f>
        <v>0.551343638821909</v>
      </c>
      <c r="N12" s="28" t="n">
        <f aca="false">IF(N(H12)=0,"",C12/H12)</f>
        <v>0.618302635624249</v>
      </c>
      <c r="O12" s="39" t="n">
        <f aca="false">IF(N(C12)=0,"",D12/C12)</f>
        <v>1.81375086168902</v>
      </c>
      <c r="P12" s="29" t="n">
        <f aca="false">IF(N(F12)=0,"",C12/F12)</f>
        <v>0.880487562189055</v>
      </c>
      <c r="Q12" s="28" t="n">
        <f aca="false">IF(N(G12)=0,"",F12/G12)</f>
        <v>0.010737064774949</v>
      </c>
      <c r="R12" s="28" t="n">
        <f aca="false">IF(N(F12)=0,"",E12/F12)</f>
        <v>0.0248756218905473</v>
      </c>
      <c r="S12" s="28" t="n">
        <f aca="false">IF(N(J12)=0,"",E12/J12)</f>
        <v>0.925925925925926</v>
      </c>
      <c r="T12" s="29" t="n">
        <f aca="false">IF(N(I12)=0,"",H12/I12)</f>
        <v>51.1128571428571</v>
      </c>
      <c r="U12" s="26" t="n">
        <f aca="false">IF(N(30)=0,"",C12/30)</f>
        <v>29.4963333333333</v>
      </c>
      <c r="V12" s="39" t="n">
        <f aca="false">IF(N(30)=0,"",I12/30)</f>
        <v>0.933333333333333</v>
      </c>
      <c r="W12" s="28" t="n">
        <f aca="false">IF(N(H12)=0,"",L12/H12)</f>
        <v>-1.80608038234719</v>
      </c>
      <c r="X12" s="26" t="n">
        <v>634.88</v>
      </c>
      <c r="Y12" s="26" t="n">
        <v>538.59</v>
      </c>
      <c r="Z12" s="30" t="n">
        <v>11</v>
      </c>
      <c r="AA12" s="30" t="n">
        <v>689</v>
      </c>
      <c r="AB12" s="30" t="n">
        <v>69389</v>
      </c>
      <c r="AC12" s="26" t="n">
        <v>705.89</v>
      </c>
      <c r="AD12" s="30" t="n">
        <v>13</v>
      </c>
      <c r="AE12" s="30" t="n">
        <v>12</v>
      </c>
      <c r="AF12" s="30" t="n">
        <v>1380</v>
      </c>
      <c r="AG12" s="26" t="n">
        <v>-4480.38</v>
      </c>
      <c r="AH12" s="28" t="n">
        <f aca="false">IF(N(Y12)=0,"",X12/Y12)</f>
        <v>1.17878163352457</v>
      </c>
      <c r="AI12" s="28" t="n">
        <f aca="false">IF(N(AC12)=0,"",X12/AC12)</f>
        <v>0.899403589794444</v>
      </c>
      <c r="AJ12" s="39" t="n">
        <f aca="false">IF(N(X12)=0,"",Y12/X12)</f>
        <v>0.848333543346774</v>
      </c>
      <c r="AK12" s="29" t="n">
        <f aca="false">IF(N(AA12)=0,"",X12/AA12)</f>
        <v>0.921451378809869</v>
      </c>
      <c r="AL12" s="28" t="n">
        <f aca="false">IF(N(AB12)=0,"",AA12/AB12)</f>
        <v>0.00992952773494358</v>
      </c>
      <c r="AM12" s="28" t="n">
        <f aca="false">IF(N(AA12)=0,"",Z12/AA12)</f>
        <v>0.0159651669085631</v>
      </c>
      <c r="AN12" s="28" t="n">
        <f aca="false">IF(N(AE12)=0,"",Z12/AE12)</f>
        <v>0.916666666666667</v>
      </c>
      <c r="AO12" s="29" t="n">
        <f aca="false">IF(N(AD12)=0,"",AC12/AD12)</f>
        <v>54.2992307692308</v>
      </c>
      <c r="AP12" s="26" t="n">
        <f aca="false">IF(N(26)=0,"",X12/26)</f>
        <v>24.4184615384615</v>
      </c>
      <c r="AQ12" s="39" t="n">
        <f aca="false">IF(N(26)=0,"",AD12/26)</f>
        <v>0.5</v>
      </c>
      <c r="AR12" s="28" t="n">
        <f aca="false">IF(N(AC12)=0,"",AG12/AC12)</f>
        <v>-6.34713623935741</v>
      </c>
      <c r="AS12" s="27" t="n">
        <f aca="false">IF(OR(U12="",AP12=""),"",IF(N(U12)=0,"",AP12/U12-1))</f>
        <v>-0.172152644787662</v>
      </c>
      <c r="AT12" s="27" t="n">
        <f aca="false">IF(N(D12)=0,"",(Y12/26)/(D12/30)-1)</f>
        <v>-0.612796500869175</v>
      </c>
      <c r="AU12" s="27" t="n">
        <f aca="false">IF(OR(V12="",AQ12=""),"",IF(N(V12)=0,"",AQ12/V12-1))</f>
        <v>-0.464285714285714</v>
      </c>
      <c r="AV12" s="27" t="n">
        <f aca="false">IF(OR(M12="",AH12=""),"",AH12-M12)</f>
        <v>0.627437994702664</v>
      </c>
      <c r="AW12" s="27" t="n">
        <f aca="false">IF(OR(N12="",AI12=""),"",AI12-N12)</f>
        <v>0.281100954170195</v>
      </c>
      <c r="AX12" s="27" t="n">
        <f aca="false">IF(OR(P12="",AK12=""),"",IF(N(P12)=0,"",AK12/P12-1))</f>
        <v>0.0465240150797486</v>
      </c>
      <c r="AY12" s="27" t="n">
        <f aca="false">IF(OR(R12="",AM12=""),"",AM12-R12)</f>
        <v>-0.00891045498198413</v>
      </c>
      <c r="AZ12" s="27" t="n">
        <f aca="false">IF(OR(T12="",AO12=""),"",IF(N(T12)=0,"",AO12/T12-1))</f>
        <v>0.0623399630638513</v>
      </c>
    </row>
    <row r="13" customFormat="false" ht="15" hidden="false" customHeight="false" outlineLevel="0" collapsed="false">
      <c r="A13" s="18" t="s">
        <v>90</v>
      </c>
      <c r="B13" s="14" t="s">
        <v>176</v>
      </c>
      <c r="C13" s="26" t="n">
        <v>754.08</v>
      </c>
      <c r="D13" s="26" t="n">
        <v>1338.04</v>
      </c>
      <c r="E13" s="30" t="n">
        <v>16</v>
      </c>
      <c r="F13" s="30" t="n">
        <v>788</v>
      </c>
      <c r="G13" s="30" t="n">
        <v>67418</v>
      </c>
      <c r="H13" s="26" t="n">
        <v>4919.69</v>
      </c>
      <c r="I13" s="30" t="n">
        <v>51</v>
      </c>
      <c r="J13" s="30" t="n">
        <v>47</v>
      </c>
      <c r="K13" s="30" t="n">
        <v>2087</v>
      </c>
      <c r="L13" s="26" t="n">
        <v>564.85</v>
      </c>
      <c r="M13" s="28" t="n">
        <f aca="false">IF(N(D13)=0,"",C13/D13)</f>
        <v>0.563570595796837</v>
      </c>
      <c r="N13" s="28" t="n">
        <f aca="false">IF(N(H13)=0,"",C13/H13)</f>
        <v>0.153277950439967</v>
      </c>
      <c r="O13" s="39" t="n">
        <f aca="false">IF(N(C13)=0,"",D13/C13)</f>
        <v>1.77440059410142</v>
      </c>
      <c r="P13" s="29" t="n">
        <f aca="false">IF(N(F13)=0,"",C13/F13)</f>
        <v>0.956954314720812</v>
      </c>
      <c r="Q13" s="28" t="n">
        <f aca="false">IF(N(G13)=0,"",F13/G13)</f>
        <v>0.0116882731614702</v>
      </c>
      <c r="R13" s="28" t="n">
        <f aca="false">IF(N(F13)=0,"",E13/F13)</f>
        <v>0.0203045685279188</v>
      </c>
      <c r="S13" s="28" t="n">
        <f aca="false">IF(N(J13)=0,"",E13/J13)</f>
        <v>0.340425531914894</v>
      </c>
      <c r="T13" s="29" t="n">
        <f aca="false">IF(N(I13)=0,"",H13/I13)</f>
        <v>96.4645098039216</v>
      </c>
      <c r="U13" s="26" t="n">
        <f aca="false">IF(N(30)=0,"",C13/30)</f>
        <v>25.136</v>
      </c>
      <c r="V13" s="39" t="n">
        <f aca="false">IF(N(30)=0,"",I13/30)</f>
        <v>1.7</v>
      </c>
      <c r="W13" s="28" t="n">
        <f aca="false">IF(N(H13)=0,"",L13/H13)</f>
        <v>0.114814144793676</v>
      </c>
      <c r="X13" s="26" t="n">
        <v>543.62</v>
      </c>
      <c r="Y13" s="26" t="n">
        <v>387.7</v>
      </c>
      <c r="Z13" s="30" t="n">
        <v>4</v>
      </c>
      <c r="AA13" s="30" t="n">
        <v>540</v>
      </c>
      <c r="AB13" s="30" t="n">
        <v>43689</v>
      </c>
      <c r="AC13" s="26" t="n">
        <v>3150.09</v>
      </c>
      <c r="AD13" s="30" t="n">
        <v>31</v>
      </c>
      <c r="AE13" s="30" t="n">
        <v>31</v>
      </c>
      <c r="AF13" s="30" t="n">
        <v>1606</v>
      </c>
      <c r="AG13" s="26" t="n">
        <v>-13.02</v>
      </c>
      <c r="AH13" s="28" t="n">
        <f aca="false">IF(N(Y13)=0,"",X13/Y13)</f>
        <v>1.4021666236781</v>
      </c>
      <c r="AI13" s="28" t="n">
        <f aca="false">IF(N(AC13)=0,"",X13/AC13)</f>
        <v>0.172572847125003</v>
      </c>
      <c r="AJ13" s="39" t="n">
        <f aca="false">IF(N(X13)=0,"",Y13/X13)</f>
        <v>0.713182002133843</v>
      </c>
      <c r="AK13" s="29" t="n">
        <f aca="false">IF(N(AA13)=0,"",X13/AA13)</f>
        <v>1.0067037037037</v>
      </c>
      <c r="AL13" s="28" t="n">
        <f aca="false">IF(N(AB13)=0,"",AA13/AB13)</f>
        <v>0.0123600906406647</v>
      </c>
      <c r="AM13" s="28" t="n">
        <f aca="false">IF(N(AA13)=0,"",Z13/AA13)</f>
        <v>0.00740740740740741</v>
      </c>
      <c r="AN13" s="28" t="n">
        <f aca="false">IF(N(AE13)=0,"",Z13/AE13)</f>
        <v>0.129032258064516</v>
      </c>
      <c r="AO13" s="29" t="n">
        <f aca="false">IF(N(AD13)=0,"",AC13/AD13)</f>
        <v>101.615806451613</v>
      </c>
      <c r="AP13" s="26" t="n">
        <f aca="false">IF(N(26)=0,"",X13/26)</f>
        <v>20.9084615384615</v>
      </c>
      <c r="AQ13" s="39" t="n">
        <f aca="false">IF(N(26)=0,"",AD13/26)</f>
        <v>1.19230769230769</v>
      </c>
      <c r="AR13" s="28" t="n">
        <f aca="false">IF(N(AC13)=0,"",AG13/AC13)</f>
        <v>-0.00413321524146929</v>
      </c>
      <c r="AS13" s="27" t="n">
        <f aca="false">IF(OR(U13="",AP13=""),"",IF(N(U13)=0,"",AP13/U13-1))</f>
        <v>-0.168186603339372</v>
      </c>
      <c r="AT13" s="27" t="n">
        <f aca="false">IF(N(D13)=0,"",(Y13/26)/(D13/30)-1)</f>
        <v>-0.665670567512067</v>
      </c>
      <c r="AU13" s="27" t="n">
        <f aca="false">IF(OR(V13="",AQ13=""),"",IF(N(V13)=0,"",AQ13/V13-1))</f>
        <v>-0.298642533936652</v>
      </c>
      <c r="AV13" s="27" t="n">
        <f aca="false">IF(OR(M13="",AH13=""),"",AH13-M13)</f>
        <v>0.838596027881264</v>
      </c>
      <c r="AW13" s="27" t="n">
        <f aca="false">IF(OR(N13="",AI13=""),"",AI13-N13)</f>
        <v>0.019294896685036</v>
      </c>
      <c r="AX13" s="27" t="n">
        <f aca="false">IF(OR(P13="",AK13=""),"",IF(N(P13)=0,"",AK13/P13-1))</f>
        <v>0.0519872142458604</v>
      </c>
      <c r="AY13" s="27" t="n">
        <f aca="false">IF(OR(R13="",AM13=""),"",AM13-R13)</f>
        <v>-0.0128971611205114</v>
      </c>
      <c r="AZ13" s="27" t="n">
        <f aca="false">IF(OR(T13="",AO13=""),"",IF(N(T13)=0,"",AO13/T13-1))</f>
        <v>0.0534009518958021</v>
      </c>
    </row>
    <row r="14" customFormat="false" ht="15" hidden="false" customHeight="false" outlineLevel="0" collapsed="false">
      <c r="A14" s="18" t="s">
        <v>109</v>
      </c>
      <c r="B14" s="14" t="s">
        <v>177</v>
      </c>
      <c r="C14" s="26" t="n">
        <v>641.88</v>
      </c>
      <c r="D14" s="26" t="n">
        <v>1218.98</v>
      </c>
      <c r="E14" s="30" t="n">
        <v>42</v>
      </c>
      <c r="F14" s="30" t="n">
        <v>1115</v>
      </c>
      <c r="G14" s="30" t="n">
        <v>166518</v>
      </c>
      <c r="H14" s="26" t="n">
        <v>1471.75</v>
      </c>
      <c r="I14" s="30" t="n">
        <v>61</v>
      </c>
      <c r="J14" s="30" t="n">
        <v>58</v>
      </c>
      <c r="K14" s="30" t="n">
        <v>2087</v>
      </c>
      <c r="L14" s="26" t="n">
        <v>-348.81</v>
      </c>
      <c r="M14" s="28" t="n">
        <f aca="false">IF(N(D14)=0,"",C14/D14)</f>
        <v>0.526571395757108</v>
      </c>
      <c r="N14" s="28" t="n">
        <f aca="false">IF(N(H14)=0,"",C14/H14)</f>
        <v>0.436133854255138</v>
      </c>
      <c r="O14" s="39" t="n">
        <f aca="false">IF(N(C14)=0,"",D14/C14)</f>
        <v>1.89907770922914</v>
      </c>
      <c r="P14" s="29" t="n">
        <f aca="false">IF(N(F14)=0,"",C14/F14)</f>
        <v>0.575677130044843</v>
      </c>
      <c r="Q14" s="28" t="n">
        <f aca="false">IF(N(G14)=0,"",F14/G14)</f>
        <v>0.00669597280774451</v>
      </c>
      <c r="R14" s="28" t="n">
        <f aca="false">IF(N(F14)=0,"",E14/F14)</f>
        <v>0.0376681614349776</v>
      </c>
      <c r="S14" s="28" t="n">
        <f aca="false">IF(N(J14)=0,"",E14/J14)</f>
        <v>0.724137931034483</v>
      </c>
      <c r="T14" s="29" t="n">
        <f aca="false">IF(N(I14)=0,"",H14/I14)</f>
        <v>24.1270491803279</v>
      </c>
      <c r="U14" s="26" t="n">
        <f aca="false">IF(N(30)=0,"",C14/30)</f>
        <v>21.396</v>
      </c>
      <c r="V14" s="39" t="n">
        <f aca="false">IF(N(30)=0,"",I14/30)</f>
        <v>2.03333333333333</v>
      </c>
      <c r="W14" s="28" t="n">
        <f aca="false">IF(N(H14)=0,"",L14/H14)</f>
        <v>-0.237003567181926</v>
      </c>
      <c r="X14" s="26" t="n">
        <v>595.97</v>
      </c>
      <c r="Y14" s="26" t="n">
        <v>1073.72</v>
      </c>
      <c r="Z14" s="30" t="n">
        <v>37</v>
      </c>
      <c r="AA14" s="30" t="n">
        <v>954</v>
      </c>
      <c r="AB14" s="30" t="n">
        <v>119856</v>
      </c>
      <c r="AC14" s="26" t="n">
        <v>1316.56</v>
      </c>
      <c r="AD14" s="30" t="n">
        <v>58</v>
      </c>
      <c r="AE14" s="30" t="n">
        <v>53</v>
      </c>
      <c r="AF14" s="30" t="n">
        <v>1642</v>
      </c>
      <c r="AG14" s="26" t="n">
        <v>-305.44</v>
      </c>
      <c r="AH14" s="28" t="n">
        <f aca="false">IF(N(Y14)=0,"",X14/Y14)</f>
        <v>0.555051596319338</v>
      </c>
      <c r="AI14" s="28" t="n">
        <f aca="false">IF(N(AC14)=0,"",X14/AC14)</f>
        <v>0.452672115209334</v>
      </c>
      <c r="AJ14" s="39" t="n">
        <f aca="false">IF(N(X14)=0,"",Y14/X14)</f>
        <v>1.80163431045187</v>
      </c>
      <c r="AK14" s="29" t="n">
        <f aca="false">IF(N(AA14)=0,"",X14/AA14)</f>
        <v>0.624706498951782</v>
      </c>
      <c r="AL14" s="28" t="n">
        <f aca="false">IF(N(AB14)=0,"",AA14/AB14)</f>
        <v>0.0079595514617541</v>
      </c>
      <c r="AM14" s="28" t="n">
        <f aca="false">IF(N(AA14)=0,"",Z14/AA14)</f>
        <v>0.0387840670859539</v>
      </c>
      <c r="AN14" s="28" t="n">
        <f aca="false">IF(N(AE14)=0,"",Z14/AE14)</f>
        <v>0.69811320754717</v>
      </c>
      <c r="AO14" s="29" t="n">
        <f aca="false">IF(N(AD14)=0,"",AC14/AD14)</f>
        <v>22.6993103448276</v>
      </c>
      <c r="AP14" s="26" t="n">
        <f aca="false">IF(N(26)=0,"",X14/26)</f>
        <v>22.9219230769231</v>
      </c>
      <c r="AQ14" s="39" t="n">
        <f aca="false">IF(N(26)=0,"",AD14/26)</f>
        <v>2.23076923076923</v>
      </c>
      <c r="AR14" s="28" t="n">
        <f aca="false">IF(N(AC14)=0,"",AG14/AC14)</f>
        <v>-0.231998541654007</v>
      </c>
      <c r="AS14" s="27" t="n">
        <f aca="false">IF(OR(U14="",AP14=""),"",IF(N(U14)=0,"",AP14/U14-1))</f>
        <v>0.0713181471734472</v>
      </c>
      <c r="AT14" s="27" t="n">
        <f aca="false">IF(N(D14)=0,"",(Y14/26)/(D14/30)-1)</f>
        <v>0.0163478418905088</v>
      </c>
      <c r="AU14" s="27" t="n">
        <f aca="false">IF(OR(V14="",AQ14=""),"",IF(N(V14)=0,"",AQ14/V14-1))</f>
        <v>0.0970996216897857</v>
      </c>
      <c r="AV14" s="27" t="n">
        <f aca="false">IF(OR(M14="",AH14=""),"",AH14-M14)</f>
        <v>0.02848020056223</v>
      </c>
      <c r="AW14" s="27" t="n">
        <f aca="false">IF(OR(N14="",AI14=""),"",AI14-N14)</f>
        <v>0.016538260954195</v>
      </c>
      <c r="AX14" s="27" t="n">
        <f aca="false">IF(OR(P14="",AK14=""),"",IF(N(P14)=0,"",AK14/P14-1))</f>
        <v>0.0851681721369055</v>
      </c>
      <c r="AY14" s="27" t="n">
        <f aca="false">IF(OR(R14="",AM14=""),"",AM14-R14)</f>
        <v>0.0011159056509763</v>
      </c>
      <c r="AZ14" s="27" t="n">
        <f aca="false">IF(OR(T14="",AO14=""),"",IF(N(T14)=0,"",AO14/T14-1))</f>
        <v>-0.0591758579687566</v>
      </c>
    </row>
    <row r="15" customFormat="false" ht="15" hidden="false" customHeight="false" outlineLevel="0" collapsed="false">
      <c r="A15" s="18" t="s">
        <v>138</v>
      </c>
      <c r="B15" s="14" t="s">
        <v>178</v>
      </c>
      <c r="C15" s="26" t="n">
        <v>769.84</v>
      </c>
      <c r="D15" s="26" t="n">
        <v>1455.43</v>
      </c>
      <c r="E15" s="30" t="n">
        <v>24</v>
      </c>
      <c r="F15" s="30" t="n">
        <v>1591</v>
      </c>
      <c r="G15" s="30" t="n">
        <v>97977</v>
      </c>
      <c r="H15" s="26" t="n">
        <v>2056.15</v>
      </c>
      <c r="I15" s="30" t="n">
        <v>40</v>
      </c>
      <c r="J15" s="30" t="n">
        <v>40</v>
      </c>
      <c r="K15" s="30" t="n">
        <v>3348</v>
      </c>
      <c r="L15" s="26" t="n">
        <v>-2463.18</v>
      </c>
      <c r="M15" s="28" t="n">
        <f aca="false">IF(N(D15)=0,"",C15/D15)</f>
        <v>0.528943336333592</v>
      </c>
      <c r="N15" s="28" t="n">
        <f aca="false">IF(N(H15)=0,"",C15/H15)</f>
        <v>0.374408481871459</v>
      </c>
      <c r="O15" s="39" t="n">
        <f aca="false">IF(N(C15)=0,"",D15/C15)</f>
        <v>1.89056167515328</v>
      </c>
      <c r="P15" s="29" t="n">
        <f aca="false">IF(N(F15)=0,"",C15/F15)</f>
        <v>0.4838717787555</v>
      </c>
      <c r="Q15" s="28" t="n">
        <f aca="false">IF(N(G15)=0,"",F15/G15)</f>
        <v>0.0162385049552446</v>
      </c>
      <c r="R15" s="28" t="n">
        <f aca="false">IF(N(F15)=0,"",E15/F15)</f>
        <v>0.0150848522941546</v>
      </c>
      <c r="S15" s="28" t="n">
        <f aca="false">IF(N(J15)=0,"",E15/J15)</f>
        <v>0.6</v>
      </c>
      <c r="T15" s="29" t="n">
        <f aca="false">IF(N(I15)=0,"",H15/I15)</f>
        <v>51.40375</v>
      </c>
      <c r="U15" s="26" t="n">
        <f aca="false">IF(N(30)=0,"",C15/30)</f>
        <v>25.6613333333333</v>
      </c>
      <c r="V15" s="39" t="n">
        <f aca="false">IF(N(30)=0,"",I15/30)</f>
        <v>1.33333333333333</v>
      </c>
      <c r="W15" s="28" t="n">
        <f aca="false">IF(N(H15)=0,"",L15/H15)</f>
        <v>-1.19795734746979</v>
      </c>
      <c r="X15" s="26" t="n">
        <v>417.26</v>
      </c>
      <c r="Y15" s="26" t="n">
        <v>992.06</v>
      </c>
      <c r="Z15" s="30" t="n">
        <v>20</v>
      </c>
      <c r="AA15" s="30" t="n">
        <v>683</v>
      </c>
      <c r="AB15" s="30" t="n">
        <v>52419</v>
      </c>
      <c r="AC15" s="26" t="n">
        <v>2715.7</v>
      </c>
      <c r="AD15" s="30" t="n">
        <v>57</v>
      </c>
      <c r="AE15" s="30" t="n">
        <v>57</v>
      </c>
      <c r="AF15" s="30" t="n">
        <v>2160</v>
      </c>
      <c r="AG15" s="26" t="n">
        <v>-463.88</v>
      </c>
      <c r="AH15" s="28" t="n">
        <f aca="false">IF(N(Y15)=0,"",X15/Y15)</f>
        <v>0.420599560510453</v>
      </c>
      <c r="AI15" s="28" t="n">
        <f aca="false">IF(N(AC15)=0,"",X15/AC15)</f>
        <v>0.153647310085797</v>
      </c>
      <c r="AJ15" s="39" t="n">
        <f aca="false">IF(N(X15)=0,"",Y15/X15)</f>
        <v>2.37755835689977</v>
      </c>
      <c r="AK15" s="29" t="n">
        <f aca="false">IF(N(AA15)=0,"",X15/AA15)</f>
        <v>0.610922401171303</v>
      </c>
      <c r="AL15" s="28" t="n">
        <f aca="false">IF(N(AB15)=0,"",AA15/AB15)</f>
        <v>0.0130296266620882</v>
      </c>
      <c r="AM15" s="28" t="n">
        <f aca="false">IF(N(AA15)=0,"",Z15/AA15)</f>
        <v>0.0292825768667643</v>
      </c>
      <c r="AN15" s="28" t="n">
        <f aca="false">IF(N(AE15)=0,"",Z15/AE15)</f>
        <v>0.350877192982456</v>
      </c>
      <c r="AO15" s="29" t="n">
        <f aca="false">IF(N(AD15)=0,"",AC15/AD15)</f>
        <v>47.6438596491228</v>
      </c>
      <c r="AP15" s="26" t="n">
        <f aca="false">IF(N(26)=0,"",X15/26)</f>
        <v>16.0484615384615</v>
      </c>
      <c r="AQ15" s="39" t="n">
        <f aca="false">IF(N(26)=0,"",AD15/26)</f>
        <v>2.19230769230769</v>
      </c>
      <c r="AR15" s="28" t="n">
        <f aca="false">IF(N(AC15)=0,"",AG15/AC15)</f>
        <v>-0.170814154729904</v>
      </c>
      <c r="AS15" s="27" t="n">
        <f aca="false">IF(OR(U15="",AP15=""),"",IF(N(U15)=0,"",AP15/U15-1))</f>
        <v>-0.374605312592427</v>
      </c>
      <c r="AT15" s="27" t="n">
        <f aca="false">IF(N(D15)=0,"",(Y15/26)/(D15/30)-1)</f>
        <v>-0.213507612606161</v>
      </c>
      <c r="AU15" s="27" t="n">
        <f aca="false">IF(OR(V15="",AQ15=""),"",IF(N(V15)=0,"",AQ15/V15-1))</f>
        <v>0.644230769230769</v>
      </c>
      <c r="AV15" s="27" t="n">
        <f aca="false">IF(OR(M15="",AH15=""),"",AH15-M15)</f>
        <v>-0.108343775823139</v>
      </c>
      <c r="AW15" s="27" t="n">
        <f aca="false">IF(OR(N15="",AI15=""),"",AI15-N15)</f>
        <v>-0.220761171785661</v>
      </c>
      <c r="AX15" s="27" t="n">
        <f aca="false">IF(OR(P15="",AK15=""),"",IF(N(P15)=0,"",AK15/P15-1))</f>
        <v>0.26257084623239</v>
      </c>
      <c r="AY15" s="27" t="n">
        <f aca="false">IF(OR(R15="",AM15=""),"",AM15-R15)</f>
        <v>0.0141977245726097</v>
      </c>
      <c r="AZ15" s="27" t="n">
        <f aca="false">IF(OR(T15="",AO15=""),"",IF(N(T15)=0,"",AO15/T15-1))</f>
        <v>-0.073144281319499</v>
      </c>
    </row>
    <row r="16" customFormat="false" ht="15" hidden="false" customHeight="false" outlineLevel="0" collapsed="false">
      <c r="A16" s="18" t="s">
        <v>179</v>
      </c>
      <c r="B16" s="14" t="s">
        <v>180</v>
      </c>
      <c r="C16" s="26" t="n">
        <v>440.67</v>
      </c>
      <c r="D16" s="26" t="n">
        <v>1074.28</v>
      </c>
      <c r="E16" s="30" t="n">
        <v>28</v>
      </c>
      <c r="F16" s="30" t="n">
        <v>880</v>
      </c>
      <c r="G16" s="30" t="n">
        <v>124457</v>
      </c>
      <c r="H16" s="26" t="n">
        <v>2381.9</v>
      </c>
      <c r="I16" s="30" t="n">
        <v>89</v>
      </c>
      <c r="J16" s="30" t="n">
        <v>83</v>
      </c>
      <c r="K16" s="30" t="n">
        <v>1850</v>
      </c>
      <c r="L16" s="26" t="n">
        <v>-539.49</v>
      </c>
      <c r="M16" s="28" t="n">
        <f aca="false">IF(N(D16)=0,"",C16/D16)</f>
        <v>0.410200320214469</v>
      </c>
      <c r="N16" s="28" t="n">
        <f aca="false">IF(N(H16)=0,"",C16/H16)</f>
        <v>0.18500776690877</v>
      </c>
      <c r="O16" s="39" t="n">
        <f aca="false">IF(N(C16)=0,"",D16/C16)</f>
        <v>2.43783329929426</v>
      </c>
      <c r="P16" s="29" t="n">
        <f aca="false">IF(N(F16)=0,"",C16/F16)</f>
        <v>0.500761363636364</v>
      </c>
      <c r="Q16" s="28" t="n">
        <f aca="false">IF(N(G16)=0,"",F16/G16)</f>
        <v>0.00707071518677133</v>
      </c>
      <c r="R16" s="28" t="n">
        <f aca="false">IF(N(F16)=0,"",E16/F16)</f>
        <v>0.0318181818181818</v>
      </c>
      <c r="S16" s="28" t="n">
        <f aca="false">IF(N(J16)=0,"",E16/J16)</f>
        <v>0.337349397590361</v>
      </c>
      <c r="T16" s="29" t="n">
        <f aca="false">IF(N(I16)=0,"",H16/I16)</f>
        <v>26.7629213483146</v>
      </c>
      <c r="U16" s="26" t="n">
        <f aca="false">IF(N(30)=0,"",C16/30)</f>
        <v>14.689</v>
      </c>
      <c r="V16" s="39" t="n">
        <f aca="false">IF(N(30)=0,"",I16/30)</f>
        <v>2.96666666666667</v>
      </c>
      <c r="W16" s="28" t="n">
        <f aca="false">IF(N(H16)=0,"",L16/H16)</f>
        <v>-0.226495654729418</v>
      </c>
      <c r="X16" s="26" t="n">
        <v>272.6</v>
      </c>
      <c r="Y16" s="26" t="n">
        <v>854.67</v>
      </c>
      <c r="Z16" s="30" t="n">
        <v>21</v>
      </c>
      <c r="AA16" s="30" t="n">
        <v>472</v>
      </c>
      <c r="AB16" s="30" t="n">
        <v>65425</v>
      </c>
      <c r="AC16" s="26" t="n">
        <v>1917.4</v>
      </c>
      <c r="AD16" s="30" t="n">
        <v>81</v>
      </c>
      <c r="AE16" s="30" t="n">
        <v>75</v>
      </c>
      <c r="AF16" s="30" t="n">
        <v>1322</v>
      </c>
      <c r="AG16" s="26" t="n">
        <v>-286.45</v>
      </c>
      <c r="AH16" s="28" t="n">
        <f aca="false">IF(N(Y16)=0,"",X16/Y16)</f>
        <v>0.318953514221863</v>
      </c>
      <c r="AI16" s="28" t="n">
        <f aca="false">IF(N(AC16)=0,"",X16/AC16)</f>
        <v>0.142171690831334</v>
      </c>
      <c r="AJ16" s="39" t="n">
        <f aca="false">IF(N(X16)=0,"",Y16/X16)</f>
        <v>3.13525311812179</v>
      </c>
      <c r="AK16" s="29" t="n">
        <f aca="false">IF(N(AA16)=0,"",X16/AA16)</f>
        <v>0.577542372881356</v>
      </c>
      <c r="AL16" s="28" t="n">
        <f aca="false">IF(N(AB16)=0,"",AA16/AB16)</f>
        <v>0.00721436759648452</v>
      </c>
      <c r="AM16" s="28" t="n">
        <f aca="false">IF(N(AA16)=0,"",Z16/AA16)</f>
        <v>0.0444915254237288</v>
      </c>
      <c r="AN16" s="28" t="n">
        <f aca="false">IF(N(AE16)=0,"",Z16/AE16)</f>
        <v>0.28</v>
      </c>
      <c r="AO16" s="29" t="n">
        <f aca="false">IF(N(AD16)=0,"",AC16/AD16)</f>
        <v>23.6716049382716</v>
      </c>
      <c r="AP16" s="26" t="n">
        <f aca="false">IF(N(26)=0,"",X16/26)</f>
        <v>10.4846153846154</v>
      </c>
      <c r="AQ16" s="39" t="n">
        <f aca="false">IF(N(26)=0,"",AD16/26)</f>
        <v>3.11538461538462</v>
      </c>
      <c r="AR16" s="28" t="n">
        <f aca="false">IF(N(AC16)=0,"",AG16/AC16)</f>
        <v>-0.149395014081569</v>
      </c>
      <c r="AS16" s="27" t="n">
        <f aca="false">IF(OR(U16="",AP16=""),"",IF(N(U16)=0,"",AP16/U16-1))</f>
        <v>-0.286226742146138</v>
      </c>
      <c r="AT16" s="27" t="n">
        <f aca="false">IF(N(D16)=0,"",(Y16/26)/(D16/30)-1)</f>
        <v>-0.0820291801879471</v>
      </c>
      <c r="AU16" s="27" t="n">
        <f aca="false">IF(OR(V16="",AQ16=""),"",IF(N(V16)=0,"",AQ16/V16-1))</f>
        <v>0.0501296456352636</v>
      </c>
      <c r="AV16" s="27" t="n">
        <f aca="false">IF(OR(M16="",AH16=""),"",AH16-M16)</f>
        <v>-0.0912468059926058</v>
      </c>
      <c r="AW16" s="27" t="n">
        <f aca="false">IF(OR(N16="",AI16=""),"",AI16-N16)</f>
        <v>-0.0428360760774362</v>
      </c>
      <c r="AX16" s="27" t="n">
        <f aca="false">IF(OR(P16="",AK16=""),"",IF(N(P16)=0,"",AK16/P16-1))</f>
        <v>0.153328540939009</v>
      </c>
      <c r="AY16" s="27" t="n">
        <f aca="false">IF(OR(R16="",AM16=""),"",AM16-R16)</f>
        <v>0.012673343605547</v>
      </c>
      <c r="AZ16" s="27" t="n">
        <f aca="false">IF(OR(T16="",AO16=""),"",IF(N(T16)=0,"",AO16/T16-1))</f>
        <v>-0.115507435448099</v>
      </c>
    </row>
    <row r="17" customFormat="false" ht="15" hidden="false" customHeight="false" outlineLevel="0" collapsed="false">
      <c r="A17" s="18" t="s">
        <v>181</v>
      </c>
      <c r="B17" s="14" t="s">
        <v>182</v>
      </c>
      <c r="C17" s="26" t="n">
        <v>414.33</v>
      </c>
      <c r="D17" s="26" t="n">
        <v>625.98</v>
      </c>
      <c r="E17" s="30" t="n">
        <v>20</v>
      </c>
      <c r="F17" s="30" t="n">
        <v>648</v>
      </c>
      <c r="G17" s="30" t="n">
        <v>64551</v>
      </c>
      <c r="H17" s="26" t="n">
        <v>1489.16</v>
      </c>
      <c r="I17" s="30" t="n">
        <v>49</v>
      </c>
      <c r="J17" s="30" t="n">
        <v>46</v>
      </c>
      <c r="K17" s="30" t="n">
        <v>1593</v>
      </c>
      <c r="L17" s="26" t="n">
        <v>-3241.96</v>
      </c>
      <c r="M17" s="28" t="n">
        <f aca="false">IF(N(D17)=0,"",C17/D17)</f>
        <v>0.661890156235024</v>
      </c>
      <c r="N17" s="28" t="n">
        <f aca="false">IF(N(H17)=0,"",C17/H17)</f>
        <v>0.278230680383572</v>
      </c>
      <c r="O17" s="39" t="n">
        <f aca="false">IF(N(C17)=0,"",D17/C17)</f>
        <v>1.51082470494533</v>
      </c>
      <c r="P17" s="29" t="n">
        <f aca="false">IF(N(F17)=0,"",C17/F17)</f>
        <v>0.639398148148148</v>
      </c>
      <c r="Q17" s="28" t="n">
        <f aca="false">IF(N(G17)=0,"",F17/G17)</f>
        <v>0.0100385741506716</v>
      </c>
      <c r="R17" s="28" t="n">
        <f aca="false">IF(N(F17)=0,"",E17/F17)</f>
        <v>0.0308641975308642</v>
      </c>
      <c r="S17" s="28" t="n">
        <f aca="false">IF(N(J17)=0,"",E17/J17)</f>
        <v>0.434782608695652</v>
      </c>
      <c r="T17" s="29" t="n">
        <f aca="false">IF(N(I17)=0,"",H17/I17)</f>
        <v>30.3910204081633</v>
      </c>
      <c r="U17" s="26" t="n">
        <f aca="false">IF(N(30)=0,"",C17/30)</f>
        <v>13.811</v>
      </c>
      <c r="V17" s="39" t="n">
        <f aca="false">IF(N(30)=0,"",I17/30)</f>
        <v>1.63333333333333</v>
      </c>
      <c r="W17" s="28" t="n">
        <f aca="false">IF(N(H17)=0,"",L17/H17)</f>
        <v>-2.1770394047651</v>
      </c>
      <c r="X17" s="26" t="n">
        <v>30.1</v>
      </c>
      <c r="Y17" s="26" t="n">
        <v>214.95</v>
      </c>
      <c r="Z17" s="30" t="n">
        <v>5</v>
      </c>
      <c r="AA17" s="30" t="n">
        <v>23</v>
      </c>
      <c r="AB17" s="30" t="n">
        <v>3278</v>
      </c>
      <c r="AC17" s="26" t="n">
        <v>271.55</v>
      </c>
      <c r="AD17" s="30" t="n">
        <v>10</v>
      </c>
      <c r="AE17" s="30" t="n">
        <v>10</v>
      </c>
      <c r="AF17" s="30" t="n">
        <v>315</v>
      </c>
      <c r="AG17" s="26" t="n">
        <v>-83.89</v>
      </c>
      <c r="AH17" s="28" t="n">
        <f aca="false">IF(N(Y17)=0,"",X17/Y17)</f>
        <v>0.140032565712957</v>
      </c>
      <c r="AI17" s="28" t="n">
        <f aca="false">IF(N(AC17)=0,"",X17/AC17)</f>
        <v>0.110845148223163</v>
      </c>
      <c r="AJ17" s="39" t="n">
        <f aca="false">IF(N(X17)=0,"",Y17/X17)</f>
        <v>7.14119601328904</v>
      </c>
      <c r="AK17" s="29" t="n">
        <f aca="false">IF(N(AA17)=0,"",X17/AA17)</f>
        <v>1.30869565217391</v>
      </c>
      <c r="AL17" s="28" t="n">
        <f aca="false">IF(N(AB17)=0,"",AA17/AB17)</f>
        <v>0.00701647345942648</v>
      </c>
      <c r="AM17" s="28" t="n">
        <f aca="false">IF(N(AA17)=0,"",Z17/AA17)</f>
        <v>0.217391304347826</v>
      </c>
      <c r="AN17" s="28" t="n">
        <f aca="false">IF(N(AE17)=0,"",Z17/AE17)</f>
        <v>0.5</v>
      </c>
      <c r="AO17" s="29" t="n">
        <f aca="false">IF(N(AD17)=0,"",AC17/AD17)</f>
        <v>27.155</v>
      </c>
      <c r="AP17" s="26" t="n">
        <f aca="false">IF(N(26)=0,"",X17/26)</f>
        <v>1.15769230769231</v>
      </c>
      <c r="AQ17" s="39" t="n">
        <f aca="false">IF(N(26)=0,"",AD17/26)</f>
        <v>0.384615384615385</v>
      </c>
      <c r="AR17" s="28" t="n">
        <f aca="false">IF(N(AC17)=0,"",AG17/AC17)</f>
        <v>-0.308930215429939</v>
      </c>
      <c r="AS17" s="27" t="n">
        <f aca="false">IF(OR(U17="",AP17=""),"",IF(N(U17)=0,"",AP17/U17-1))</f>
        <v>-0.916176069242466</v>
      </c>
      <c r="AT17" s="27" t="n">
        <f aca="false">IF(N(D17)=0,"",(Y17/26)/(D17/30)-1)</f>
        <v>-0.603790487285168</v>
      </c>
      <c r="AU17" s="27" t="n">
        <f aca="false">IF(OR(V17="",AQ17=""),"",IF(N(V17)=0,"",AQ17/V17-1))</f>
        <v>-0.764521193092622</v>
      </c>
      <c r="AV17" s="27" t="n">
        <f aca="false">IF(OR(M17="",AH17=""),"",AH17-M17)</f>
        <v>-0.521857590522067</v>
      </c>
      <c r="AW17" s="27" t="n">
        <f aca="false">IF(OR(N17="",AI17=""),"",AI17-N17)</f>
        <v>-0.167385532160409</v>
      </c>
      <c r="AX17" s="27" t="n">
        <f aca="false">IF(OR(P17="",AK17=""),"",IF(N(P17)=0,"",AK17/P17-1))</f>
        <v>1.04676171797527</v>
      </c>
      <c r="AY17" s="27" t="n">
        <f aca="false">IF(OR(R17="",AM17=""),"",AM17-R17)</f>
        <v>0.186527106816962</v>
      </c>
      <c r="AZ17" s="27" t="n">
        <f aca="false">IF(OR(T17="",AO17=""),"",IF(N(T17)=0,"",AO17/T17-1))</f>
        <v>-0.106479491794032</v>
      </c>
    </row>
    <row r="18" customFormat="false" ht="15" hidden="false" customHeight="false" outlineLevel="0" collapsed="false">
      <c r="A18" s="18" t="s">
        <v>183</v>
      </c>
      <c r="B18" s="14" t="s">
        <v>184</v>
      </c>
      <c r="C18" s="26" t="n">
        <v>110.77</v>
      </c>
      <c r="D18" s="26" t="n">
        <v>426.57</v>
      </c>
      <c r="E18" s="30" t="n">
        <v>12</v>
      </c>
      <c r="F18" s="30" t="n">
        <v>139</v>
      </c>
      <c r="G18" s="30" t="n">
        <v>39688</v>
      </c>
      <c r="H18" s="26" t="n">
        <v>3590.13</v>
      </c>
      <c r="I18" s="30" t="n">
        <v>128</v>
      </c>
      <c r="J18" s="30" t="n">
        <v>118</v>
      </c>
      <c r="K18" s="30" t="n">
        <v>2150</v>
      </c>
      <c r="L18" s="26" t="n">
        <v>779.78</v>
      </c>
      <c r="M18" s="28" t="n">
        <f aca="false">IF(N(D18)=0,"",C18/D18)</f>
        <v>0.25967602034836</v>
      </c>
      <c r="N18" s="28" t="n">
        <f aca="false">IF(N(H18)=0,"",C18/H18)</f>
        <v>0.0308540359262757</v>
      </c>
      <c r="O18" s="39" t="n">
        <f aca="false">IF(N(C18)=0,"",D18/C18)</f>
        <v>3.8509524239415</v>
      </c>
      <c r="P18" s="29" t="n">
        <f aca="false">IF(N(F18)=0,"",C18/F18)</f>
        <v>0.796906474820144</v>
      </c>
      <c r="Q18" s="28" t="n">
        <f aca="false">IF(N(G18)=0,"",F18/G18)</f>
        <v>0.00350231808103205</v>
      </c>
      <c r="R18" s="28" t="n">
        <f aca="false">IF(N(F18)=0,"",E18/F18)</f>
        <v>0.0863309352517986</v>
      </c>
      <c r="S18" s="28" t="n">
        <f aca="false">IF(N(J18)=0,"",E18/J18)</f>
        <v>0.101694915254237</v>
      </c>
      <c r="T18" s="29" t="n">
        <f aca="false">IF(N(I18)=0,"",H18/I18)</f>
        <v>28.047890625</v>
      </c>
      <c r="U18" s="26" t="n">
        <f aca="false">IF(N(30)=0,"",C18/30)</f>
        <v>3.69233333333333</v>
      </c>
      <c r="V18" s="39" t="n">
        <f aca="false">IF(N(30)=0,"",I18/30)</f>
        <v>4.26666666666667</v>
      </c>
      <c r="W18" s="28" t="n">
        <f aca="false">IF(N(H18)=0,"",L18/H18)</f>
        <v>0.217201048430001</v>
      </c>
      <c r="X18" s="26" t="n">
        <v>169.01</v>
      </c>
      <c r="Y18" s="26" t="n">
        <v>536.64</v>
      </c>
      <c r="Z18" s="30" t="n">
        <v>14</v>
      </c>
      <c r="AA18" s="30" t="n">
        <v>294</v>
      </c>
      <c r="AB18" s="30" t="n">
        <v>54978</v>
      </c>
      <c r="AC18" s="26" t="n">
        <v>3249.88</v>
      </c>
      <c r="AD18" s="30" t="n">
        <v>114</v>
      </c>
      <c r="AE18" s="30" t="n">
        <v>103</v>
      </c>
      <c r="AF18" s="30" t="n">
        <v>2219</v>
      </c>
      <c r="AG18" s="26" t="n">
        <v>644.1</v>
      </c>
      <c r="AH18" s="28" t="n">
        <f aca="false">IF(N(Y18)=0,"",X18/Y18)</f>
        <v>0.314941115086464</v>
      </c>
      <c r="AI18" s="28" t="n">
        <f aca="false">IF(N(AC18)=0,"",X18/AC18)</f>
        <v>0.0520049971075855</v>
      </c>
      <c r="AJ18" s="39" t="n">
        <f aca="false">IF(N(X18)=0,"",Y18/X18)</f>
        <v>3.17519673392107</v>
      </c>
      <c r="AK18" s="29" t="n">
        <f aca="false">IF(N(AA18)=0,"",X18/AA18)</f>
        <v>0.574863945578231</v>
      </c>
      <c r="AL18" s="28" t="n">
        <f aca="false">IF(N(AB18)=0,"",AA18/AB18)</f>
        <v>0.0053475935828877</v>
      </c>
      <c r="AM18" s="28" t="n">
        <f aca="false">IF(N(AA18)=0,"",Z18/AA18)</f>
        <v>0.0476190476190476</v>
      </c>
      <c r="AN18" s="28" t="n">
        <f aca="false">IF(N(AE18)=0,"",Z18/AE18)</f>
        <v>0.135922330097087</v>
      </c>
      <c r="AO18" s="29" t="n">
        <f aca="false">IF(N(AD18)=0,"",AC18/AD18)</f>
        <v>28.5077192982456</v>
      </c>
      <c r="AP18" s="26" t="n">
        <f aca="false">IF(N(26)=0,"",X18/26)</f>
        <v>6.50038461538462</v>
      </c>
      <c r="AQ18" s="39" t="n">
        <f aca="false">IF(N(26)=0,"",AD18/26)</f>
        <v>4.38461538461539</v>
      </c>
      <c r="AR18" s="28" t="n">
        <f aca="false">IF(N(AC18)=0,"",AG18/AC18)</f>
        <v>0.198191933240612</v>
      </c>
      <c r="AS18" s="27" t="n">
        <f aca="false">IF(OR(U18="",AP18=""),"",IF(N(U18)=0,"",AP18/U18-1))</f>
        <v>0.760508607579114</v>
      </c>
      <c r="AT18" s="27" t="n">
        <f aca="false">IF(N(D18)=0,"",(Y18/26)/(D18/30)-1)</f>
        <v>0.451578873338491</v>
      </c>
      <c r="AU18" s="27" t="n">
        <f aca="false">IF(OR(V18="",AQ18=""),"",IF(N(V18)=0,"",AQ18/V18-1))</f>
        <v>0.0276442307692308</v>
      </c>
      <c r="AV18" s="27" t="n">
        <f aca="false">IF(OR(M18="",AH18=""),"",AH18-M18)</f>
        <v>0.0552650947381038</v>
      </c>
      <c r="AW18" s="27" t="n">
        <f aca="false">IF(OR(N18="",AI18=""),"",AI18-N18)</f>
        <v>0.0211509611813099</v>
      </c>
      <c r="AX18" s="27" t="n">
        <f aca="false">IF(OR(P18="",AK18=""),"",IF(N(P18)=0,"",AK18/P18-1))</f>
        <v>-0.278630600023705</v>
      </c>
      <c r="AY18" s="27" t="n">
        <f aca="false">IF(OR(R18="",AM18=""),"",AM18-R18)</f>
        <v>-0.038711887632751</v>
      </c>
      <c r="AZ18" s="27" t="n">
        <f aca="false">IF(OR(T18="",AO18=""),"",IF(N(T18)=0,"",AO18/T18-1))</f>
        <v>0.0163944119503858</v>
      </c>
    </row>
    <row r="19" customFormat="false" ht="15" hidden="false" customHeight="false" outlineLevel="0" collapsed="false">
      <c r="A19" s="18" t="s">
        <v>185</v>
      </c>
      <c r="B19" s="14" t="s">
        <v>186</v>
      </c>
      <c r="C19" s="26" t="n">
        <v>0</v>
      </c>
      <c r="D19" s="26" t="n">
        <v>0</v>
      </c>
      <c r="E19" s="30" t="n">
        <v>0</v>
      </c>
      <c r="F19" s="30" t="n">
        <v>0</v>
      </c>
      <c r="G19" s="30" t="n">
        <v>174</v>
      </c>
      <c r="H19" s="26" t="n">
        <v>0</v>
      </c>
      <c r="I19" s="30" t="n">
        <v>0</v>
      </c>
      <c r="J19" s="30" t="n">
        <v>0</v>
      </c>
      <c r="K19" s="30" t="n">
        <v>4</v>
      </c>
      <c r="L19" s="26" t="n">
        <v>-5200.84</v>
      </c>
      <c r="M19" s="28" t="str">
        <f aca="false">IF(N(D19)=0,"",C19/D19)</f>
        <v/>
      </c>
      <c r="N19" s="28" t="str">
        <f aca="false">IF(N(H19)=0,"",C19/H19)</f>
        <v/>
      </c>
      <c r="O19" s="39" t="str">
        <f aca="false">IF(N(C19)=0,"",D19/C19)</f>
        <v/>
      </c>
      <c r="P19" s="29" t="str">
        <f aca="false">IF(N(F19)=0,"",C19/F19)</f>
        <v/>
      </c>
      <c r="Q19" s="28" t="n">
        <f aca="false">IF(N(G19)=0,"",F19/G19)</f>
        <v>0</v>
      </c>
      <c r="R19" s="28" t="str">
        <f aca="false">IF(N(F19)=0,"",E19/F19)</f>
        <v/>
      </c>
      <c r="S19" s="28" t="str">
        <f aca="false">IF(N(J19)=0,"",E19/J19)</f>
        <v/>
      </c>
      <c r="T19" s="29" t="str">
        <f aca="false">IF(N(I19)=0,"",H19/I19)</f>
        <v/>
      </c>
      <c r="U19" s="26" t="n">
        <f aca="false">IF(N(30)=0,"",C19/30)</f>
        <v>0</v>
      </c>
      <c r="V19" s="39" t="n">
        <f aca="false">IF(N(30)=0,"",I19/30)</f>
        <v>0</v>
      </c>
      <c r="W19" s="28" t="str">
        <f aca="false">IF(N(H19)=0,"",L19/H19)</f>
        <v/>
      </c>
      <c r="X19" s="26" t="n">
        <v>2.79</v>
      </c>
      <c r="Y19" s="26" t="n">
        <v>59.99</v>
      </c>
      <c r="Z19" s="30" t="n">
        <v>1</v>
      </c>
      <c r="AA19" s="30" t="n">
        <v>10</v>
      </c>
      <c r="AB19" s="30" t="n">
        <v>951</v>
      </c>
      <c r="AC19" s="26" t="n">
        <v>299.95</v>
      </c>
      <c r="AD19" s="30" t="n">
        <v>5</v>
      </c>
      <c r="AE19" s="30" t="n">
        <v>5</v>
      </c>
      <c r="AF19" s="30" t="n">
        <v>26</v>
      </c>
      <c r="AG19" s="26" t="n">
        <v>-162.2</v>
      </c>
      <c r="AH19" s="28" t="n">
        <f aca="false">IF(N(Y19)=0,"",X19/Y19)</f>
        <v>0.046507751291882</v>
      </c>
      <c r="AI19" s="28" t="n">
        <f aca="false">IF(N(AC19)=0,"",X19/AC19)</f>
        <v>0.0093015502583764</v>
      </c>
      <c r="AJ19" s="39" t="n">
        <f aca="false">IF(N(X19)=0,"",Y19/X19)</f>
        <v>21.5017921146953</v>
      </c>
      <c r="AK19" s="29" t="n">
        <f aca="false">IF(N(AA19)=0,"",X19/AA19)</f>
        <v>0.279</v>
      </c>
      <c r="AL19" s="28" t="n">
        <f aca="false">IF(N(AB19)=0,"",AA19/AB19)</f>
        <v>0.010515247108307</v>
      </c>
      <c r="AM19" s="28" t="n">
        <f aca="false">IF(N(AA19)=0,"",Z19/AA19)</f>
        <v>0.1</v>
      </c>
      <c r="AN19" s="28" t="n">
        <f aca="false">IF(N(AE19)=0,"",Z19/AE19)</f>
        <v>0.2</v>
      </c>
      <c r="AO19" s="29" t="n">
        <f aca="false">IF(N(AD19)=0,"",AC19/AD19)</f>
        <v>59.99</v>
      </c>
      <c r="AP19" s="26" t="n">
        <f aca="false">IF(N(26)=0,"",X19/26)</f>
        <v>0.107307692307692</v>
      </c>
      <c r="AQ19" s="39" t="n">
        <f aca="false">IF(N(26)=0,"",AD19/26)</f>
        <v>0.192307692307692</v>
      </c>
      <c r="AR19" s="28" t="n">
        <f aca="false">IF(N(AC19)=0,"",AG19/AC19)</f>
        <v>-0.5407567927988</v>
      </c>
      <c r="AS19" s="27" t="str">
        <f aca="false">IF(OR(U19="",AP19=""),"",IF(N(U19)=0,"",AP19/U19-1))</f>
        <v/>
      </c>
      <c r="AT19" s="27" t="str">
        <f aca="false">IF(N(D19)=0,"",(Y19/26)/(D19/30)-1)</f>
        <v/>
      </c>
      <c r="AU19" s="27" t="str">
        <f aca="false">IF(OR(V19="",AQ19=""),"",IF(N(V19)=0,"",AQ19/V19-1))</f>
        <v/>
      </c>
      <c r="AV19" s="27" t="str">
        <f aca="false">IF(OR(M19="",AH19=""),"",AH19-M19)</f>
        <v/>
      </c>
      <c r="AW19" s="27" t="str">
        <f aca="false">IF(OR(N19="",AI19=""),"",AI19-N19)</f>
        <v/>
      </c>
      <c r="AX19" s="27" t="str">
        <f aca="false">IF(OR(P19="",AK19=""),"",IF(N(P19)=0,"",AK19/P19-1))</f>
        <v/>
      </c>
      <c r="AY19" s="27" t="str">
        <f aca="false">IF(OR(R19="",AM19=""),"",AM19-R19)</f>
        <v/>
      </c>
      <c r="AZ19" s="27" t="str">
        <f aca="false">IF(OR(T19="",AO19=""),"",IF(N(T19)=0,"",AO19/T19-1))</f>
        <v/>
      </c>
    </row>
    <row r="20" customFormat="false" ht="15" hidden="false" customHeight="false" outlineLevel="0" collapsed="false">
      <c r="A20" s="18" t="s">
        <v>187</v>
      </c>
      <c r="B20" s="14" t="s">
        <v>188</v>
      </c>
      <c r="C20" s="26" t="n">
        <v>0</v>
      </c>
      <c r="D20" s="26" t="n">
        <v>0</v>
      </c>
      <c r="E20" s="30" t="n">
        <v>0</v>
      </c>
      <c r="F20" s="30" t="n">
        <v>0</v>
      </c>
      <c r="G20" s="30" t="n">
        <v>0</v>
      </c>
      <c r="H20" s="26" t="n">
        <v>0</v>
      </c>
      <c r="I20" s="30" t="n">
        <v>0</v>
      </c>
      <c r="J20" s="30" t="n">
        <v>0</v>
      </c>
      <c r="K20" s="30" t="n">
        <v>78</v>
      </c>
      <c r="L20" s="26" t="n">
        <v>11.93</v>
      </c>
      <c r="M20" s="28" t="str">
        <f aca="false">IF(N(D20)=0,"",C20/D20)</f>
        <v/>
      </c>
      <c r="N20" s="28" t="str">
        <f aca="false">IF(N(H20)=0,"",C20/H20)</f>
        <v/>
      </c>
      <c r="O20" s="39" t="str">
        <f aca="false">IF(N(C20)=0,"",D20/C20)</f>
        <v/>
      </c>
      <c r="P20" s="29" t="str">
        <f aca="false">IF(N(F20)=0,"",C20/F20)</f>
        <v/>
      </c>
      <c r="Q20" s="28" t="str">
        <f aca="false">IF(N(G20)=0,"",F20/G20)</f>
        <v/>
      </c>
      <c r="R20" s="28" t="str">
        <f aca="false">IF(N(F20)=0,"",E20/F20)</f>
        <v/>
      </c>
      <c r="S20" s="28" t="str">
        <f aca="false">IF(N(J20)=0,"",E20/J20)</f>
        <v/>
      </c>
      <c r="T20" s="29" t="str">
        <f aca="false">IF(N(I20)=0,"",H20/I20)</f>
        <v/>
      </c>
      <c r="U20" s="26" t="n">
        <f aca="false">IF(N(30)=0,"",C20/30)</f>
        <v>0</v>
      </c>
      <c r="V20" s="39" t="n">
        <f aca="false">IF(N(30)=0,"",I20/30)</f>
        <v>0</v>
      </c>
      <c r="W20" s="28" t="str">
        <f aca="false">IF(N(H20)=0,"",L20/H20)</f>
        <v/>
      </c>
      <c r="X20" s="26" t="n">
        <v>0</v>
      </c>
      <c r="Y20" s="26" t="n">
        <v>0</v>
      </c>
      <c r="Z20" s="30" t="n">
        <v>0</v>
      </c>
      <c r="AA20" s="30" t="n">
        <v>0</v>
      </c>
      <c r="AB20" s="30" t="n">
        <v>0</v>
      </c>
      <c r="AC20" s="26" t="n">
        <v>0</v>
      </c>
      <c r="AD20" s="30" t="n">
        <v>0</v>
      </c>
      <c r="AE20" s="30" t="n">
        <v>0</v>
      </c>
      <c r="AF20" s="30" t="n">
        <v>0</v>
      </c>
      <c r="AG20" s="26" t="n">
        <v>-12.04</v>
      </c>
      <c r="AH20" s="28" t="str">
        <f aca="false">IF(N(Y20)=0,"",X20/Y20)</f>
        <v/>
      </c>
      <c r="AI20" s="28" t="str">
        <f aca="false">IF(N(AC20)=0,"",X20/AC20)</f>
        <v/>
      </c>
      <c r="AJ20" s="39" t="str">
        <f aca="false">IF(N(X20)=0,"",Y20/X20)</f>
        <v/>
      </c>
      <c r="AK20" s="29" t="str">
        <f aca="false">IF(N(AA20)=0,"",X20/AA20)</f>
        <v/>
      </c>
      <c r="AL20" s="28" t="str">
        <f aca="false">IF(N(AB20)=0,"",AA20/AB20)</f>
        <v/>
      </c>
      <c r="AM20" s="28" t="str">
        <f aca="false">IF(N(AA20)=0,"",Z20/AA20)</f>
        <v/>
      </c>
      <c r="AN20" s="28" t="str">
        <f aca="false">IF(N(AE20)=0,"",Z20/AE20)</f>
        <v/>
      </c>
      <c r="AO20" s="29" t="str">
        <f aca="false">IF(N(AD20)=0,"",AC20/AD20)</f>
        <v/>
      </c>
      <c r="AP20" s="26" t="n">
        <f aca="false">IF(N(26)=0,"",X20/26)</f>
        <v>0</v>
      </c>
      <c r="AQ20" s="39" t="n">
        <f aca="false">IF(N(26)=0,"",AD20/26)</f>
        <v>0</v>
      </c>
      <c r="AR20" s="28" t="str">
        <f aca="false">IF(N(AC20)=0,"",AG20/AC20)</f>
        <v/>
      </c>
      <c r="AS20" s="27" t="str">
        <f aca="false">IF(OR(U20="",AP20=""),"",IF(N(U20)=0,"",AP20/U20-1))</f>
        <v/>
      </c>
      <c r="AT20" s="27" t="str">
        <f aca="false">IF(N(D20)=0,"",(Y20/26)/(D20/30)-1)</f>
        <v/>
      </c>
      <c r="AU20" s="27" t="str">
        <f aca="false">IF(OR(V20="",AQ20=""),"",IF(N(V20)=0,"",AQ20/V20-1))</f>
        <v/>
      </c>
      <c r="AV20" s="27" t="str">
        <f aca="false">IF(OR(M20="",AH20=""),"",AH20-M20)</f>
        <v/>
      </c>
      <c r="AW20" s="27" t="str">
        <f aca="false">IF(OR(N20="",AI20=""),"",AI20-N20)</f>
        <v/>
      </c>
      <c r="AX20" s="27" t="str">
        <f aca="false">IF(OR(P20="",AK20=""),"",IF(N(P20)=0,"",AK20/P20-1))</f>
        <v/>
      </c>
      <c r="AY20" s="27" t="str">
        <f aca="false">IF(OR(R20="",AM20=""),"",AM20-R20)</f>
        <v/>
      </c>
      <c r="AZ20" s="27" t="str">
        <f aca="false">IF(OR(T20="",AO20=""),"",IF(N(T20)=0,"",AO20/T20-1))</f>
        <v/>
      </c>
    </row>
    <row r="21" customFormat="false" ht="15" hidden="false" customHeight="false" outlineLevel="0" collapsed="false">
      <c r="A21" s="40" t="s">
        <v>189</v>
      </c>
      <c r="B21" s="41"/>
      <c r="C21" s="42" t="n">
        <f aca="false">SUM(C5:C20)</f>
        <v>34165.36</v>
      </c>
      <c r="D21" s="42" t="n">
        <f aca="false">SUM(D5:D20)</f>
        <v>80180.77</v>
      </c>
      <c r="E21" s="43" t="n">
        <f aca="false">SUM(E5:E20)</f>
        <v>2153</v>
      </c>
      <c r="F21" s="43" t="n">
        <f aca="false">SUM(F5:F20)</f>
        <v>45337</v>
      </c>
      <c r="G21" s="43" t="n">
        <f aca="false">SUM(G5:G20)</f>
        <v>6129290</v>
      </c>
      <c r="H21" s="42" t="n">
        <f aca="false">SUM(H5:H20)</f>
        <v>213471.15</v>
      </c>
      <c r="I21" s="43" t="n">
        <f aca="false">SUM(I5:I20)</f>
        <v>6064</v>
      </c>
      <c r="J21" s="43" t="n">
        <f aca="false">SUM(J5:J20)</f>
        <v>5584</v>
      </c>
      <c r="K21" s="43" t="n">
        <f aca="false">SUM(K5:K20)</f>
        <v>190152</v>
      </c>
      <c r="L21" s="42" t="n">
        <f aca="false">SUM(L5:L20)</f>
        <v>-25524.08</v>
      </c>
      <c r="M21" s="44" t="n">
        <f aca="false">IF(N(D21)=0,"",C21/D21)</f>
        <v>0.426104164377568</v>
      </c>
      <c r="N21" s="44" t="n">
        <f aca="false">IF(N(H21)=0,"",C21/H21)</f>
        <v>0.160046732310197</v>
      </c>
      <c r="O21" s="45" t="n">
        <f aca="false">IF(N(C21)=0,"",D21/C21)</f>
        <v>2.34684399637528</v>
      </c>
      <c r="P21" s="46" t="n">
        <f aca="false">IF(N(F21)=0,"",C21/F21)</f>
        <v>0.753586695193771</v>
      </c>
      <c r="Q21" s="44" t="n">
        <f aca="false">IF(N(G21)=0,"",F21/G21)</f>
        <v>0.00739677841968646</v>
      </c>
      <c r="R21" s="44" t="n">
        <f aca="false">IF(N(F21)=0,"",E21/F21)</f>
        <v>0.0474888060524516</v>
      </c>
      <c r="S21" s="44" t="n">
        <f aca="false">IF(N(J21)=0,"",E21/J21)</f>
        <v>0.385565902578797</v>
      </c>
      <c r="T21" s="46" t="n">
        <f aca="false">IF(N(I21)=0,"",H21/I21)</f>
        <v>35.203026055409</v>
      </c>
      <c r="U21" s="42" t="n">
        <f aca="false">IF(N(30)=0,"",C21/30)</f>
        <v>1138.84533333333</v>
      </c>
      <c r="V21" s="45" t="n">
        <f aca="false">IF(N(30)=0,"",I21/30)</f>
        <v>202.133333333333</v>
      </c>
      <c r="W21" s="44" t="n">
        <f aca="false">IF(N(H21)=0,"",L21/H21)</f>
        <v>-0.119566882925398</v>
      </c>
      <c r="X21" s="42" t="n">
        <f aca="false">SUM(X5:X20)</f>
        <v>32021.91</v>
      </c>
      <c r="Y21" s="42" t="n">
        <f aca="false">SUM(Y5:Y20)</f>
        <v>83159.75</v>
      </c>
      <c r="Z21" s="43" t="n">
        <f aca="false">SUM(Z5:Z20)</f>
        <v>2458</v>
      </c>
      <c r="AA21" s="43" t="n">
        <f aca="false">SUM(AA5:AA20)</f>
        <v>42707</v>
      </c>
      <c r="AB21" s="43" t="n">
        <f aca="false">SUM(AB5:AB20)</f>
        <v>5591316</v>
      </c>
      <c r="AC21" s="42" t="n">
        <f aca="false">SUM(AC5:AC20)</f>
        <v>251392.03</v>
      </c>
      <c r="AD21" s="43" t="n">
        <f aca="false">SUM(AD5:AD20)</f>
        <v>7595</v>
      </c>
      <c r="AE21" s="43" t="n">
        <f aca="false">SUM(AE5:AE20)</f>
        <v>6875</v>
      </c>
      <c r="AF21" s="43" t="n">
        <f aca="false">SUM(AF5:AF20)</f>
        <v>208749</v>
      </c>
      <c r="AG21" s="42" t="n">
        <f aca="false">SUM(AG5:AG20)</f>
        <v>4077.36</v>
      </c>
      <c r="AH21" s="44" t="n">
        <f aca="false">IF(N(Y21)=0,"",X21/Y21)</f>
        <v>0.385065010416698</v>
      </c>
      <c r="AI21" s="44" t="n">
        <f aca="false">IF(N(AC21)=0,"",X21/AC21)</f>
        <v>0.127378381884263</v>
      </c>
      <c r="AJ21" s="45" t="n">
        <f aca="false">IF(N(X21)=0,"",Y21/X21)</f>
        <v>2.59696407865739</v>
      </c>
      <c r="AK21" s="46" t="n">
        <f aca="false">IF(N(AA21)=0,"",X21/AA21)</f>
        <v>0.749804715854544</v>
      </c>
      <c r="AL21" s="44" t="n">
        <f aca="false">IF(N(AB21)=0,"",AA21/AB21)</f>
        <v>0.00763809450226029</v>
      </c>
      <c r="AM21" s="44" t="n">
        <f aca="false">IF(N(AA21)=0,"",Z21/AA21)</f>
        <v>0.0575549675697193</v>
      </c>
      <c r="AN21" s="44" t="n">
        <f aca="false">IF(N(AE21)=0,"",Z21/AE21)</f>
        <v>0.357527272727273</v>
      </c>
      <c r="AO21" s="46" t="n">
        <f aca="false">IF(N(AD21)=0,"",AC21/AD21)</f>
        <v>33.0996747860435</v>
      </c>
      <c r="AP21" s="42" t="n">
        <f aca="false">IF(N(26)=0,"",X21/26)</f>
        <v>1231.61192307692</v>
      </c>
      <c r="AQ21" s="45" t="n">
        <f aca="false">IF(N(26)=0,"",AD21/26)</f>
        <v>292.115384615385</v>
      </c>
      <c r="AR21" s="44" t="n">
        <f aca="false">IF(N(AC21)=0,"",AG21/AC21)</f>
        <v>0.0162191299382085</v>
      </c>
      <c r="AS21" s="47" t="n">
        <f aca="false">IF(OR(U21="",AP21=""),"",IF(N(U21)=0,"",AP21/U21-1))</f>
        <v>0.0814567062166971</v>
      </c>
      <c r="AT21" s="47" t="n">
        <f aca="false">IF(N(D21)=0,"",(Y21/26)/(D21/30)-1)</f>
        <v>0.196715343246363</v>
      </c>
      <c r="AU21" s="47" t="n">
        <f aca="false">IF(OR(V21="",AQ21=""),"",IF(N(V21)=0,"",AQ21/V21-1))</f>
        <v>0.445161863202761</v>
      </c>
      <c r="AV21" s="47" t="n">
        <f aca="false">IF(OR(M21="",AH21=""),"",AH21-M21)</f>
        <v>-0.0410391539608703</v>
      </c>
      <c r="AW21" s="47" t="n">
        <f aca="false">IF(OR(N21="",AI21=""),"",AI21-N21)</f>
        <v>-0.0326683504259348</v>
      </c>
      <c r="AX21" s="47" t="n">
        <f aca="false">IF(OR(P21="",AK21=""),"",IF(N(P21)=0,"",AK21/P21-1))</f>
        <v>-0.00501863868264663</v>
      </c>
      <c r="AY21" s="47" t="n">
        <f aca="false">IF(OR(R21="",AM21=""),"",AM21-R21)</f>
        <v>0.0100661615172676</v>
      </c>
      <c r="AZ21" s="47" t="n">
        <f aca="false">IF(OR(T21="",AO21=""),"",IF(N(T21)=0,"",AO21/T21-1))</f>
        <v>-0.0597491609401669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customFormat="false" ht="15" hidden="false" customHeight="false" outlineLevel="0" collapsed="false">
      <c r="A23" s="3" t="s">
        <v>190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</sheetData>
  <mergeCells count="5">
    <mergeCell ref="A3:A4"/>
    <mergeCell ref="B3:B4"/>
    <mergeCell ref="C3:W3"/>
    <mergeCell ref="X3:AR3"/>
    <mergeCell ref="AS3:AZ3"/>
  </mergeCells>
  <conditionalFormatting sqref="M5:M21">
    <cfRule type="expression" priority="2" aboveAverage="0" equalAverage="0" bottom="0" percent="0" rank="0" text="" dxfId="7">
      <formula>AND(ISNUMBER(M5),M5&gt;=总览!$B$5)</formula>
    </cfRule>
  </conditionalFormatting>
  <conditionalFormatting sqref="N5:N21">
    <cfRule type="expression" priority="3" aboveAverage="0" equalAverage="0" bottom="0" percent="0" rank="0" text="" dxfId="7">
      <formula>AND(ISNUMBER(N5),N5&gt;=总览!$B$6)</formula>
    </cfRule>
  </conditionalFormatting>
  <conditionalFormatting sqref="P5:P21">
    <cfRule type="expression" priority="4" aboveAverage="0" equalAverage="0" bottom="0" percent="0" rank="0" text="" dxfId="8">
      <formula>AND(ISNUMBER(P5),P5&gt;=总览!$B$7)</formula>
    </cfRule>
  </conditionalFormatting>
  <conditionalFormatting sqref="R5:R21">
    <cfRule type="expression" priority="5" aboveAverage="0" equalAverage="0" bottom="0" percent="0" rank="0" text="" dxfId="8">
      <formula>AND(ISNUMBER(R5),R5&lt;总览!$B$8,F5&gt;=100)</formula>
    </cfRule>
  </conditionalFormatting>
  <conditionalFormatting sqref="L5:L21">
    <cfRule type="expression" priority="6" aboveAverage="0" equalAverage="0" bottom="0" percent="0" rank="0" text="" dxfId="7">
      <formula>AND(ISNUMBER(L5),L5&lt;0)</formula>
    </cfRule>
  </conditionalFormatting>
  <conditionalFormatting sqref="W5:W21">
    <cfRule type="expression" priority="7" aboveAverage="0" equalAverage="0" bottom="0" percent="0" rank="0" text="" dxfId="7">
      <formula>AND(ISNUMBER(W5),W5&lt;0)</formula>
    </cfRule>
  </conditionalFormatting>
  <conditionalFormatting sqref="AH5:AH21">
    <cfRule type="expression" priority="8" aboveAverage="0" equalAverage="0" bottom="0" percent="0" rank="0" text="" dxfId="7">
      <formula>AND(ISNUMBER(AH5),AH5&gt;=总览!$B$5)</formula>
    </cfRule>
  </conditionalFormatting>
  <conditionalFormatting sqref="AI5:AI21">
    <cfRule type="expression" priority="9" aboveAverage="0" equalAverage="0" bottom="0" percent="0" rank="0" text="" dxfId="7">
      <formula>AND(ISNUMBER(AI5),AI5&gt;=总览!$B$6)</formula>
    </cfRule>
  </conditionalFormatting>
  <conditionalFormatting sqref="AK5:AK21">
    <cfRule type="expression" priority="10" aboveAverage="0" equalAverage="0" bottom="0" percent="0" rank="0" text="" dxfId="8">
      <formula>AND(ISNUMBER(AK5),AK5&gt;=总览!$B$7)</formula>
    </cfRule>
  </conditionalFormatting>
  <conditionalFormatting sqref="AM5:AM21">
    <cfRule type="expression" priority="11" aboveAverage="0" equalAverage="0" bottom="0" percent="0" rank="0" text="" dxfId="8">
      <formula>AND(ISNUMBER(AM5),AM5&lt;总览!$B$8,AA5&gt;=100)</formula>
    </cfRule>
  </conditionalFormatting>
  <conditionalFormatting sqref="AG5:AG21">
    <cfRule type="expression" priority="12" aboveAverage="0" equalAverage="0" bottom="0" percent="0" rank="0" text="" dxfId="7">
      <formula>AND(ISNUMBER(AG5),AG5&lt;0)</formula>
    </cfRule>
  </conditionalFormatting>
  <conditionalFormatting sqref="AR5:AR21">
    <cfRule type="expression" priority="13" aboveAverage="0" equalAverage="0" bottom="0" percent="0" rank="0" text="" dxfId="7">
      <formula>AND(ISNUMBER(AR5),AR5&lt;0)</formula>
    </cfRule>
  </conditionalFormatting>
  <conditionalFormatting sqref="AS5:AS21">
    <cfRule type="expression" priority="14" aboveAverage="0" equalAverage="0" bottom="0" percent="0" rank="0" text="" dxfId="7">
      <formula>AND(ISNUMBER(AS5),AS5&gt;=总览!$B$9)</formula>
    </cfRule>
  </conditionalFormatting>
  <conditionalFormatting sqref="AV5:AV21">
    <cfRule type="expression" priority="15" aboveAverage="0" equalAverage="0" bottom="0" percent="0" rank="0" text="" dxfId="7">
      <formula>AND(ISNUMBER(AV5),AV5&gt;=总览!$B$10)</formula>
    </cfRule>
    <cfRule type="expression" priority="16" aboveAverage="0" equalAverage="0" bottom="0" percent="0" rank="0" text="" dxfId="9">
      <formula>AND(ISNUMBER(AV5),AV5&lt;=-总览!$B$10)</formula>
    </cfRule>
  </conditionalFormatting>
  <conditionalFormatting sqref="AZ5:AZ21">
    <cfRule type="expression" priority="17" aboveAverage="0" equalAverage="0" bottom="0" percent="0" rank="0" text="" dxfId="8">
      <formula>AND(ISNUMBER(AZ5),ABS(AZ5)&gt;=总览!$B$11)</formula>
    </cfRule>
  </conditionalFormatting>
  <conditionalFormatting sqref="AU5:AU21">
    <cfRule type="expression" priority="18" aboveAverage="0" equalAverage="0" bottom="0" percent="0" rank="0" text="" dxfId="8">
      <formula>AND(ISNUMBER(AU5),AU5&lt;=-0.2)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4" min="5" style="0" width="11"/>
  </cols>
  <sheetData>
    <row r="1" customFormat="false" ht="19.4" hidden="false" customHeight="false" outlineLevel="0" collapsed="false">
      <c r="A1" s="35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customFormat="false" ht="15" hidden="false" customHeight="true" outlineLevel="0" collapsed="false">
      <c r="A3" s="23" t="s">
        <v>48</v>
      </c>
      <c r="B3" s="23" t="s">
        <v>49</v>
      </c>
      <c r="C3" s="22" t="s">
        <v>50</v>
      </c>
      <c r="D3" s="22" t="s">
        <v>192</v>
      </c>
      <c r="E3" s="36" t="s">
        <v>148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7" t="s">
        <v>149</v>
      </c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8" t="s">
        <v>150</v>
      </c>
      <c r="AV3" s="38"/>
      <c r="AW3" s="38"/>
      <c r="AX3" s="38"/>
      <c r="AY3" s="38"/>
      <c r="AZ3" s="38"/>
      <c r="BA3" s="38"/>
      <c r="BB3" s="38"/>
    </row>
    <row r="4" customFormat="false" ht="30" hidden="false" customHeight="true" outlineLevel="0" collapsed="false">
      <c r="A4" s="23"/>
      <c r="B4" s="23"/>
      <c r="C4" s="23"/>
      <c r="D4" s="23"/>
      <c r="E4" s="22" t="s">
        <v>32</v>
      </c>
      <c r="F4" s="22" t="s">
        <v>34</v>
      </c>
      <c r="G4" s="22" t="s">
        <v>151</v>
      </c>
      <c r="H4" s="22" t="s">
        <v>152</v>
      </c>
      <c r="I4" s="22" t="s">
        <v>153</v>
      </c>
      <c r="J4" s="22" t="s">
        <v>35</v>
      </c>
      <c r="K4" s="22" t="s">
        <v>154</v>
      </c>
      <c r="L4" s="22" t="s">
        <v>155</v>
      </c>
      <c r="M4" s="23" t="s">
        <v>156</v>
      </c>
      <c r="N4" s="22" t="s">
        <v>44</v>
      </c>
      <c r="O4" s="23" t="s">
        <v>37</v>
      </c>
      <c r="P4" s="23" t="s">
        <v>38</v>
      </c>
      <c r="Q4" s="23" t="s">
        <v>157</v>
      </c>
      <c r="R4" s="23" t="s">
        <v>39</v>
      </c>
      <c r="S4" s="23" t="s">
        <v>40</v>
      </c>
      <c r="T4" s="22" t="s">
        <v>158</v>
      </c>
      <c r="U4" s="22" t="s">
        <v>42</v>
      </c>
      <c r="V4" s="22" t="s">
        <v>43</v>
      </c>
      <c r="W4" s="22" t="s">
        <v>33</v>
      </c>
      <c r="X4" s="22" t="s">
        <v>36</v>
      </c>
      <c r="Y4" s="22" t="s">
        <v>159</v>
      </c>
      <c r="Z4" s="22" t="s">
        <v>32</v>
      </c>
      <c r="AA4" s="22" t="s">
        <v>34</v>
      </c>
      <c r="AB4" s="22" t="s">
        <v>151</v>
      </c>
      <c r="AC4" s="22" t="s">
        <v>152</v>
      </c>
      <c r="AD4" s="22" t="s">
        <v>153</v>
      </c>
      <c r="AE4" s="22" t="s">
        <v>35</v>
      </c>
      <c r="AF4" s="22" t="s">
        <v>154</v>
      </c>
      <c r="AG4" s="22" t="s">
        <v>155</v>
      </c>
      <c r="AH4" s="23" t="s">
        <v>156</v>
      </c>
      <c r="AI4" s="22" t="s">
        <v>44</v>
      </c>
      <c r="AJ4" s="23" t="s">
        <v>37</v>
      </c>
      <c r="AK4" s="23" t="s">
        <v>38</v>
      </c>
      <c r="AL4" s="23" t="s">
        <v>157</v>
      </c>
      <c r="AM4" s="23" t="s">
        <v>39</v>
      </c>
      <c r="AN4" s="23" t="s">
        <v>40</v>
      </c>
      <c r="AO4" s="22" t="s">
        <v>158</v>
      </c>
      <c r="AP4" s="22" t="s">
        <v>42</v>
      </c>
      <c r="AQ4" s="22" t="s">
        <v>43</v>
      </c>
      <c r="AR4" s="22" t="s">
        <v>33</v>
      </c>
      <c r="AS4" s="22" t="s">
        <v>36</v>
      </c>
      <c r="AT4" s="22" t="s">
        <v>159</v>
      </c>
      <c r="AU4" s="22" t="s">
        <v>52</v>
      </c>
      <c r="AV4" s="22" t="s">
        <v>160</v>
      </c>
      <c r="AW4" s="22" t="s">
        <v>161</v>
      </c>
      <c r="AX4" s="23" t="s">
        <v>162</v>
      </c>
      <c r="AY4" s="23" t="s">
        <v>163</v>
      </c>
      <c r="AZ4" s="23" t="s">
        <v>164</v>
      </c>
      <c r="BA4" s="22" t="s">
        <v>165</v>
      </c>
      <c r="BB4" s="22" t="s">
        <v>166</v>
      </c>
    </row>
    <row r="5" customFormat="false" ht="15" hidden="false" customHeight="false" outlineLevel="0" collapsed="false">
      <c r="A5" s="18" t="s">
        <v>193</v>
      </c>
      <c r="B5" s="18" t="s">
        <v>167</v>
      </c>
      <c r="C5" s="14" t="s">
        <v>194</v>
      </c>
      <c r="D5" s="18" t="s">
        <v>195</v>
      </c>
      <c r="E5" s="26" t="n">
        <v>3423.07</v>
      </c>
      <c r="F5" s="26" t="n">
        <v>7766.49</v>
      </c>
      <c r="G5" s="30" t="n">
        <v>283</v>
      </c>
      <c r="H5" s="30" t="n">
        <v>3529</v>
      </c>
      <c r="I5" s="30" t="n">
        <v>597060</v>
      </c>
      <c r="J5" s="26" t="n">
        <v>27952.33</v>
      </c>
      <c r="K5" s="30" t="n">
        <v>1230</v>
      </c>
      <c r="L5" s="30" t="n">
        <v>1101</v>
      </c>
      <c r="M5" s="30" t="n">
        <v>39828</v>
      </c>
      <c r="N5" s="26" t="n">
        <v>-2342.3</v>
      </c>
      <c r="O5" s="28" t="n">
        <f aca="false">IF(N(F5)=0,"",E5/F5)</f>
        <v>0.440748652222561</v>
      </c>
      <c r="P5" s="28" t="n">
        <f aca="false">IF(N(J5)=0,"",E5/J5)</f>
        <v>0.122460989835194</v>
      </c>
      <c r="Q5" s="39" t="n">
        <f aca="false">IF(N(E5)=0,"",F5/E5)</f>
        <v>2.26886683591045</v>
      </c>
      <c r="R5" s="29" t="n">
        <f aca="false">IF(N(H5)=0,"",E5/H5)</f>
        <v>0.969982998016435</v>
      </c>
      <c r="S5" s="28" t="n">
        <f aca="false">IF(N(I5)=0,"",H5/I5)</f>
        <v>0.00591062874752956</v>
      </c>
      <c r="T5" s="28" t="n">
        <f aca="false">IF(N(H5)=0,"",G5/H5)</f>
        <v>0.0801926891470672</v>
      </c>
      <c r="U5" s="28" t="n">
        <f aca="false">IF(N(L5)=0,"",G5/L5)</f>
        <v>0.257039055404178</v>
      </c>
      <c r="V5" s="29" t="n">
        <f aca="false">IF(N(K5)=0,"",J5/K5)</f>
        <v>22.7254715447155</v>
      </c>
      <c r="W5" s="26" t="n">
        <f aca="false">IF(N(30)=0,"",E5/30)</f>
        <v>114.102333333333</v>
      </c>
      <c r="X5" s="39" t="n">
        <f aca="false">IF(N(30)=0,"",K5/30)</f>
        <v>41</v>
      </c>
      <c r="Y5" s="28" t="n">
        <f aca="false">IF(N(J5)=0,"",N5/J5)</f>
        <v>-0.0837962345178381</v>
      </c>
      <c r="Z5" s="26" t="n">
        <v>4170.25</v>
      </c>
      <c r="AA5" s="26" t="n">
        <v>15523.62</v>
      </c>
      <c r="AB5" s="30" t="n">
        <v>554</v>
      </c>
      <c r="AC5" s="30" t="n">
        <v>6136</v>
      </c>
      <c r="AD5" s="30" t="n">
        <v>736643</v>
      </c>
      <c r="AE5" s="26" t="n">
        <v>40461.89</v>
      </c>
      <c r="AF5" s="30" t="n">
        <v>1865</v>
      </c>
      <c r="AG5" s="30" t="n">
        <v>1589</v>
      </c>
      <c r="AH5" s="30" t="n">
        <v>46587</v>
      </c>
      <c r="AI5" s="26" t="n">
        <v>-373.97</v>
      </c>
      <c r="AJ5" s="28" t="n">
        <f aca="false">IF(N(AA5)=0,"",Z5/AA5)</f>
        <v>0.268639015899642</v>
      </c>
      <c r="AK5" s="28" t="n">
        <f aca="false">IF(N(AE5)=0,"",Z5/AE5)</f>
        <v>0.103066119748731</v>
      </c>
      <c r="AL5" s="39" t="n">
        <f aca="false">IF(N(Z5)=0,"",AA5/Z5)</f>
        <v>3.72246747796895</v>
      </c>
      <c r="AM5" s="29" t="n">
        <f aca="false">IF(N(AC5)=0,"",Z5/AC5)</f>
        <v>0.679636571056063</v>
      </c>
      <c r="AN5" s="28" t="n">
        <f aca="false">IF(N(AD5)=0,"",AC5/AD5)</f>
        <v>0.00832967936978971</v>
      </c>
      <c r="AO5" s="28" t="n">
        <f aca="false">IF(N(AC5)=0,"",AB5/AC5)</f>
        <v>0.0902868318122555</v>
      </c>
      <c r="AP5" s="28" t="n">
        <f aca="false">IF(N(AG5)=0,"",AB5/AG5)</f>
        <v>0.348646947765891</v>
      </c>
      <c r="AQ5" s="29" t="n">
        <f aca="false">IF(N(AF5)=0,"",AE5/AF5)</f>
        <v>21.6953833780161</v>
      </c>
      <c r="AR5" s="26" t="n">
        <f aca="false">IF(N(26)=0,"",Z5/26)</f>
        <v>160.394230769231</v>
      </c>
      <c r="AS5" s="39" t="n">
        <f aca="false">IF(N(26)=0,"",AF5/26)</f>
        <v>71.7307692307692</v>
      </c>
      <c r="AT5" s="28" t="n">
        <f aca="false">IF(N(AE5)=0,"",AI5/AE5)</f>
        <v>-0.00924252426171887</v>
      </c>
      <c r="AU5" s="27" t="n">
        <f aca="false">IF(OR(W5="",AR5=""),"",IF(N(W5)=0,"",AR5/W5-1))</f>
        <v>0.40570509019007</v>
      </c>
      <c r="AV5" s="27" t="n">
        <f aca="false">IF(N(F5)=0,"",(AA5/26)/(F5/30)-1)</f>
        <v>1.30630171812096</v>
      </c>
      <c r="AW5" s="27" t="n">
        <f aca="false">IF(OR(X5="",AS5=""),"",IF(N(X5)=0,"",AS5/X5-1))</f>
        <v>0.74953095684803</v>
      </c>
      <c r="AX5" s="27" t="n">
        <f aca="false">IF(OR(O5="",AJ5=""),"",AJ5-O5)</f>
        <v>-0.172109636322919</v>
      </c>
      <c r="AY5" s="27" t="n">
        <f aca="false">IF(OR(P5="",AK5=""),"",AK5-P5)</f>
        <v>-0.019394870086463</v>
      </c>
      <c r="AZ5" s="27" t="n">
        <f aca="false">IF(OR(R5="",AM5=""),"",IF(N(R5)=0,"",AM5/R5-1))</f>
        <v>-0.299331459988594</v>
      </c>
      <c r="BA5" s="27" t="n">
        <f aca="false">IF(OR(T5="",AO5=""),"",AO5-T5)</f>
        <v>0.0100941426651884</v>
      </c>
      <c r="BB5" s="27" t="n">
        <f aca="false">IF(OR(V5="",AQ5=""),"",IF(N(V5)=0,"",AQ5/V5-1))</f>
        <v>-0.0453274716290276</v>
      </c>
    </row>
    <row r="6" customFormat="false" ht="15" hidden="false" customHeight="false" outlineLevel="0" collapsed="false">
      <c r="A6" s="18" t="s">
        <v>66</v>
      </c>
      <c r="B6" s="18" t="s">
        <v>67</v>
      </c>
      <c r="C6" s="14" t="s">
        <v>68</v>
      </c>
      <c r="D6" s="18" t="s">
        <v>196</v>
      </c>
      <c r="E6" s="26" t="n">
        <v>2645.07</v>
      </c>
      <c r="F6" s="26" t="n">
        <v>5480.6</v>
      </c>
      <c r="G6" s="30" t="n">
        <v>176</v>
      </c>
      <c r="H6" s="30" t="n">
        <v>3876</v>
      </c>
      <c r="I6" s="30" t="n">
        <v>581971</v>
      </c>
      <c r="J6" s="26" t="n">
        <v>10895.86</v>
      </c>
      <c r="K6" s="30" t="n">
        <v>380</v>
      </c>
      <c r="L6" s="30" t="n">
        <v>368</v>
      </c>
      <c r="M6" s="30" t="n">
        <v>13375</v>
      </c>
      <c r="N6" s="26" t="n">
        <v>-692.36</v>
      </c>
      <c r="O6" s="28" t="n">
        <f aca="false">IF(N(F6)=0,"",E6/F6)</f>
        <v>0.482624165237383</v>
      </c>
      <c r="P6" s="28" t="n">
        <f aca="false">IF(N(J6)=0,"",E6/J6)</f>
        <v>0.242759176421136</v>
      </c>
      <c r="Q6" s="39" t="n">
        <f aca="false">IF(N(E6)=0,"",F6/E6)</f>
        <v>2.07200565580495</v>
      </c>
      <c r="R6" s="29" t="n">
        <f aca="false">IF(N(H6)=0,"",E6/H6)</f>
        <v>0.682422600619195</v>
      </c>
      <c r="S6" s="28" t="n">
        <f aca="false">IF(N(I6)=0,"",H6/I6)</f>
        <v>0.00666012567636532</v>
      </c>
      <c r="T6" s="28" t="n">
        <f aca="false">IF(N(H6)=0,"",G6/H6)</f>
        <v>0.0454076367389061</v>
      </c>
      <c r="U6" s="28" t="n">
        <f aca="false">IF(N(L6)=0,"",G6/L6)</f>
        <v>0.478260869565217</v>
      </c>
      <c r="V6" s="29" t="n">
        <f aca="false">IF(N(K6)=0,"",J6/K6)</f>
        <v>28.6733157894737</v>
      </c>
      <c r="W6" s="26" t="n">
        <f aca="false">IF(N(30)=0,"",E6/30)</f>
        <v>88.169</v>
      </c>
      <c r="X6" s="39" t="n">
        <f aca="false">IF(N(30)=0,"",K6/30)</f>
        <v>12.6666666666667</v>
      </c>
      <c r="Y6" s="28" t="n">
        <f aca="false">IF(N(J6)=0,"",N6/J6)</f>
        <v>-0.0635434008880437</v>
      </c>
      <c r="Z6" s="26" t="n">
        <v>3852.8</v>
      </c>
      <c r="AA6" s="26" t="n">
        <v>7091.49</v>
      </c>
      <c r="AB6" s="30" t="n">
        <v>231</v>
      </c>
      <c r="AC6" s="30" t="n">
        <v>4937</v>
      </c>
      <c r="AD6" s="30" t="n">
        <v>681001</v>
      </c>
      <c r="AE6" s="26" t="n">
        <v>14001.04</v>
      </c>
      <c r="AF6" s="30" t="n">
        <v>500</v>
      </c>
      <c r="AG6" s="30" t="n">
        <v>472</v>
      </c>
      <c r="AH6" s="30" t="n">
        <v>18880</v>
      </c>
      <c r="AI6" s="26" t="n">
        <v>-1910.08</v>
      </c>
      <c r="AJ6" s="28" t="n">
        <f aca="false">IF(N(AA6)=0,"",Z6/AA6)</f>
        <v>0.543299081011184</v>
      </c>
      <c r="AK6" s="28" t="n">
        <f aca="false">IF(N(AE6)=0,"",Z6/AE6)</f>
        <v>0.27517955808997</v>
      </c>
      <c r="AL6" s="39" t="n">
        <f aca="false">IF(N(Z6)=0,"",AA6/Z6)</f>
        <v>1.84060683139535</v>
      </c>
      <c r="AM6" s="29" t="n">
        <f aca="false">IF(N(AC6)=0,"",Z6/AC6)</f>
        <v>0.78039295118493</v>
      </c>
      <c r="AN6" s="28" t="n">
        <f aca="false">IF(N(AD6)=0,"",AC6/AD6)</f>
        <v>0.00724962224725074</v>
      </c>
      <c r="AO6" s="28" t="n">
        <f aca="false">IF(N(AC6)=0,"",AB6/AC6)</f>
        <v>0.0467895483086895</v>
      </c>
      <c r="AP6" s="28" t="n">
        <f aca="false">IF(N(AG6)=0,"",AB6/AG6)</f>
        <v>0.489406779661017</v>
      </c>
      <c r="AQ6" s="29" t="n">
        <f aca="false">IF(N(AF6)=0,"",AE6/AF6)</f>
        <v>28.00208</v>
      </c>
      <c r="AR6" s="26" t="n">
        <f aca="false">IF(N(26)=0,"",Z6/26)</f>
        <v>148.184615384615</v>
      </c>
      <c r="AS6" s="39" t="n">
        <f aca="false">IF(N(26)=0,"",AF6/26)</f>
        <v>19.2307692307692</v>
      </c>
      <c r="AT6" s="28" t="n">
        <f aca="false">IF(N(AE6)=0,"",AI6/AE6)</f>
        <v>-0.136424151348757</v>
      </c>
      <c r="AU6" s="27" t="n">
        <f aca="false">IF(OR(W6="",AR6=""),"",IF(N(W6)=0,"",AR6/W6-1))</f>
        <v>0.680688398242187</v>
      </c>
      <c r="AV6" s="27" t="n">
        <f aca="false">IF(N(F6)=0,"",(AA6/26)/(F6/30)-1)</f>
        <v>0.492991362540317</v>
      </c>
      <c r="AW6" s="27" t="n">
        <f aca="false">IF(OR(X6="",AS6=""),"",IF(N(X6)=0,"",AS6/X6-1))</f>
        <v>0.518218623481781</v>
      </c>
      <c r="AX6" s="27" t="n">
        <f aca="false">IF(OR(O6="",AJ6=""),"",AJ6-O6)</f>
        <v>0.0606749157738011</v>
      </c>
      <c r="AY6" s="27" t="n">
        <f aca="false">IF(OR(P6="",AK6=""),"",AK6-P6)</f>
        <v>0.0324203816688344</v>
      </c>
      <c r="AZ6" s="27" t="n">
        <f aca="false">IF(OR(R6="",AM6=""),"",IF(N(R6)=0,"",AM6/R6-1))</f>
        <v>0.143562582008336</v>
      </c>
      <c r="BA6" s="27" t="n">
        <f aca="false">IF(OR(T6="",AO6=""),"",AO6-T6)</f>
        <v>0.0013819115697834</v>
      </c>
      <c r="BB6" s="27" t="n">
        <f aca="false">IF(OR(V6="",AQ6=""),"",IF(N(V6)=0,"",AQ6/V6-1))</f>
        <v>-0.0234097721519917</v>
      </c>
    </row>
    <row r="7" customFormat="false" ht="15" hidden="false" customHeight="false" outlineLevel="0" collapsed="false">
      <c r="A7" s="18" t="s">
        <v>134</v>
      </c>
      <c r="B7" s="18" t="s">
        <v>67</v>
      </c>
      <c r="C7" s="14" t="s">
        <v>68</v>
      </c>
      <c r="D7" s="18" t="s">
        <v>197</v>
      </c>
      <c r="E7" s="26" t="n">
        <v>2584.13</v>
      </c>
      <c r="F7" s="26" t="n">
        <v>5555.8</v>
      </c>
      <c r="G7" s="30" t="n">
        <v>222</v>
      </c>
      <c r="H7" s="30" t="n">
        <v>2453</v>
      </c>
      <c r="I7" s="30" t="n">
        <v>561693</v>
      </c>
      <c r="J7" s="26" t="n">
        <v>13831.65</v>
      </c>
      <c r="K7" s="30" t="n">
        <v>618</v>
      </c>
      <c r="L7" s="30" t="n">
        <v>560</v>
      </c>
      <c r="M7" s="30" t="n">
        <v>16296</v>
      </c>
      <c r="N7" s="26" t="n">
        <v>71.18</v>
      </c>
      <c r="O7" s="28" t="n">
        <f aca="false">IF(N(F7)=0,"",E7/F7)</f>
        <v>0.465122934590878</v>
      </c>
      <c r="P7" s="28" t="n">
        <f aca="false">IF(N(J7)=0,"",E7/J7)</f>
        <v>0.186827312721187</v>
      </c>
      <c r="Q7" s="39" t="n">
        <f aca="false">IF(N(E7)=0,"",F7/E7)</f>
        <v>2.14996923529389</v>
      </c>
      <c r="R7" s="29" t="n">
        <f aca="false">IF(N(H7)=0,"",E7/H7)</f>
        <v>1.05345699143905</v>
      </c>
      <c r="S7" s="28" t="n">
        <f aca="false">IF(N(I7)=0,"",H7/I7)</f>
        <v>0.0043671542995907</v>
      </c>
      <c r="T7" s="28" t="n">
        <f aca="false">IF(N(H7)=0,"",G7/H7)</f>
        <v>0.0905014268242968</v>
      </c>
      <c r="U7" s="28" t="n">
        <f aca="false">IF(N(L7)=0,"",G7/L7)</f>
        <v>0.396428571428571</v>
      </c>
      <c r="V7" s="29" t="n">
        <f aca="false">IF(N(K7)=0,"",J7/K7)</f>
        <v>22.3813106796117</v>
      </c>
      <c r="W7" s="26" t="n">
        <f aca="false">IF(N(30)=0,"",E7/30)</f>
        <v>86.1376666666667</v>
      </c>
      <c r="X7" s="39" t="n">
        <f aca="false">IF(N(30)=0,"",K7/30)</f>
        <v>20.6</v>
      </c>
      <c r="Y7" s="28" t="n">
        <f aca="false">IF(N(J7)=0,"",N7/J7)</f>
        <v>0.00514616838916543</v>
      </c>
      <c r="Z7" s="26" t="n">
        <v>3709</v>
      </c>
      <c r="AA7" s="26" t="n">
        <v>8919.81</v>
      </c>
      <c r="AB7" s="30" t="n">
        <v>353</v>
      </c>
      <c r="AC7" s="30" t="n">
        <v>5343</v>
      </c>
      <c r="AD7" s="30" t="n">
        <v>1096274</v>
      </c>
      <c r="AE7" s="26" t="n">
        <v>18597.48</v>
      </c>
      <c r="AF7" s="30" t="n">
        <v>856</v>
      </c>
      <c r="AG7" s="30" t="n">
        <v>760</v>
      </c>
      <c r="AH7" s="30" t="n">
        <v>20832</v>
      </c>
      <c r="AI7" s="26" t="n">
        <v>-1758.54</v>
      </c>
      <c r="AJ7" s="28" t="n">
        <f aca="false">IF(N(AA7)=0,"",Z7/AA7)</f>
        <v>0.415816031955838</v>
      </c>
      <c r="AK7" s="28" t="n">
        <f aca="false">IF(N(AE7)=0,"",Z7/AE7)</f>
        <v>0.199435622460677</v>
      </c>
      <c r="AL7" s="39" t="n">
        <f aca="false">IF(N(Z7)=0,"",AA7/Z7)</f>
        <v>2.4049096791588</v>
      </c>
      <c r="AM7" s="29" t="n">
        <f aca="false">IF(N(AC7)=0,"",Z7/AC7)</f>
        <v>0.694179300018716</v>
      </c>
      <c r="AN7" s="28" t="n">
        <f aca="false">IF(N(AD7)=0,"",AC7/AD7)</f>
        <v>0.00487378155461135</v>
      </c>
      <c r="AO7" s="28" t="n">
        <f aca="false">IF(N(AC7)=0,"",AB7/AC7)</f>
        <v>0.0660677521991391</v>
      </c>
      <c r="AP7" s="28" t="n">
        <f aca="false">IF(N(AG7)=0,"",AB7/AG7)</f>
        <v>0.464473684210526</v>
      </c>
      <c r="AQ7" s="29" t="n">
        <f aca="false">IF(N(AF7)=0,"",AE7/AF7)</f>
        <v>21.7260280373832</v>
      </c>
      <c r="AR7" s="26" t="n">
        <f aca="false">IF(N(26)=0,"",Z7/26)</f>
        <v>142.653846153846</v>
      </c>
      <c r="AS7" s="39" t="n">
        <f aca="false">IF(N(26)=0,"",AF7/26)</f>
        <v>32.9230769230769</v>
      </c>
      <c r="AT7" s="28" t="n">
        <f aca="false">IF(N(AE7)=0,"",AI7/AE7)</f>
        <v>-0.0945579723704502</v>
      </c>
      <c r="AU7" s="27" t="n">
        <f aca="false">IF(OR(W7="",AR7=""),"",IF(N(W7)=0,"",AR7/W7-1))</f>
        <v>0.656114585804656</v>
      </c>
      <c r="AV7" s="27" t="n">
        <f aca="false">IF(N(F7)=0,"",(AA7/26)/(F7/30)-1)</f>
        <v>0.852494413322737</v>
      </c>
      <c r="AW7" s="27" t="n">
        <f aca="false">IF(OR(X7="",AS7=""),"",IF(N(X7)=0,"",AS7/X7-1))</f>
        <v>0.598207617625093</v>
      </c>
      <c r="AX7" s="27" t="n">
        <f aca="false">IF(OR(O7="",AJ7=""),"",AJ7-O7)</f>
        <v>-0.0493069026350403</v>
      </c>
      <c r="AY7" s="27" t="n">
        <f aca="false">IF(OR(P7="",AK7=""),"",AK7-P7)</f>
        <v>0.0126083097394909</v>
      </c>
      <c r="AZ7" s="27" t="n">
        <f aca="false">IF(OR(R7="",AM7=""),"",IF(N(R7)=0,"",AM7/R7-1))</f>
        <v>-0.341046378105625</v>
      </c>
      <c r="BA7" s="27" t="n">
        <f aca="false">IF(OR(T7="",AO7=""),"",AO7-T7)</f>
        <v>-0.0244336746251577</v>
      </c>
      <c r="BB7" s="27" t="n">
        <f aca="false">IF(OR(V7="",AQ7=""),"",IF(N(V7)=0,"",AQ7/V7-1))</f>
        <v>-0.0292781174261348</v>
      </c>
    </row>
    <row r="8" customFormat="false" ht="15" hidden="false" customHeight="false" outlineLevel="0" collapsed="false">
      <c r="A8" s="18" t="s">
        <v>198</v>
      </c>
      <c r="B8" s="18" t="s">
        <v>167</v>
      </c>
      <c r="C8" s="14" t="s">
        <v>194</v>
      </c>
      <c r="D8" s="18" t="s">
        <v>199</v>
      </c>
      <c r="E8" s="26" t="n">
        <v>1808.4</v>
      </c>
      <c r="F8" s="26" t="n">
        <v>3416.67</v>
      </c>
      <c r="G8" s="30" t="n">
        <v>103</v>
      </c>
      <c r="H8" s="30" t="n">
        <v>1107</v>
      </c>
      <c r="I8" s="30" t="n">
        <v>285328</v>
      </c>
      <c r="J8" s="26" t="n">
        <v>10213.97</v>
      </c>
      <c r="K8" s="30" t="n">
        <v>356</v>
      </c>
      <c r="L8" s="30" t="n">
        <v>319</v>
      </c>
      <c r="M8" s="30" t="n">
        <v>9847</v>
      </c>
      <c r="N8" s="26" t="n">
        <v>455.48</v>
      </c>
      <c r="O8" s="28" t="n">
        <f aca="false">IF(N(F8)=0,"",E8/F8)</f>
        <v>0.529287288500206</v>
      </c>
      <c r="P8" s="28" t="n">
        <f aca="false">IF(N(J8)=0,"",E8/J8)</f>
        <v>0.177051626350968</v>
      </c>
      <c r="Q8" s="39" t="n">
        <f aca="false">IF(N(E8)=0,"",F8/E8)</f>
        <v>1.88933311214333</v>
      </c>
      <c r="R8" s="29" t="n">
        <f aca="false">IF(N(H8)=0,"",E8/H8)</f>
        <v>1.63360433604336</v>
      </c>
      <c r="S8" s="28" t="n">
        <f aca="false">IF(N(I8)=0,"",H8/I8)</f>
        <v>0.00387974541580216</v>
      </c>
      <c r="T8" s="28" t="n">
        <f aca="false">IF(N(H8)=0,"",G8/H8)</f>
        <v>0.0930442637759711</v>
      </c>
      <c r="U8" s="28" t="n">
        <f aca="false">IF(N(L8)=0,"",G8/L8)</f>
        <v>0.322884012539185</v>
      </c>
      <c r="V8" s="29" t="n">
        <f aca="false">IF(N(K8)=0,"",J8/K8)</f>
        <v>28.6909269662921</v>
      </c>
      <c r="W8" s="26" t="n">
        <f aca="false">IF(N(30)=0,"",E8/30)</f>
        <v>60.28</v>
      </c>
      <c r="X8" s="39" t="n">
        <f aca="false">IF(N(30)=0,"",K8/30)</f>
        <v>11.8666666666667</v>
      </c>
      <c r="Y8" s="28" t="n">
        <f aca="false">IF(N(J8)=0,"",N8/J8)</f>
        <v>0.0445938259070665</v>
      </c>
      <c r="Z8" s="26" t="n">
        <v>4484.7</v>
      </c>
      <c r="AA8" s="26" t="n">
        <v>14286.01</v>
      </c>
      <c r="AB8" s="30" t="n">
        <v>418</v>
      </c>
      <c r="AC8" s="30" t="n">
        <v>4163</v>
      </c>
      <c r="AD8" s="30" t="n">
        <v>512713</v>
      </c>
      <c r="AE8" s="26" t="n">
        <v>25577.47</v>
      </c>
      <c r="AF8" s="30" t="n">
        <v>891</v>
      </c>
      <c r="AG8" s="30" t="n">
        <v>843</v>
      </c>
      <c r="AH8" s="30" t="n">
        <v>23302</v>
      </c>
      <c r="AI8" s="26" t="n">
        <v>-1217.16</v>
      </c>
      <c r="AJ8" s="28" t="n">
        <f aca="false">IF(N(AA8)=0,"",Z8/AA8)</f>
        <v>0.313922501804213</v>
      </c>
      <c r="AK8" s="28" t="n">
        <f aca="false">IF(N(AE8)=0,"",Z8/AE8)</f>
        <v>0.175337904804502</v>
      </c>
      <c r="AL8" s="39" t="n">
        <f aca="false">IF(N(Z8)=0,"",AA8/Z8)</f>
        <v>3.18549958748634</v>
      </c>
      <c r="AM8" s="29" t="n">
        <f aca="false">IF(N(AC8)=0,"",Z8/AC8)</f>
        <v>1.07727600288254</v>
      </c>
      <c r="AN8" s="28" t="n">
        <f aca="false">IF(N(AD8)=0,"",AC8/AD8)</f>
        <v>0.00811955226413218</v>
      </c>
      <c r="AO8" s="28" t="n">
        <f aca="false">IF(N(AC8)=0,"",AB8/AC8)</f>
        <v>0.100408359356233</v>
      </c>
      <c r="AP8" s="28" t="n">
        <f aca="false">IF(N(AG8)=0,"",AB8/AG8)</f>
        <v>0.495848161328588</v>
      </c>
      <c r="AQ8" s="29" t="n">
        <f aca="false">IF(N(AF8)=0,"",AE8/AF8)</f>
        <v>28.7064758698092</v>
      </c>
      <c r="AR8" s="26" t="n">
        <f aca="false">IF(N(26)=0,"",Z8/26)</f>
        <v>172.488461538462</v>
      </c>
      <c r="AS8" s="39" t="n">
        <f aca="false">IF(N(26)=0,"",AF8/26)</f>
        <v>34.2692307692308</v>
      </c>
      <c r="AT8" s="28" t="n">
        <f aca="false">IF(N(AE8)=0,"",AI8/AE8)</f>
        <v>-0.0475871929475433</v>
      </c>
      <c r="AU8" s="27" t="n">
        <f aca="false">IF(OR(W8="",AR8=""),"",IF(N(W8)=0,"",AR8/W8-1))</f>
        <v>1.86145423919147</v>
      </c>
      <c r="AV8" s="27" t="n">
        <f aca="false">IF(N(F8)=0,"",(AA8/26)/(F8/30)-1)</f>
        <v>3.82453900795444</v>
      </c>
      <c r="AW8" s="27" t="n">
        <f aca="false">IF(OR(X8="",AS8=""),"",IF(N(X8)=0,"",AS8/X8-1))</f>
        <v>1.88785652549697</v>
      </c>
      <c r="AX8" s="27" t="n">
        <f aca="false">IF(OR(O8="",AJ8=""),"",AJ8-O8)</f>
        <v>-0.215364786695994</v>
      </c>
      <c r="AY8" s="27" t="n">
        <f aca="false">IF(OR(P8="",AK8=""),"",AK8-P8)</f>
        <v>-0.0017137215464666</v>
      </c>
      <c r="AZ8" s="27" t="n">
        <f aca="false">IF(OR(R8="",AM8=""),"",IF(N(R8)=0,"",AM8/R8-1))</f>
        <v>-0.340552679058301</v>
      </c>
      <c r="BA8" s="27" t="n">
        <f aca="false">IF(OR(T8="",AO8=""),"",AO8-T8)</f>
        <v>0.0073640955802624</v>
      </c>
      <c r="BB8" s="27" t="n">
        <f aca="false">IF(OR(V8="",AQ8=""),"",IF(N(V8)=0,"",AQ8/V8-1))</f>
        <v>0.000541944968712294</v>
      </c>
    </row>
    <row r="9" customFormat="false" ht="15" hidden="false" customHeight="false" outlineLevel="0" collapsed="false">
      <c r="A9" s="18" t="s">
        <v>129</v>
      </c>
      <c r="B9" s="18" t="s">
        <v>130</v>
      </c>
      <c r="C9" s="14" t="s">
        <v>131</v>
      </c>
      <c r="D9" s="18" t="s">
        <v>197</v>
      </c>
      <c r="E9" s="26" t="n">
        <v>2474.49</v>
      </c>
      <c r="F9" s="26" t="n">
        <v>6782.43</v>
      </c>
      <c r="G9" s="30" t="n">
        <v>186</v>
      </c>
      <c r="H9" s="30" t="n">
        <v>5519</v>
      </c>
      <c r="I9" s="30" t="n">
        <v>739233</v>
      </c>
      <c r="J9" s="26" t="n">
        <v>8881.15</v>
      </c>
      <c r="K9" s="30" t="n">
        <v>256</v>
      </c>
      <c r="L9" s="30" t="n">
        <v>246</v>
      </c>
      <c r="M9" s="30" t="n">
        <v>11827</v>
      </c>
      <c r="N9" s="26" t="n">
        <v>-6698.67</v>
      </c>
      <c r="O9" s="28" t="n">
        <f aca="false">IF(N(F9)=0,"",E9/F9)</f>
        <v>0.364838265931237</v>
      </c>
      <c r="P9" s="28" t="n">
        <f aca="false">IF(N(J9)=0,"",E9/J9)</f>
        <v>0.278622700888961</v>
      </c>
      <c r="Q9" s="39" t="n">
        <f aca="false">IF(N(E9)=0,"",F9/E9)</f>
        <v>2.7409405574482</v>
      </c>
      <c r="R9" s="29" t="n">
        <f aca="false">IF(N(H9)=0,"",E9/H9)</f>
        <v>0.448358398260554</v>
      </c>
      <c r="S9" s="28" t="n">
        <f aca="false">IF(N(I9)=0,"",H9/I9)</f>
        <v>0.00746584635696729</v>
      </c>
      <c r="T9" s="28" t="n">
        <f aca="false">IF(N(H9)=0,"",G9/H9)</f>
        <v>0.0337017575647762</v>
      </c>
      <c r="U9" s="28" t="n">
        <f aca="false">IF(N(L9)=0,"",G9/L9)</f>
        <v>0.75609756097561</v>
      </c>
      <c r="V9" s="29" t="n">
        <f aca="false">IF(N(K9)=0,"",J9/K9)</f>
        <v>34.6919921875</v>
      </c>
      <c r="W9" s="26" t="n">
        <f aca="false">IF(N(30)=0,"",E9/30)</f>
        <v>82.483</v>
      </c>
      <c r="X9" s="39" t="n">
        <f aca="false">IF(N(30)=0,"",K9/30)</f>
        <v>8.53333333333333</v>
      </c>
      <c r="Y9" s="28" t="n">
        <f aca="false">IF(N(J9)=0,"",N9/J9)</f>
        <v>-0.754257050044195</v>
      </c>
      <c r="Z9" s="26" t="n">
        <v>1577.74</v>
      </c>
      <c r="AA9" s="26" t="n">
        <v>3183.98</v>
      </c>
      <c r="AB9" s="30" t="n">
        <v>79</v>
      </c>
      <c r="AC9" s="30" t="n">
        <v>3414</v>
      </c>
      <c r="AD9" s="30" t="n">
        <v>261524</v>
      </c>
      <c r="AE9" s="26" t="n">
        <v>5633.42</v>
      </c>
      <c r="AF9" s="30" t="n">
        <v>168</v>
      </c>
      <c r="AG9" s="30" t="n">
        <v>165</v>
      </c>
      <c r="AH9" s="30" t="n">
        <v>12544</v>
      </c>
      <c r="AI9" s="26" t="n">
        <v>498.91</v>
      </c>
      <c r="AJ9" s="28" t="n">
        <f aca="false">IF(N(AA9)=0,"",Z9/AA9)</f>
        <v>0.495524469374808</v>
      </c>
      <c r="AK9" s="28" t="n">
        <f aca="false">IF(N(AE9)=0,"",Z9/AE9)</f>
        <v>0.280067880612488</v>
      </c>
      <c r="AL9" s="39" t="n">
        <f aca="false">IF(N(Z9)=0,"",AA9/Z9)</f>
        <v>2.01806381279552</v>
      </c>
      <c r="AM9" s="29" t="n">
        <f aca="false">IF(N(AC9)=0,"",Z9/AC9)</f>
        <v>0.462138254247217</v>
      </c>
      <c r="AN9" s="28" t="n">
        <f aca="false">IF(N(AD9)=0,"",AC9/AD9)</f>
        <v>0.0130542512350683</v>
      </c>
      <c r="AO9" s="28" t="n">
        <f aca="false">IF(N(AC9)=0,"",AB9/AC9)</f>
        <v>0.0231400117164616</v>
      </c>
      <c r="AP9" s="28" t="n">
        <f aca="false">IF(N(AG9)=0,"",AB9/AG9)</f>
        <v>0.478787878787879</v>
      </c>
      <c r="AQ9" s="29" t="n">
        <f aca="false">IF(N(AF9)=0,"",AE9/AF9)</f>
        <v>33.5322619047619</v>
      </c>
      <c r="AR9" s="26" t="n">
        <f aca="false">IF(N(26)=0,"",Z9/26)</f>
        <v>60.6823076923077</v>
      </c>
      <c r="AS9" s="39" t="n">
        <f aca="false">IF(N(26)=0,"",AF9/26)</f>
        <v>6.46153846153846</v>
      </c>
      <c r="AT9" s="28" t="n">
        <f aca="false">IF(N(AE9)=0,"",AI9/AE9)</f>
        <v>0.0885625428247849</v>
      </c>
      <c r="AU9" s="27" t="n">
        <f aca="false">IF(OR(W9="",AR9=""),"",IF(N(W9)=0,"",AR9/W9-1))</f>
        <v>-0.264305278756741</v>
      </c>
      <c r="AV9" s="27" t="n">
        <f aca="false">IF(N(F9)=0,"",(AA9/26)/(F9/30)-1)</f>
        <v>-0.458332326773284</v>
      </c>
      <c r="AW9" s="27" t="n">
        <f aca="false">IF(OR(X9="",AS9=""),"",IF(N(X9)=0,"",AS9/X9-1))</f>
        <v>-0.242788461538462</v>
      </c>
      <c r="AX9" s="27" t="n">
        <f aca="false">IF(OR(O9="",AJ9=""),"",AJ9-O9)</f>
        <v>0.130686203443571</v>
      </c>
      <c r="AY9" s="27" t="n">
        <f aca="false">IF(OR(P9="",AK9=""),"",AK9-P9)</f>
        <v>0.00144517972352615</v>
      </c>
      <c r="AZ9" s="27" t="n">
        <f aca="false">IF(OR(R9="",AM9=""),"",IF(N(R9)=0,"",AM9/R9-1))</f>
        <v>0.0307340200164046</v>
      </c>
      <c r="BA9" s="27" t="n">
        <f aca="false">IF(OR(T9="",AO9=""),"",AO9-T9)</f>
        <v>-0.0105617458483146</v>
      </c>
      <c r="BB9" s="27" t="n">
        <f aca="false">IF(OR(V9="",AQ9=""),"",IF(N(V9)=0,"",AQ9/V9-1))</f>
        <v>-0.0334293365589988</v>
      </c>
    </row>
    <row r="10" customFormat="false" ht="15" hidden="false" customHeight="false" outlineLevel="0" collapsed="false">
      <c r="A10" s="18" t="s">
        <v>200</v>
      </c>
      <c r="B10" s="18" t="s">
        <v>73</v>
      </c>
      <c r="C10" s="14" t="s">
        <v>114</v>
      </c>
      <c r="D10" s="18" t="s">
        <v>197</v>
      </c>
      <c r="E10" s="26" t="n">
        <v>2514.02</v>
      </c>
      <c r="F10" s="26" t="n">
        <v>6333.13</v>
      </c>
      <c r="G10" s="30" t="n">
        <v>150</v>
      </c>
      <c r="H10" s="30" t="n">
        <v>2486</v>
      </c>
      <c r="I10" s="30" t="n">
        <v>296639</v>
      </c>
      <c r="J10" s="26" t="n">
        <v>12555.05</v>
      </c>
      <c r="K10" s="30" t="n">
        <v>311</v>
      </c>
      <c r="L10" s="30" t="n">
        <v>293</v>
      </c>
      <c r="M10" s="30" t="n">
        <v>8253</v>
      </c>
      <c r="N10" s="26" t="n">
        <v>-689.7</v>
      </c>
      <c r="O10" s="28" t="n">
        <f aca="false">IF(N(F10)=0,"",E10/F10)</f>
        <v>0.396963270926067</v>
      </c>
      <c r="P10" s="28" t="n">
        <f aca="false">IF(N(J10)=0,"",E10/J10)</f>
        <v>0.20023974416669</v>
      </c>
      <c r="Q10" s="39" t="n">
        <f aca="false">IF(N(E10)=0,"",F10/E10)</f>
        <v>2.51912474841091</v>
      </c>
      <c r="R10" s="29" t="n">
        <f aca="false">IF(N(H10)=0,"",E10/H10)</f>
        <v>1.01127111826227</v>
      </c>
      <c r="S10" s="28" t="n">
        <f aca="false">IF(N(I10)=0,"",H10/I10)</f>
        <v>0.00838055683844673</v>
      </c>
      <c r="T10" s="28" t="n">
        <f aca="false">IF(N(H10)=0,"",G10/H10)</f>
        <v>0.0603378921962993</v>
      </c>
      <c r="U10" s="28" t="n">
        <f aca="false">IF(N(L10)=0,"",G10/L10)</f>
        <v>0.511945392491468</v>
      </c>
      <c r="V10" s="29" t="n">
        <f aca="false">IF(N(K10)=0,"",J10/K10)</f>
        <v>40.3699356913183</v>
      </c>
      <c r="W10" s="26" t="n">
        <f aca="false">IF(N(30)=0,"",E10/30)</f>
        <v>83.8006666666667</v>
      </c>
      <c r="X10" s="39" t="n">
        <f aca="false">IF(N(30)=0,"",K10/30)</f>
        <v>10.3666666666667</v>
      </c>
      <c r="Y10" s="28" t="n">
        <f aca="false">IF(N(J10)=0,"",N10/J10)</f>
        <v>-0.0549340703541603</v>
      </c>
      <c r="Z10" s="26" t="n">
        <v>1411.24</v>
      </c>
      <c r="AA10" s="26" t="n">
        <v>3744.5</v>
      </c>
      <c r="AB10" s="30" t="n">
        <v>89</v>
      </c>
      <c r="AC10" s="30" t="n">
        <v>1518</v>
      </c>
      <c r="AD10" s="30" t="n">
        <v>175574</v>
      </c>
      <c r="AE10" s="26" t="n">
        <v>6394.24</v>
      </c>
      <c r="AF10" s="30" t="n">
        <v>157</v>
      </c>
      <c r="AG10" s="30" t="n">
        <v>143</v>
      </c>
      <c r="AH10" s="30" t="n">
        <v>6662</v>
      </c>
      <c r="AI10" s="26" t="n">
        <v>-277.48</v>
      </c>
      <c r="AJ10" s="28" t="n">
        <f aca="false">IF(N(AA10)=0,"",Z10/AA10)</f>
        <v>0.376883429029243</v>
      </c>
      <c r="AK10" s="28" t="n">
        <f aca="false">IF(N(AE10)=0,"",Z10/AE10)</f>
        <v>0.220704884395956</v>
      </c>
      <c r="AL10" s="39" t="n">
        <f aca="false">IF(N(Z10)=0,"",AA10/Z10)</f>
        <v>2.65334032482073</v>
      </c>
      <c r="AM10" s="29" t="n">
        <f aca="false">IF(N(AC10)=0,"",Z10/AC10)</f>
        <v>0.929670619235837</v>
      </c>
      <c r="AN10" s="28" t="n">
        <f aca="false">IF(N(AD10)=0,"",AC10/AD10)</f>
        <v>0.00864592707348469</v>
      </c>
      <c r="AO10" s="28" t="n">
        <f aca="false">IF(N(AC10)=0,"",AB10/AC10)</f>
        <v>0.0586297760210804</v>
      </c>
      <c r="AP10" s="28" t="n">
        <f aca="false">IF(N(AG10)=0,"",AB10/AG10)</f>
        <v>0.622377622377622</v>
      </c>
      <c r="AQ10" s="29" t="n">
        <f aca="false">IF(N(AF10)=0,"",AE10/AF10)</f>
        <v>40.7276433121019</v>
      </c>
      <c r="AR10" s="26" t="n">
        <f aca="false">IF(N(26)=0,"",Z10/26)</f>
        <v>54.2784615384615</v>
      </c>
      <c r="AS10" s="39" t="n">
        <f aca="false">IF(N(26)=0,"",AF10/26)</f>
        <v>6.03846153846154</v>
      </c>
      <c r="AT10" s="28" t="n">
        <f aca="false">IF(N(AE10)=0,"",AI10/AE10)</f>
        <v>-0.0433953057751977</v>
      </c>
      <c r="AU10" s="27" t="n">
        <f aca="false">IF(OR(W10="",AR10=""),"",IF(N(W10)=0,"",AR10/W10-1))</f>
        <v>-0.352290814649905</v>
      </c>
      <c r="AV10" s="27" t="n">
        <f aca="false">IF(N(F10)=0,"",(AA10/26)/(F10/30)-1)</f>
        <v>-0.317781740927958</v>
      </c>
      <c r="AW10" s="27" t="n">
        <f aca="false">IF(OR(X10="",AS10=""),"",IF(N(X10)=0,"",AS10/X10-1))</f>
        <v>-0.417511748701459</v>
      </c>
      <c r="AX10" s="27" t="n">
        <f aca="false">IF(OR(O10="",AJ10=""),"",AJ10-O10)</f>
        <v>-0.0200798418968237</v>
      </c>
      <c r="AY10" s="27" t="n">
        <f aca="false">IF(OR(P10="",AK10=""),"",AK10-P10)</f>
        <v>0.0204651402292665</v>
      </c>
      <c r="AZ10" s="27" t="n">
        <f aca="false">IF(OR(R10="",AM10=""),"",IF(N(R10)=0,"",AM10/R10-1))</f>
        <v>-0.0806910209861935</v>
      </c>
      <c r="BA10" s="27" t="n">
        <f aca="false">IF(OR(T10="",AO10=""),"",AO10-T10)</f>
        <v>-0.0017081161752189</v>
      </c>
      <c r="BB10" s="27" t="n">
        <f aca="false">IF(OR(V10="",AQ10=""),"",IF(N(V10)=0,"",AQ10/V10-1))</f>
        <v>0.00886074289339311</v>
      </c>
    </row>
    <row r="11" customFormat="false" ht="15" hidden="false" customHeight="false" outlineLevel="0" collapsed="false">
      <c r="A11" s="18" t="s">
        <v>72</v>
      </c>
      <c r="B11" s="18" t="s">
        <v>73</v>
      </c>
      <c r="C11" s="14" t="s">
        <v>74</v>
      </c>
      <c r="D11" s="18" t="s">
        <v>201</v>
      </c>
      <c r="E11" s="26" t="n">
        <v>1799.96</v>
      </c>
      <c r="F11" s="26" t="n">
        <v>2674.04</v>
      </c>
      <c r="G11" s="30" t="n">
        <v>62</v>
      </c>
      <c r="H11" s="30" t="n">
        <v>1558</v>
      </c>
      <c r="I11" s="30" t="n">
        <v>170396</v>
      </c>
      <c r="J11" s="26" t="n">
        <v>5469.11</v>
      </c>
      <c r="K11" s="30" t="n">
        <v>139</v>
      </c>
      <c r="L11" s="30" t="n">
        <v>132</v>
      </c>
      <c r="M11" s="30" t="n">
        <v>4141</v>
      </c>
      <c r="N11" s="26" t="n">
        <v>-1332.29</v>
      </c>
      <c r="O11" s="28" t="n">
        <f aca="false">IF(N(F11)=0,"",E11/F11)</f>
        <v>0.673123812658001</v>
      </c>
      <c r="P11" s="28" t="n">
        <f aca="false">IF(N(J11)=0,"",E11/J11)</f>
        <v>0.329113877760733</v>
      </c>
      <c r="Q11" s="39" t="n">
        <f aca="false">IF(N(E11)=0,"",F11/E11)</f>
        <v>1.48561079135092</v>
      </c>
      <c r="R11" s="29" t="n">
        <f aca="false">IF(N(H11)=0,"",E11/H11)</f>
        <v>1.15530166880616</v>
      </c>
      <c r="S11" s="28" t="n">
        <f aca="false">IF(N(I11)=0,"",H11/I11)</f>
        <v>0.00914340712223292</v>
      </c>
      <c r="T11" s="28" t="n">
        <f aca="false">IF(N(H11)=0,"",G11/H11)</f>
        <v>0.0397946084724005</v>
      </c>
      <c r="U11" s="28" t="n">
        <f aca="false">IF(N(L11)=0,"",G11/L11)</f>
        <v>0.46969696969697</v>
      </c>
      <c r="V11" s="29" t="n">
        <f aca="false">IF(N(K11)=0,"",J11/K11)</f>
        <v>39.3461151079137</v>
      </c>
      <c r="W11" s="26" t="n">
        <f aca="false">IF(N(30)=0,"",E11/30)</f>
        <v>59.9986666666667</v>
      </c>
      <c r="X11" s="39" t="n">
        <f aca="false">IF(N(30)=0,"",K11/30)</f>
        <v>4.63333333333333</v>
      </c>
      <c r="Y11" s="28" t="n">
        <f aca="false">IF(N(J11)=0,"",N11/J11)</f>
        <v>-0.243602706838956</v>
      </c>
      <c r="Z11" s="26" t="n">
        <v>2071.66</v>
      </c>
      <c r="AA11" s="26" t="n">
        <v>2536.11</v>
      </c>
      <c r="AB11" s="30" t="n">
        <v>64</v>
      </c>
      <c r="AC11" s="30" t="n">
        <v>1894</v>
      </c>
      <c r="AD11" s="30" t="n">
        <v>201332</v>
      </c>
      <c r="AE11" s="26" t="n">
        <v>5080.73</v>
      </c>
      <c r="AF11" s="30" t="n">
        <v>127</v>
      </c>
      <c r="AG11" s="30" t="n">
        <v>127</v>
      </c>
      <c r="AH11" s="30" t="n">
        <v>3226</v>
      </c>
      <c r="AI11" s="26" t="n">
        <v>-2342.14</v>
      </c>
      <c r="AJ11" s="28" t="n">
        <f aca="false">IF(N(AA11)=0,"",Z11/AA11)</f>
        <v>0.816865199064709</v>
      </c>
      <c r="AK11" s="28" t="n">
        <f aca="false">IF(N(AE11)=0,"",Z11/AE11)</f>
        <v>0.407748492834691</v>
      </c>
      <c r="AL11" s="39" t="n">
        <f aca="false">IF(N(Z11)=0,"",AA11/Z11)</f>
        <v>1.22419219369974</v>
      </c>
      <c r="AM11" s="29" t="n">
        <f aca="false">IF(N(AC11)=0,"",Z11/AC11)</f>
        <v>1.09380147835269</v>
      </c>
      <c r="AN11" s="28" t="n">
        <f aca="false">IF(N(AD11)=0,"",AC11/AD11)</f>
        <v>0.00940734706852363</v>
      </c>
      <c r="AO11" s="28" t="n">
        <f aca="false">IF(N(AC11)=0,"",AB11/AC11)</f>
        <v>0.0337909186906019</v>
      </c>
      <c r="AP11" s="28" t="n">
        <f aca="false">IF(N(AG11)=0,"",AB11/AG11)</f>
        <v>0.503937007874016</v>
      </c>
      <c r="AQ11" s="29" t="n">
        <f aca="false">IF(N(AF11)=0,"",AE11/AF11)</f>
        <v>40.0057480314961</v>
      </c>
      <c r="AR11" s="26" t="n">
        <f aca="false">IF(N(26)=0,"",Z11/26)</f>
        <v>79.6792307692308</v>
      </c>
      <c r="AS11" s="39" t="n">
        <f aca="false">IF(N(26)=0,"",AF11/26)</f>
        <v>4.88461538461539</v>
      </c>
      <c r="AT11" s="28" t="n">
        <f aca="false">IF(N(AE11)=0,"",AI11/AE11)</f>
        <v>-0.460984937203906</v>
      </c>
      <c r="AU11" s="27" t="n">
        <f aca="false">IF(OR(W11="",AR11=""),"",IF(N(W11)=0,"",AR11/W11-1))</f>
        <v>0.328016690969201</v>
      </c>
      <c r="AV11" s="27" t="n">
        <f aca="false">IF(N(F11)=0,"",(AA11/26)/(F11/30)-1)</f>
        <v>0.0943294674839454</v>
      </c>
      <c r="AW11" s="27" t="n">
        <f aca="false">IF(OR(X11="",AS11=""),"",IF(N(X11)=0,"",AS11/X11-1))</f>
        <v>0.0542335362479247</v>
      </c>
      <c r="AX11" s="27" t="n">
        <f aca="false">IF(OR(O11="",AJ11=""),"",AJ11-O11)</f>
        <v>0.143741386406709</v>
      </c>
      <c r="AY11" s="27" t="n">
        <f aca="false">IF(OR(P11="",AK11=""),"",AK11-P11)</f>
        <v>0.0786346150739585</v>
      </c>
      <c r="AZ11" s="27" t="n">
        <f aca="false">IF(OR(R11="",AM11=""),"",IF(N(R11)=0,"",AM11/R11-1))</f>
        <v>-0.053233014470602</v>
      </c>
      <c r="BA11" s="27" t="n">
        <f aca="false">IF(OR(T11="",AO11=""),"",AO11-T11)</f>
        <v>-0.00600368978179862</v>
      </c>
      <c r="BB11" s="27" t="n">
        <f aca="false">IF(OR(V11="",AQ11=""),"",IF(N(V11)=0,"",AQ11/V11-1))</f>
        <v>0.0167648806438254</v>
      </c>
    </row>
    <row r="12" customFormat="false" ht="15" hidden="false" customHeight="false" outlineLevel="0" collapsed="false">
      <c r="A12" s="18" t="s">
        <v>202</v>
      </c>
      <c r="B12" s="18" t="s">
        <v>130</v>
      </c>
      <c r="C12" s="14" t="s">
        <v>131</v>
      </c>
      <c r="D12" s="18" t="s">
        <v>203</v>
      </c>
      <c r="E12" s="26" t="n">
        <v>1623.49</v>
      </c>
      <c r="F12" s="26" t="n">
        <v>6889.16</v>
      </c>
      <c r="G12" s="30" t="n">
        <v>178</v>
      </c>
      <c r="H12" s="30" t="n">
        <v>2245</v>
      </c>
      <c r="I12" s="30" t="n">
        <v>272913</v>
      </c>
      <c r="J12" s="26" t="n">
        <v>20654.79</v>
      </c>
      <c r="K12" s="30" t="n">
        <v>573</v>
      </c>
      <c r="L12" s="30" t="n">
        <v>560</v>
      </c>
      <c r="M12" s="30" t="n">
        <v>17204</v>
      </c>
      <c r="N12" s="26" t="n">
        <v>6947.83</v>
      </c>
      <c r="O12" s="28" t="n">
        <f aca="false">IF(N(F12)=0,"",E12/F12)</f>
        <v>0.235658628918475</v>
      </c>
      <c r="P12" s="28" t="n">
        <f aca="false">IF(N(J12)=0,"",E12/J12)</f>
        <v>0.0786011380411033</v>
      </c>
      <c r="Q12" s="39" t="n">
        <f aca="false">IF(N(E12)=0,"",F12/E12)</f>
        <v>4.24342619911425</v>
      </c>
      <c r="R12" s="29" t="n">
        <f aca="false">IF(N(H12)=0,"",E12/H12)</f>
        <v>0.723158129175947</v>
      </c>
      <c r="S12" s="28" t="n">
        <f aca="false">IF(N(I12)=0,"",H12/I12)</f>
        <v>0.00822606471659467</v>
      </c>
      <c r="T12" s="28" t="n">
        <f aca="false">IF(N(H12)=0,"",G12/H12)</f>
        <v>0.0792873051224944</v>
      </c>
      <c r="U12" s="28" t="n">
        <f aca="false">IF(N(L12)=0,"",G12/L12)</f>
        <v>0.317857142857143</v>
      </c>
      <c r="V12" s="29" t="n">
        <f aca="false">IF(N(K12)=0,"",J12/K12)</f>
        <v>36.0467539267016</v>
      </c>
      <c r="W12" s="26" t="n">
        <f aca="false">IF(N(30)=0,"",E12/30)</f>
        <v>54.1163333333333</v>
      </c>
      <c r="X12" s="39" t="n">
        <f aca="false">IF(N(30)=0,"",K12/30)</f>
        <v>19.1</v>
      </c>
      <c r="Y12" s="28" t="n">
        <f aca="false">IF(N(J12)=0,"",N12/J12)</f>
        <v>0.336378631784685</v>
      </c>
      <c r="Z12" s="26" t="n">
        <v>475.8</v>
      </c>
      <c r="AA12" s="26" t="n">
        <v>2658.01</v>
      </c>
      <c r="AB12" s="30" t="n">
        <v>72</v>
      </c>
      <c r="AC12" s="30" t="n">
        <v>529</v>
      </c>
      <c r="AD12" s="30" t="n">
        <v>115060</v>
      </c>
      <c r="AE12" s="26" t="n">
        <v>25810.84</v>
      </c>
      <c r="AF12" s="30" t="n">
        <v>716</v>
      </c>
      <c r="AG12" s="30" t="n">
        <v>701</v>
      </c>
      <c r="AH12" s="30" t="n">
        <v>19046</v>
      </c>
      <c r="AI12" s="26" t="n">
        <v>7815.2</v>
      </c>
      <c r="AJ12" s="28" t="n">
        <f aca="false">IF(N(AA12)=0,"",Z12/AA12)</f>
        <v>0.17900609854741</v>
      </c>
      <c r="AK12" s="28" t="n">
        <f aca="false">IF(N(AE12)=0,"",Z12/AE12)</f>
        <v>0.0184341152786969</v>
      </c>
      <c r="AL12" s="39" t="n">
        <f aca="false">IF(N(Z12)=0,"",AA12/Z12)</f>
        <v>5.5864018495166</v>
      </c>
      <c r="AM12" s="29" t="n">
        <f aca="false">IF(N(AC12)=0,"",Z12/AC12)</f>
        <v>0.899432892249527</v>
      </c>
      <c r="AN12" s="28" t="n">
        <f aca="false">IF(N(AD12)=0,"",AC12/AD12)</f>
        <v>0.00459760125152095</v>
      </c>
      <c r="AO12" s="28" t="n">
        <f aca="false">IF(N(AC12)=0,"",AB12/AC12)</f>
        <v>0.136105860113422</v>
      </c>
      <c r="AP12" s="28" t="n">
        <f aca="false">IF(N(AG12)=0,"",AB12/AG12)</f>
        <v>0.102710413694722</v>
      </c>
      <c r="AQ12" s="29" t="n">
        <f aca="false">IF(N(AF12)=0,"",AE12/AF12)</f>
        <v>36.0486592178771</v>
      </c>
      <c r="AR12" s="26" t="n">
        <f aca="false">IF(N(26)=0,"",Z12/26)</f>
        <v>18.3</v>
      </c>
      <c r="AS12" s="39" t="n">
        <f aca="false">IF(N(26)=0,"",AF12/26)</f>
        <v>27.5384615384615</v>
      </c>
      <c r="AT12" s="28" t="n">
        <f aca="false">IF(N(AE12)=0,"",AI12/AE12)</f>
        <v>0.302787510983757</v>
      </c>
      <c r="AU12" s="27" t="n">
        <f aca="false">IF(OR(W12="",AR12=""),"",IF(N(W12)=0,"",AR12/W12-1))</f>
        <v>-0.66183961712114</v>
      </c>
      <c r="AV12" s="27" t="n">
        <f aca="false">IF(N(F12)=0,"",(AA12/26)/(F12/30)-1)</f>
        <v>-0.554817333987799</v>
      </c>
      <c r="AW12" s="27" t="n">
        <f aca="false">IF(OR(X12="",AS12=""),"",IF(N(X12)=0,"",AS12/X12-1))</f>
        <v>0.4418042690294</v>
      </c>
      <c r="AX12" s="27" t="n">
        <f aca="false">IF(OR(O12="",AJ12=""),"",AJ12-O12)</f>
        <v>-0.0566525303710653</v>
      </c>
      <c r="AY12" s="27" t="n">
        <f aca="false">IF(OR(P12="",AK12=""),"",AK12-P12)</f>
        <v>-0.0601670227624064</v>
      </c>
      <c r="AZ12" s="27" t="n">
        <f aca="false">IF(OR(R12="",AM12=""),"",IF(N(R12)=0,"",AM12/R12-1))</f>
        <v>0.24375687136982</v>
      </c>
      <c r="BA12" s="27" t="n">
        <f aca="false">IF(OR(T12="",AO12=""),"",AO12-T12)</f>
        <v>0.0568185549909271</v>
      </c>
      <c r="BB12" s="27" t="n">
        <f aca="false">IF(OR(V12="",AQ12=""),"",IF(N(V12)=0,"",AQ12/V12-1))</f>
        <v>5.28561095791691E-005</v>
      </c>
    </row>
    <row r="13" customFormat="false" ht="15" hidden="false" customHeight="false" outlineLevel="0" collapsed="false">
      <c r="A13" s="18" t="s">
        <v>78</v>
      </c>
      <c r="B13" s="18" t="s">
        <v>73</v>
      </c>
      <c r="C13" s="14" t="s">
        <v>79</v>
      </c>
      <c r="D13" s="18" t="s">
        <v>204</v>
      </c>
      <c r="E13" s="26" t="n">
        <v>822.37</v>
      </c>
      <c r="F13" s="26" t="n">
        <v>1329.94</v>
      </c>
      <c r="G13" s="30" t="n">
        <v>32</v>
      </c>
      <c r="H13" s="30" t="n">
        <v>985</v>
      </c>
      <c r="I13" s="30" t="n">
        <v>109415</v>
      </c>
      <c r="J13" s="26" t="n">
        <v>2765.1</v>
      </c>
      <c r="K13" s="30" t="n">
        <v>60</v>
      </c>
      <c r="L13" s="30" t="n">
        <v>59</v>
      </c>
      <c r="M13" s="30" t="n">
        <v>2374</v>
      </c>
      <c r="N13" s="26" t="n">
        <v>-207.27</v>
      </c>
      <c r="O13" s="28" t="n">
        <f aca="false">IF(N(F13)=0,"",E13/F13)</f>
        <v>0.618351203813706</v>
      </c>
      <c r="P13" s="28" t="n">
        <f aca="false">IF(N(J13)=0,"",E13/J13)</f>
        <v>0.297410581895772</v>
      </c>
      <c r="Q13" s="39" t="n">
        <f aca="false">IF(N(E13)=0,"",F13/E13)</f>
        <v>1.61720393496844</v>
      </c>
      <c r="R13" s="29" t="n">
        <f aca="false">IF(N(H13)=0,"",E13/H13)</f>
        <v>0.834893401015229</v>
      </c>
      <c r="S13" s="28" t="n">
        <f aca="false">IF(N(I13)=0,"",H13/I13)</f>
        <v>0.00900242197139332</v>
      </c>
      <c r="T13" s="28" t="n">
        <f aca="false">IF(N(H13)=0,"",G13/H13)</f>
        <v>0.0324873096446701</v>
      </c>
      <c r="U13" s="28" t="n">
        <f aca="false">IF(N(L13)=0,"",G13/L13)</f>
        <v>0.542372881355932</v>
      </c>
      <c r="V13" s="29" t="n">
        <f aca="false">IF(N(K13)=0,"",J13/K13)</f>
        <v>46.085</v>
      </c>
      <c r="W13" s="26" t="n">
        <f aca="false">IF(N(30)=0,"",E13/30)</f>
        <v>27.4123333333333</v>
      </c>
      <c r="X13" s="39" t="n">
        <f aca="false">IF(N(30)=0,"",K13/30)</f>
        <v>2</v>
      </c>
      <c r="Y13" s="28" t="n">
        <f aca="false">IF(N(J13)=0,"",N13/J13)</f>
        <v>-0.0749593143105132</v>
      </c>
      <c r="Z13" s="26" t="n">
        <v>861.16</v>
      </c>
      <c r="AA13" s="26" t="n">
        <v>1069.49</v>
      </c>
      <c r="AB13" s="30" t="n">
        <v>25</v>
      </c>
      <c r="AC13" s="30" t="n">
        <v>1105</v>
      </c>
      <c r="AD13" s="30" t="n">
        <v>92376</v>
      </c>
      <c r="AE13" s="26" t="n">
        <v>1938.74</v>
      </c>
      <c r="AF13" s="30" t="n">
        <v>43</v>
      </c>
      <c r="AG13" s="30" t="n">
        <v>43</v>
      </c>
      <c r="AH13" s="30" t="n">
        <v>1813</v>
      </c>
      <c r="AI13" s="26" t="n">
        <v>-602.47</v>
      </c>
      <c r="AJ13" s="28" t="n">
        <f aca="false">IF(N(AA13)=0,"",Z13/AA13)</f>
        <v>0.805206219787001</v>
      </c>
      <c r="AK13" s="28" t="n">
        <f aca="false">IF(N(AE13)=0,"",Z13/AE13)</f>
        <v>0.444185398764146</v>
      </c>
      <c r="AL13" s="39" t="n">
        <f aca="false">IF(N(Z13)=0,"",AA13/Z13)</f>
        <v>1.24191787821079</v>
      </c>
      <c r="AM13" s="29" t="n">
        <f aca="false">IF(N(AC13)=0,"",Z13/AC13)</f>
        <v>0.779330316742081</v>
      </c>
      <c r="AN13" s="28" t="n">
        <f aca="false">IF(N(AD13)=0,"",AC13/AD13)</f>
        <v>0.0119619814670477</v>
      </c>
      <c r="AO13" s="28" t="n">
        <f aca="false">IF(N(AC13)=0,"",AB13/AC13)</f>
        <v>0.0226244343891403</v>
      </c>
      <c r="AP13" s="28" t="n">
        <f aca="false">IF(N(AG13)=0,"",AB13/AG13)</f>
        <v>0.581395348837209</v>
      </c>
      <c r="AQ13" s="29" t="n">
        <f aca="false">IF(N(AF13)=0,"",AE13/AF13)</f>
        <v>45.086976744186</v>
      </c>
      <c r="AR13" s="26" t="n">
        <f aca="false">IF(N(26)=0,"",Z13/26)</f>
        <v>33.1215384615385</v>
      </c>
      <c r="AS13" s="39" t="n">
        <f aca="false">IF(N(26)=0,"",AF13/26)</f>
        <v>1.65384615384615</v>
      </c>
      <c r="AT13" s="28" t="n">
        <f aca="false">IF(N(AE13)=0,"",AI13/AE13)</f>
        <v>-0.310753375903938</v>
      </c>
      <c r="AU13" s="27" t="n">
        <f aca="false">IF(OR(W13="",AR13=""),"",IF(N(W13)=0,"",AR13/W13-1))</f>
        <v>0.208271403195829</v>
      </c>
      <c r="AV13" s="27" t="n">
        <f aca="false">IF(N(F13)=0,"",(AA13/26)/(F13/30)-1)</f>
        <v>-0.0721183488902334</v>
      </c>
      <c r="AW13" s="27" t="n">
        <f aca="false">IF(OR(X13="",AS13=""),"",IF(N(X13)=0,"",AS13/X13-1))</f>
        <v>-0.173076923076923</v>
      </c>
      <c r="AX13" s="27" t="n">
        <f aca="false">IF(OR(O13="",AJ13=""),"",AJ13-O13)</f>
        <v>0.186855015973295</v>
      </c>
      <c r="AY13" s="27" t="n">
        <f aca="false">IF(OR(P13="",AK13=""),"",AK13-P13)</f>
        <v>0.146774816868373</v>
      </c>
      <c r="AZ13" s="27" t="n">
        <f aca="false">IF(OR(R13="",AM13=""),"",IF(N(R13)=0,"",AM13/R13-1))</f>
        <v>-0.0665511120408695</v>
      </c>
      <c r="BA13" s="27" t="n">
        <f aca="false">IF(OR(T13="",AO13=""),"",AO13-T13)</f>
        <v>-0.00986287525552978</v>
      </c>
      <c r="BB13" s="27" t="n">
        <f aca="false">IF(OR(V13="",AQ13=""),"",IF(N(V13)=0,"",AQ13/V13-1))</f>
        <v>-0.0216561409528904</v>
      </c>
    </row>
    <row r="14" customFormat="false" ht="15" hidden="false" customHeight="false" outlineLevel="0" collapsed="false">
      <c r="A14" s="18" t="s">
        <v>205</v>
      </c>
      <c r="B14" s="18" t="s">
        <v>104</v>
      </c>
      <c r="C14" s="14" t="s">
        <v>105</v>
      </c>
      <c r="D14" s="18" t="s">
        <v>197</v>
      </c>
      <c r="E14" s="26" t="n">
        <v>1167.67</v>
      </c>
      <c r="F14" s="26" t="n">
        <v>2484.88</v>
      </c>
      <c r="G14" s="30" t="n">
        <v>70</v>
      </c>
      <c r="H14" s="30" t="n">
        <v>1282</v>
      </c>
      <c r="I14" s="30" t="n">
        <v>351469</v>
      </c>
      <c r="J14" s="26" t="n">
        <v>5836.23</v>
      </c>
      <c r="K14" s="30" t="n">
        <v>171</v>
      </c>
      <c r="L14" s="30" t="n">
        <v>160</v>
      </c>
      <c r="M14" s="30" t="n">
        <v>10464</v>
      </c>
      <c r="N14" s="26" t="n">
        <v>1307.65</v>
      </c>
      <c r="O14" s="28" t="n">
        <f aca="false">IF(N(F14)=0,"",E14/F14)</f>
        <v>0.46991001577541</v>
      </c>
      <c r="P14" s="28" t="n">
        <f aca="false">IF(N(J14)=0,"",E14/J14)</f>
        <v>0.200072649638551</v>
      </c>
      <c r="Q14" s="39" t="n">
        <f aca="false">IF(N(E14)=0,"",F14/E14)</f>
        <v>2.12806700523264</v>
      </c>
      <c r="R14" s="29" t="n">
        <f aca="false">IF(N(H14)=0,"",E14/H14)</f>
        <v>0.910819032761311</v>
      </c>
      <c r="S14" s="28" t="n">
        <f aca="false">IF(N(I14)=0,"",H14/I14)</f>
        <v>0.0036475478633962</v>
      </c>
      <c r="T14" s="28" t="n">
        <f aca="false">IF(N(H14)=0,"",G14/H14)</f>
        <v>0.0546021840873635</v>
      </c>
      <c r="U14" s="28" t="n">
        <f aca="false">IF(N(L14)=0,"",G14/L14)</f>
        <v>0.4375</v>
      </c>
      <c r="V14" s="29" t="n">
        <f aca="false">IF(N(K14)=0,"",J14/K14)</f>
        <v>34.13</v>
      </c>
      <c r="W14" s="26" t="n">
        <f aca="false">IF(N(30)=0,"",E14/30)</f>
        <v>38.9223333333333</v>
      </c>
      <c r="X14" s="39" t="n">
        <f aca="false">IF(N(30)=0,"",K14/30)</f>
        <v>5.7</v>
      </c>
      <c r="Y14" s="28" t="n">
        <f aca="false">IF(N(J14)=0,"",N14/J14)</f>
        <v>0.224057310969581</v>
      </c>
      <c r="Z14" s="26" t="n">
        <v>441.33</v>
      </c>
      <c r="AA14" s="26" t="n">
        <v>989.24</v>
      </c>
      <c r="AB14" s="30" t="n">
        <v>30</v>
      </c>
      <c r="AC14" s="30" t="n">
        <v>540</v>
      </c>
      <c r="AD14" s="30" t="n">
        <v>250071</v>
      </c>
      <c r="AE14" s="26" t="n">
        <v>4471.63</v>
      </c>
      <c r="AF14" s="30" t="n">
        <v>137</v>
      </c>
      <c r="AG14" s="30" t="n">
        <v>125</v>
      </c>
      <c r="AH14" s="30" t="n">
        <v>7600</v>
      </c>
      <c r="AI14" s="26" t="n">
        <v>1108.21</v>
      </c>
      <c r="AJ14" s="28" t="n">
        <f aca="false">IF(N(AA14)=0,"",Z14/AA14)</f>
        <v>0.446130362702681</v>
      </c>
      <c r="AK14" s="28" t="n">
        <f aca="false">IF(N(AE14)=0,"",Z14/AE14)</f>
        <v>0.0986955539702525</v>
      </c>
      <c r="AL14" s="39" t="n">
        <f aca="false">IF(N(Z14)=0,"",AA14/Z14)</f>
        <v>2.24149729227562</v>
      </c>
      <c r="AM14" s="29" t="n">
        <f aca="false">IF(N(AC14)=0,"",Z14/AC14)</f>
        <v>0.817277777777778</v>
      </c>
      <c r="AN14" s="28" t="n">
        <f aca="false">IF(N(AD14)=0,"",AC14/AD14)</f>
        <v>0.0021593867341675</v>
      </c>
      <c r="AO14" s="28" t="n">
        <f aca="false">IF(N(AC14)=0,"",AB14/AC14)</f>
        <v>0.0555555555555556</v>
      </c>
      <c r="AP14" s="28" t="n">
        <f aca="false">IF(N(AG14)=0,"",AB14/AG14)</f>
        <v>0.24</v>
      </c>
      <c r="AQ14" s="29" t="n">
        <f aca="false">IF(N(AF14)=0,"",AE14/AF14)</f>
        <v>32.6396350364964</v>
      </c>
      <c r="AR14" s="26" t="n">
        <f aca="false">IF(N(26)=0,"",Z14/26)</f>
        <v>16.9742307692308</v>
      </c>
      <c r="AS14" s="39" t="n">
        <f aca="false">IF(N(26)=0,"",AF14/26)</f>
        <v>5.26923076923077</v>
      </c>
      <c r="AT14" s="28" t="n">
        <f aca="false">IF(N(AE14)=0,"",AI14/AE14)</f>
        <v>0.247831327726131</v>
      </c>
      <c r="AU14" s="27" t="n">
        <f aca="false">IF(OR(W14="",AR14=""),"",IF(N(W14)=0,"",AR14/W14-1))</f>
        <v>-0.563894830665408</v>
      </c>
      <c r="AV14" s="27" t="n">
        <f aca="false">IF(N(F14)=0,"",(AA14/26)/(F14/30)-1)</f>
        <v>-0.540649540730028</v>
      </c>
      <c r="AW14" s="27" t="n">
        <f aca="false">IF(OR(X14="",AS14=""),"",IF(N(X14)=0,"",AS14/X14-1))</f>
        <v>-0.0755735492577598</v>
      </c>
      <c r="AX14" s="27" t="n">
        <f aca="false">IF(OR(O14="",AJ14=""),"",AJ14-O14)</f>
        <v>-0.0237796530727289</v>
      </c>
      <c r="AY14" s="27" t="n">
        <f aca="false">IF(OR(P14="",AK14=""),"",AK14-P14)</f>
        <v>-0.101377095668299</v>
      </c>
      <c r="AZ14" s="27" t="n">
        <f aca="false">IF(OR(R14="",AM14=""),"",IF(N(R14)=0,"",AM14/R14-1))</f>
        <v>-0.102700154057986</v>
      </c>
      <c r="BA14" s="27" t="n">
        <f aca="false">IF(OR(T14="",AO14=""),"",AO14-T14)</f>
        <v>0.000953371468192056</v>
      </c>
      <c r="BB14" s="27" t="n">
        <f aca="false">IF(OR(V14="",AQ14=""),"",IF(N(V14)=0,"",AQ14/V14-1))</f>
        <v>-0.0436673004249529</v>
      </c>
    </row>
    <row r="15" customFormat="false" ht="15" hidden="false" customHeight="false" outlineLevel="0" collapsed="false">
      <c r="A15" s="18" t="s">
        <v>206</v>
      </c>
      <c r="B15" s="18" t="s">
        <v>104</v>
      </c>
      <c r="C15" s="14" t="s">
        <v>105</v>
      </c>
      <c r="D15" s="18" t="s">
        <v>207</v>
      </c>
      <c r="E15" s="26" t="n">
        <v>832.23</v>
      </c>
      <c r="F15" s="26" t="n">
        <v>2017.21</v>
      </c>
      <c r="G15" s="30" t="n">
        <v>51</v>
      </c>
      <c r="H15" s="30" t="n">
        <v>1625</v>
      </c>
      <c r="I15" s="30" t="n">
        <v>127172</v>
      </c>
      <c r="J15" s="26" t="n">
        <v>4887.12</v>
      </c>
      <c r="K15" s="30" t="n">
        <v>148</v>
      </c>
      <c r="L15" s="30" t="n">
        <v>119</v>
      </c>
      <c r="M15" s="30" t="n">
        <v>2944</v>
      </c>
      <c r="N15" s="26" t="n">
        <v>497.82</v>
      </c>
      <c r="O15" s="28" t="n">
        <f aca="false">IF(N(F15)=0,"",E15/F15)</f>
        <v>0.41256487921436</v>
      </c>
      <c r="P15" s="28" t="n">
        <f aca="false">IF(N(J15)=0,"",E15/J15)</f>
        <v>0.170290477827432</v>
      </c>
      <c r="Q15" s="39" t="n">
        <f aca="false">IF(N(E15)=0,"",F15/E15)</f>
        <v>2.4238611922185</v>
      </c>
      <c r="R15" s="29" t="n">
        <f aca="false">IF(N(H15)=0,"",E15/H15)</f>
        <v>0.512141538461538</v>
      </c>
      <c r="S15" s="28" t="n">
        <f aca="false">IF(N(I15)=0,"",H15/I15)</f>
        <v>0.0127779699933948</v>
      </c>
      <c r="T15" s="28" t="n">
        <f aca="false">IF(N(H15)=0,"",G15/H15)</f>
        <v>0.0313846153846154</v>
      </c>
      <c r="U15" s="28" t="n">
        <f aca="false">IF(N(L15)=0,"",G15/L15)</f>
        <v>0.428571428571429</v>
      </c>
      <c r="V15" s="29" t="n">
        <f aca="false">IF(N(K15)=0,"",J15/K15)</f>
        <v>33.0210810810811</v>
      </c>
      <c r="W15" s="26" t="n">
        <f aca="false">IF(N(30)=0,"",E15/30)</f>
        <v>27.741</v>
      </c>
      <c r="X15" s="39" t="n">
        <f aca="false">IF(N(30)=0,"",K15/30)</f>
        <v>4.93333333333333</v>
      </c>
      <c r="Y15" s="28" t="n">
        <f aca="false">IF(N(J15)=0,"",N15/J15)</f>
        <v>0.101863674311251</v>
      </c>
      <c r="Z15" s="26" t="n">
        <v>765.76</v>
      </c>
      <c r="AA15" s="26" t="n">
        <v>2111.22</v>
      </c>
      <c r="AB15" s="30" t="n">
        <v>57</v>
      </c>
      <c r="AC15" s="30" t="n">
        <v>1499</v>
      </c>
      <c r="AD15" s="30" t="n">
        <v>133845</v>
      </c>
      <c r="AE15" s="26" t="n">
        <v>2841.41</v>
      </c>
      <c r="AF15" s="30" t="n">
        <v>79</v>
      </c>
      <c r="AG15" s="30" t="n">
        <v>78</v>
      </c>
      <c r="AH15" s="30" t="n">
        <v>2957</v>
      </c>
      <c r="AI15" s="26" t="n">
        <v>221.23</v>
      </c>
      <c r="AJ15" s="28" t="n">
        <f aca="false">IF(N(AA15)=0,"",Z15/AA15)</f>
        <v>0.362709712867442</v>
      </c>
      <c r="AK15" s="28" t="n">
        <f aca="false">IF(N(AE15)=0,"",Z15/AE15)</f>
        <v>0.26950000175969</v>
      </c>
      <c r="AL15" s="39" t="n">
        <f aca="false">IF(N(Z15)=0,"",AA15/Z15)</f>
        <v>2.75702569995821</v>
      </c>
      <c r="AM15" s="29" t="n">
        <f aca="false">IF(N(AC15)=0,"",Z15/AC15)</f>
        <v>0.510847231487658</v>
      </c>
      <c r="AN15" s="28" t="n">
        <f aca="false">IF(N(AD15)=0,"",AC15/AD15)</f>
        <v>0.0111995218349583</v>
      </c>
      <c r="AO15" s="28" t="n">
        <f aca="false">IF(N(AC15)=0,"",AB15/AC15)</f>
        <v>0.038025350233489</v>
      </c>
      <c r="AP15" s="28" t="n">
        <f aca="false">IF(N(AG15)=0,"",AB15/AG15)</f>
        <v>0.730769230769231</v>
      </c>
      <c r="AQ15" s="29" t="n">
        <f aca="false">IF(N(AF15)=0,"",AE15/AF15)</f>
        <v>35.9672151898734</v>
      </c>
      <c r="AR15" s="26" t="n">
        <f aca="false">IF(N(26)=0,"",Z15/26)</f>
        <v>29.4523076923077</v>
      </c>
      <c r="AS15" s="39" t="n">
        <f aca="false">IF(N(26)=0,"",AF15/26)</f>
        <v>3.03846153846154</v>
      </c>
      <c r="AT15" s="28" t="n">
        <f aca="false">IF(N(AE15)=0,"",AI15/AE15)</f>
        <v>0.0778592318602384</v>
      </c>
      <c r="AU15" s="27" t="n">
        <f aca="false">IF(OR(W15="",AR15=""),"",IF(N(W15)=0,"",AR15/W15-1))</f>
        <v>0.0616887528318262</v>
      </c>
      <c r="AV15" s="27" t="n">
        <f aca="false">IF(N(F15)=0,"",(AA15/26)/(F15/30)-1)</f>
        <v>0.207619968631465</v>
      </c>
      <c r="AW15" s="27" t="n">
        <f aca="false">IF(OR(X15="",AS15=""),"",IF(N(X15)=0,"",AS15/X15-1))</f>
        <v>-0.384095634095634</v>
      </c>
      <c r="AX15" s="27" t="n">
        <f aca="false">IF(OR(O15="",AJ15=""),"",AJ15-O15)</f>
        <v>-0.0498551663469188</v>
      </c>
      <c r="AY15" s="27" t="n">
        <f aca="false">IF(OR(P15="",AK15=""),"",AK15-P15)</f>
        <v>0.0992095239322576</v>
      </c>
      <c r="AZ15" s="27" t="n">
        <f aca="false">IF(OR(R15="",AM15=""),"",IF(N(R15)=0,"",AM15/R15-1))</f>
        <v>-0.0025272446710104</v>
      </c>
      <c r="BA15" s="27" t="n">
        <f aca="false">IF(OR(T15="",AO15=""),"",AO15-T15)</f>
        <v>0.00664073484887361</v>
      </c>
      <c r="BB15" s="27" t="n">
        <f aca="false">IF(OR(V15="",AQ15=""),"",IF(N(V15)=0,"",AQ15/V15-1))</f>
        <v>0.0892197957286225</v>
      </c>
    </row>
    <row r="16" customFormat="false" ht="15" hidden="false" customHeight="false" outlineLevel="0" collapsed="false">
      <c r="A16" s="18" t="s">
        <v>208</v>
      </c>
      <c r="B16" s="18" t="s">
        <v>130</v>
      </c>
      <c r="C16" s="14" t="s">
        <v>131</v>
      </c>
      <c r="D16" s="18" t="s">
        <v>209</v>
      </c>
      <c r="E16" s="26" t="n">
        <v>1392.59</v>
      </c>
      <c r="F16" s="26" t="n">
        <v>2608.69</v>
      </c>
      <c r="G16" s="30" t="n">
        <v>77</v>
      </c>
      <c r="H16" s="30" t="n">
        <v>2846</v>
      </c>
      <c r="I16" s="30" t="n">
        <v>204883</v>
      </c>
      <c r="J16" s="26" t="n">
        <v>3882.92</v>
      </c>
      <c r="K16" s="30" t="n">
        <v>121</v>
      </c>
      <c r="L16" s="30" t="n">
        <v>119</v>
      </c>
      <c r="M16" s="30" t="n">
        <v>3427</v>
      </c>
      <c r="N16" s="26" t="n">
        <v>-14.5</v>
      </c>
      <c r="O16" s="28" t="n">
        <f aca="false">IF(N(F16)=0,"",E16/F16)</f>
        <v>0.533827323292534</v>
      </c>
      <c r="P16" s="28" t="n">
        <f aca="false">IF(N(J16)=0,"",E16/J16)</f>
        <v>0.358645040330473</v>
      </c>
      <c r="Q16" s="39" t="n">
        <f aca="false">IF(N(E16)=0,"",F16/E16)</f>
        <v>1.87326492363151</v>
      </c>
      <c r="R16" s="29" t="n">
        <f aca="false">IF(N(H16)=0,"",E16/H16)</f>
        <v>0.489314827828531</v>
      </c>
      <c r="S16" s="28" t="n">
        <f aca="false">IF(N(I16)=0,"",H16/I16)</f>
        <v>0.0138908547805333</v>
      </c>
      <c r="T16" s="28" t="n">
        <f aca="false">IF(N(H16)=0,"",G16/H16)</f>
        <v>0.0270555165144062</v>
      </c>
      <c r="U16" s="28" t="n">
        <f aca="false">IF(N(L16)=0,"",G16/L16)</f>
        <v>0.647058823529412</v>
      </c>
      <c r="V16" s="29" t="n">
        <f aca="false">IF(N(K16)=0,"",J16/K16)</f>
        <v>32.0902479338843</v>
      </c>
      <c r="W16" s="26" t="n">
        <f aca="false">IF(N(30)=0,"",E16/30)</f>
        <v>46.4196666666667</v>
      </c>
      <c r="X16" s="39" t="n">
        <f aca="false">IF(N(30)=0,"",K16/30)</f>
        <v>4.03333333333333</v>
      </c>
      <c r="Y16" s="28" t="n">
        <f aca="false">IF(N(J16)=0,"",N16/J16)</f>
        <v>-0.00373430305028175</v>
      </c>
      <c r="Z16" s="26" t="n">
        <v>90.55</v>
      </c>
      <c r="AA16" s="26" t="n">
        <v>97.32</v>
      </c>
      <c r="AB16" s="30" t="n">
        <v>3</v>
      </c>
      <c r="AC16" s="30" t="n">
        <v>189</v>
      </c>
      <c r="AD16" s="30" t="n">
        <v>16730</v>
      </c>
      <c r="AE16" s="26" t="n">
        <v>65.98</v>
      </c>
      <c r="AF16" s="30" t="n">
        <v>2</v>
      </c>
      <c r="AG16" s="30" t="n">
        <v>2</v>
      </c>
      <c r="AH16" s="30" t="n">
        <v>213</v>
      </c>
      <c r="AI16" s="26" t="n">
        <v>372.89</v>
      </c>
      <c r="AJ16" s="28" t="n">
        <f aca="false">IF(N(AA16)=0,"",Z16/AA16)</f>
        <v>0.930435676120016</v>
      </c>
      <c r="AK16" s="28" t="n">
        <f aca="false">IF(N(AE16)=0,"",Z16/AE16)</f>
        <v>1.37238557138527</v>
      </c>
      <c r="AL16" s="39" t="n">
        <f aca="false">IF(N(Z16)=0,"",AA16/Z16)</f>
        <v>1.07476532302595</v>
      </c>
      <c r="AM16" s="29" t="n">
        <f aca="false">IF(N(AC16)=0,"",Z16/AC16)</f>
        <v>0.479100529100529</v>
      </c>
      <c r="AN16" s="28" t="n">
        <f aca="false">IF(N(AD16)=0,"",AC16/AD16)</f>
        <v>0.0112970711297071</v>
      </c>
      <c r="AO16" s="28" t="n">
        <f aca="false">IF(N(AC16)=0,"",AB16/AC16)</f>
        <v>0.0158730158730159</v>
      </c>
      <c r="AP16" s="28" t="n">
        <f aca="false">IF(N(AG16)=0,"",AB16/AG16)</f>
        <v>1.5</v>
      </c>
      <c r="AQ16" s="29" t="n">
        <f aca="false">IF(N(AF16)=0,"",AE16/AF16)</f>
        <v>32.99</v>
      </c>
      <c r="AR16" s="26" t="n">
        <f aca="false">IF(N(26)=0,"",Z16/26)</f>
        <v>3.48269230769231</v>
      </c>
      <c r="AS16" s="39" t="n">
        <f aca="false">IF(N(26)=0,"",AF16/26)</f>
        <v>0.0769230769230769</v>
      </c>
      <c r="AT16" s="28" t="n">
        <f aca="false">IF(N(AE16)=0,"",AI16/AE16)</f>
        <v>5.65156107911488</v>
      </c>
      <c r="AU16" s="27" t="n">
        <f aca="false">IF(OR(W16="",AR16=""),"",IF(N(W16)=0,"",AR16/W16-1))</f>
        <v>-0.924973776035467</v>
      </c>
      <c r="AV16" s="27" t="n">
        <f aca="false">IF(N(F16)=0,"",(AA16/26)/(F16/30)-1)</f>
        <v>-0.956954522119413</v>
      </c>
      <c r="AW16" s="27" t="n">
        <f aca="false">IF(OR(X16="",AS16=""),"",IF(N(X16)=0,"",AS16/X16-1))</f>
        <v>-0.980928162746345</v>
      </c>
      <c r="AX16" s="27" t="n">
        <f aca="false">IF(OR(O16="",AJ16=""),"",AJ16-O16)</f>
        <v>0.396608352827483</v>
      </c>
      <c r="AY16" s="27" t="n">
        <f aca="false">IF(OR(P16="",AK16=""),"",AK16-P16)</f>
        <v>1.0137405310548</v>
      </c>
      <c r="AZ16" s="27" t="n">
        <f aca="false">IF(OR(R16="",AM16=""),"",IF(N(R16)=0,"",AM16/R16-1))</f>
        <v>-0.0208746969171789</v>
      </c>
      <c r="BA16" s="27" t="n">
        <f aca="false">IF(OR(T16="",AO16=""),"",AO16-T16)</f>
        <v>-0.0111825006413903</v>
      </c>
      <c r="BB16" s="27" t="n">
        <f aca="false">IF(OR(V16="",AQ16=""),"",IF(N(V16)=0,"",AQ16/V16-1))</f>
        <v>0.028038177454081</v>
      </c>
    </row>
    <row r="17" customFormat="false" ht="15" hidden="false" customHeight="false" outlineLevel="0" collapsed="false">
      <c r="A17" s="18" t="s">
        <v>83</v>
      </c>
      <c r="B17" s="18" t="s">
        <v>84</v>
      </c>
      <c r="C17" s="14" t="s">
        <v>85</v>
      </c>
      <c r="D17" s="18" t="s">
        <v>201</v>
      </c>
      <c r="E17" s="26" t="n">
        <v>840.11</v>
      </c>
      <c r="F17" s="26" t="n">
        <v>1496.4</v>
      </c>
      <c r="G17" s="30" t="n">
        <v>24</v>
      </c>
      <c r="H17" s="30" t="n">
        <v>776</v>
      </c>
      <c r="I17" s="30" t="n">
        <v>81298</v>
      </c>
      <c r="J17" s="26" t="n">
        <v>919.34</v>
      </c>
      <c r="K17" s="30" t="n">
        <v>16</v>
      </c>
      <c r="L17" s="30" t="n">
        <v>16</v>
      </c>
      <c r="M17" s="30" t="n">
        <v>1237</v>
      </c>
      <c r="N17" s="26" t="n">
        <v>-1164.93</v>
      </c>
      <c r="O17" s="28" t="n">
        <f aca="false">IF(N(F17)=0,"",E17/F17)</f>
        <v>0.561420743116814</v>
      </c>
      <c r="P17" s="28" t="n">
        <f aca="false">IF(N(J17)=0,"",E17/J17)</f>
        <v>0.91381860900211</v>
      </c>
      <c r="Q17" s="39" t="n">
        <f aca="false">IF(N(E17)=0,"",F17/E17)</f>
        <v>1.78119531966052</v>
      </c>
      <c r="R17" s="29" t="n">
        <f aca="false">IF(N(H17)=0,"",E17/H17)</f>
        <v>1.08261597938144</v>
      </c>
      <c r="S17" s="28" t="n">
        <f aca="false">IF(N(I17)=0,"",H17/I17)</f>
        <v>0.00954513026150705</v>
      </c>
      <c r="T17" s="28" t="n">
        <f aca="false">IF(N(H17)=0,"",G17/H17)</f>
        <v>0.0309278350515464</v>
      </c>
      <c r="U17" s="28" t="n">
        <f aca="false">IF(N(L17)=0,"",G17/L17)</f>
        <v>1.5</v>
      </c>
      <c r="V17" s="29" t="n">
        <f aca="false">IF(N(K17)=0,"",J17/K17)</f>
        <v>57.45875</v>
      </c>
      <c r="W17" s="26" t="n">
        <f aca="false">IF(N(30)=0,"",E17/30)</f>
        <v>28.0036666666667</v>
      </c>
      <c r="X17" s="39" t="n">
        <f aca="false">IF(N(30)=0,"",K17/30)</f>
        <v>0.533333333333333</v>
      </c>
      <c r="Y17" s="28" t="n">
        <f aca="false">IF(N(J17)=0,"",N17/J17)</f>
        <v>-1.2671372941458</v>
      </c>
      <c r="Z17" s="26" t="n">
        <v>594.43</v>
      </c>
      <c r="AA17" s="26" t="n">
        <v>441.41</v>
      </c>
      <c r="AB17" s="30" t="n">
        <v>9</v>
      </c>
      <c r="AC17" s="30" t="n">
        <v>490</v>
      </c>
      <c r="AD17" s="30" t="n">
        <v>58288</v>
      </c>
      <c r="AE17" s="26" t="n">
        <v>439.53</v>
      </c>
      <c r="AF17" s="30" t="n">
        <v>7</v>
      </c>
      <c r="AG17" s="30" t="n">
        <v>6</v>
      </c>
      <c r="AH17" s="30" t="n">
        <v>833</v>
      </c>
      <c r="AI17" s="26" t="n">
        <v>-3037.01</v>
      </c>
      <c r="AJ17" s="28" t="n">
        <f aca="false">IF(N(AA17)=0,"",Z17/AA17)</f>
        <v>1.34666183366938</v>
      </c>
      <c r="AK17" s="28" t="n">
        <f aca="false">IF(N(AE17)=0,"",Z17/AE17)</f>
        <v>1.35242190521694</v>
      </c>
      <c r="AL17" s="39" t="n">
        <f aca="false">IF(N(Z17)=0,"",AA17/Z17)</f>
        <v>0.742576922429891</v>
      </c>
      <c r="AM17" s="29" t="n">
        <f aca="false">IF(N(AC17)=0,"",Z17/AC17)</f>
        <v>1.21312244897959</v>
      </c>
      <c r="AN17" s="28" t="n">
        <f aca="false">IF(N(AD17)=0,"",AC17/AD17)</f>
        <v>0.00840653307713423</v>
      </c>
      <c r="AO17" s="28" t="n">
        <f aca="false">IF(N(AC17)=0,"",AB17/AC17)</f>
        <v>0.0183673469387755</v>
      </c>
      <c r="AP17" s="28" t="n">
        <f aca="false">IF(N(AG17)=0,"",AB17/AG17)</f>
        <v>1.5</v>
      </c>
      <c r="AQ17" s="29" t="n">
        <f aca="false">IF(N(AF17)=0,"",AE17/AF17)</f>
        <v>62.79</v>
      </c>
      <c r="AR17" s="26" t="n">
        <f aca="false">IF(N(26)=0,"",Z17/26)</f>
        <v>22.8626923076923</v>
      </c>
      <c r="AS17" s="39" t="n">
        <f aca="false">IF(N(26)=0,"",AF17/26)</f>
        <v>0.269230769230769</v>
      </c>
      <c r="AT17" s="28" t="n">
        <f aca="false">IF(N(AE17)=0,"",AI17/AE17)</f>
        <v>-6.90967624507997</v>
      </c>
      <c r="AU17" s="27" t="n">
        <f aca="false">IF(OR(W17="",AR17=""),"",IF(N(W17)=0,"",AR17/W17-1))</f>
        <v>-0.183582186581794</v>
      </c>
      <c r="AV17" s="27" t="n">
        <f aca="false">IF(N(F17)=0,"",(AA17/26)/(F17/30)-1)</f>
        <v>-0.659636974893591</v>
      </c>
      <c r="AW17" s="27" t="n">
        <f aca="false">IF(OR(X17="",AS17=""),"",IF(N(X17)=0,"",AS17/X17-1))</f>
        <v>-0.495192307692308</v>
      </c>
      <c r="AX17" s="27" t="n">
        <f aca="false">IF(OR(O17="",AJ17=""),"",AJ17-O17)</f>
        <v>0.785241090552564</v>
      </c>
      <c r="AY17" s="27" t="n">
        <f aca="false">IF(OR(P17="",AK17=""),"",AK17-P17)</f>
        <v>0.438603296214826</v>
      </c>
      <c r="AZ17" s="27" t="n">
        <f aca="false">IF(OR(R17="",AM17=""),"",IF(N(R17)=0,"",AM17/R17-1))</f>
        <v>0.120547333573179</v>
      </c>
      <c r="BA17" s="27" t="n">
        <f aca="false">IF(OR(T17="",AO17=""),"",AO17-T17)</f>
        <v>-0.0125604881127709</v>
      </c>
      <c r="BB17" s="27" t="n">
        <f aca="false">IF(OR(V17="",AQ17=""),"",IF(N(V17)=0,"",AQ17/V17-1))</f>
        <v>0.0927839537059194</v>
      </c>
    </row>
    <row r="18" customFormat="false" ht="15" hidden="false" customHeight="false" outlineLevel="0" collapsed="false">
      <c r="A18" s="18" t="s">
        <v>117</v>
      </c>
      <c r="B18" s="18" t="s">
        <v>118</v>
      </c>
      <c r="C18" s="14" t="s">
        <v>119</v>
      </c>
      <c r="D18" s="18" t="s">
        <v>210</v>
      </c>
      <c r="E18" s="26" t="n">
        <v>349.65</v>
      </c>
      <c r="F18" s="26" t="n">
        <v>1523.03</v>
      </c>
      <c r="G18" s="30" t="n">
        <v>17</v>
      </c>
      <c r="H18" s="30" t="n">
        <v>676</v>
      </c>
      <c r="I18" s="30" t="n">
        <v>54909</v>
      </c>
      <c r="J18" s="26" t="n">
        <v>9278.1</v>
      </c>
      <c r="K18" s="30" t="n">
        <v>99</v>
      </c>
      <c r="L18" s="30" t="n">
        <v>96</v>
      </c>
      <c r="M18" s="30" t="n">
        <v>2668</v>
      </c>
      <c r="N18" s="26" t="n">
        <v>902.12</v>
      </c>
      <c r="O18" s="28" t="n">
        <f aca="false">IF(N(F18)=0,"",E18/F18)</f>
        <v>0.229575254591177</v>
      </c>
      <c r="P18" s="28" t="n">
        <f aca="false">IF(N(J18)=0,"",E18/J18)</f>
        <v>0.0376855175089727</v>
      </c>
      <c r="Q18" s="39" t="n">
        <f aca="false">IF(N(E18)=0,"",F18/E18)</f>
        <v>4.35587015587016</v>
      </c>
      <c r="R18" s="29" t="n">
        <f aca="false">IF(N(H18)=0,"",E18/H18)</f>
        <v>0.517233727810651</v>
      </c>
      <c r="S18" s="28" t="n">
        <f aca="false">IF(N(I18)=0,"",H18/I18)</f>
        <v>0.0123112786610574</v>
      </c>
      <c r="T18" s="28" t="n">
        <f aca="false">IF(N(H18)=0,"",G18/H18)</f>
        <v>0.0251479289940828</v>
      </c>
      <c r="U18" s="28" t="n">
        <f aca="false">IF(N(L18)=0,"",G18/L18)</f>
        <v>0.177083333333333</v>
      </c>
      <c r="V18" s="29" t="n">
        <f aca="false">IF(N(K18)=0,"",J18/K18)</f>
        <v>93.7181818181818</v>
      </c>
      <c r="W18" s="26" t="n">
        <f aca="false">IF(N(30)=0,"",E18/30)</f>
        <v>11.655</v>
      </c>
      <c r="X18" s="39" t="n">
        <f aca="false">IF(N(30)=0,"",K18/30)</f>
        <v>3.3</v>
      </c>
      <c r="Y18" s="28" t="n">
        <f aca="false">IF(N(J18)=0,"",N18/J18)</f>
        <v>0.0972311141289704</v>
      </c>
      <c r="Z18" s="26" t="n">
        <v>764.77</v>
      </c>
      <c r="AA18" s="26" t="n">
        <v>1768.19</v>
      </c>
      <c r="AB18" s="30" t="n">
        <v>18</v>
      </c>
      <c r="AC18" s="30" t="n">
        <v>1485</v>
      </c>
      <c r="AD18" s="30" t="n">
        <v>137045</v>
      </c>
      <c r="AE18" s="26" t="n">
        <v>7632.41</v>
      </c>
      <c r="AF18" s="30" t="n">
        <v>75</v>
      </c>
      <c r="AG18" s="30" t="n">
        <v>73</v>
      </c>
      <c r="AH18" s="30" t="n">
        <v>3586</v>
      </c>
      <c r="AI18" s="26" t="n">
        <v>2187.5</v>
      </c>
      <c r="AJ18" s="28" t="n">
        <f aca="false">IF(N(AA18)=0,"",Z18/AA18)</f>
        <v>0.43251573643104</v>
      </c>
      <c r="AK18" s="28" t="n">
        <f aca="false">IF(N(AE18)=0,"",Z18/AE18)</f>
        <v>0.100200329908902</v>
      </c>
      <c r="AL18" s="39" t="n">
        <f aca="false">IF(N(Z18)=0,"",AA18/Z18)</f>
        <v>2.31205460465238</v>
      </c>
      <c r="AM18" s="29" t="n">
        <f aca="false">IF(N(AC18)=0,"",Z18/AC18)</f>
        <v>0.514996632996633</v>
      </c>
      <c r="AN18" s="28" t="n">
        <f aca="false">IF(N(AD18)=0,"",AC18/AD18)</f>
        <v>0.0108358568353461</v>
      </c>
      <c r="AO18" s="28" t="n">
        <f aca="false">IF(N(AC18)=0,"",AB18/AC18)</f>
        <v>0.0121212121212121</v>
      </c>
      <c r="AP18" s="28" t="n">
        <f aca="false">IF(N(AG18)=0,"",AB18/AG18)</f>
        <v>0.246575342465753</v>
      </c>
      <c r="AQ18" s="29" t="n">
        <f aca="false">IF(N(AF18)=0,"",AE18/AF18)</f>
        <v>101.765466666667</v>
      </c>
      <c r="AR18" s="26" t="n">
        <f aca="false">IF(N(26)=0,"",Z18/26)</f>
        <v>29.4142307692308</v>
      </c>
      <c r="AS18" s="39" t="n">
        <f aca="false">IF(N(26)=0,"",AF18/26)</f>
        <v>2.88461538461538</v>
      </c>
      <c r="AT18" s="28" t="n">
        <f aca="false">IF(N(AE18)=0,"",AI18/AE18)</f>
        <v>0.286606720550914</v>
      </c>
      <c r="AU18" s="27" t="n">
        <f aca="false">IF(OR(W18="",AR18=""),"",IF(N(W18)=0,"",AR18/W18-1))</f>
        <v>1.52374352374352</v>
      </c>
      <c r="AV18" s="27" t="n">
        <f aca="false">IF(N(F18)=0,"",(AA18/26)/(F18/30)-1)</f>
        <v>0.339579148650539</v>
      </c>
      <c r="AW18" s="27" t="n">
        <f aca="false">IF(OR(X18="",AS18=""),"",IF(N(X18)=0,"",AS18/X18-1))</f>
        <v>-0.125874125874126</v>
      </c>
      <c r="AX18" s="27" t="n">
        <f aca="false">IF(OR(O18="",AJ18=""),"",AJ18-O18)</f>
        <v>0.202940481839863</v>
      </c>
      <c r="AY18" s="27" t="n">
        <f aca="false">IF(OR(P18="",AK18=""),"",AK18-P18)</f>
        <v>0.0625148123999289</v>
      </c>
      <c r="AZ18" s="27" t="n">
        <f aca="false">IF(OR(R18="",AM18=""),"",IF(N(R18)=0,"",AM18/R18-1))</f>
        <v>-0.00432511395474344</v>
      </c>
      <c r="BA18" s="27" t="n">
        <f aca="false">IF(OR(T18="",AO18=""),"",AO18-T18)</f>
        <v>-0.0130267168728707</v>
      </c>
      <c r="BB18" s="27" t="n">
        <f aca="false">IF(OR(V18="",AQ18=""),"",IF(N(V18)=0,"",AQ18/V18-1))</f>
        <v>0.0858668477382223</v>
      </c>
    </row>
    <row r="19" customFormat="false" ht="15" hidden="false" customHeight="false" outlineLevel="0" collapsed="false">
      <c r="A19" s="18" t="s">
        <v>89</v>
      </c>
      <c r="B19" s="18" t="s">
        <v>90</v>
      </c>
      <c r="C19" s="14" t="s">
        <v>91</v>
      </c>
      <c r="D19" s="18" t="s">
        <v>209</v>
      </c>
      <c r="E19" s="26" t="n">
        <v>607.85</v>
      </c>
      <c r="F19" s="26" t="n">
        <v>1103.07</v>
      </c>
      <c r="G19" s="30" t="n">
        <v>13</v>
      </c>
      <c r="H19" s="30" t="n">
        <v>590</v>
      </c>
      <c r="I19" s="30" t="n">
        <v>41310</v>
      </c>
      <c r="J19" s="26" t="n">
        <v>3755.81</v>
      </c>
      <c r="K19" s="30" t="n">
        <v>39</v>
      </c>
      <c r="L19" s="30" t="n">
        <v>35</v>
      </c>
      <c r="M19" s="30" t="n">
        <v>1413</v>
      </c>
      <c r="N19" s="26" t="n">
        <v>312.42</v>
      </c>
      <c r="O19" s="28" t="n">
        <f aca="false">IF(N(F19)=0,"",E19/F19)</f>
        <v>0.551052970346397</v>
      </c>
      <c r="P19" s="28" t="n">
        <f aca="false">IF(N(J19)=0,"",E19/J19)</f>
        <v>0.161842585221297</v>
      </c>
      <c r="Q19" s="39" t="n">
        <f aca="false">IF(N(E19)=0,"",F19/E19)</f>
        <v>1.81470757588221</v>
      </c>
      <c r="R19" s="29" t="n">
        <f aca="false">IF(N(H19)=0,"",E19/H19)</f>
        <v>1.03025423728814</v>
      </c>
      <c r="S19" s="28" t="n">
        <f aca="false">IF(N(I19)=0,"",H19/I19)</f>
        <v>0.0142822561123215</v>
      </c>
      <c r="T19" s="28" t="n">
        <f aca="false">IF(N(H19)=0,"",G19/H19)</f>
        <v>0.0220338983050847</v>
      </c>
      <c r="U19" s="28" t="n">
        <f aca="false">IF(N(L19)=0,"",G19/L19)</f>
        <v>0.371428571428571</v>
      </c>
      <c r="V19" s="29" t="n">
        <f aca="false">IF(N(K19)=0,"",J19/K19)</f>
        <v>96.3028205128205</v>
      </c>
      <c r="W19" s="26" t="n">
        <f aca="false">IF(N(30)=0,"",E19/30)</f>
        <v>20.2616666666667</v>
      </c>
      <c r="X19" s="39" t="n">
        <f aca="false">IF(N(30)=0,"",K19/30)</f>
        <v>1.3</v>
      </c>
      <c r="Y19" s="28" t="n">
        <f aca="false">IF(N(J19)=0,"",N19/J19)</f>
        <v>0.0831831216169082</v>
      </c>
      <c r="Z19" s="26" t="n">
        <v>504.53</v>
      </c>
      <c r="AA19" s="26" t="n">
        <v>340.71</v>
      </c>
      <c r="AB19" s="30" t="n">
        <v>3</v>
      </c>
      <c r="AC19" s="30" t="n">
        <v>495</v>
      </c>
      <c r="AD19" s="30" t="n">
        <v>39539</v>
      </c>
      <c r="AE19" s="26" t="n">
        <v>1896.82</v>
      </c>
      <c r="AF19" s="30" t="n">
        <v>18</v>
      </c>
      <c r="AG19" s="30" t="n">
        <v>18</v>
      </c>
      <c r="AH19" s="30" t="n">
        <v>1186</v>
      </c>
      <c r="AI19" s="26" t="n">
        <v>-189.21</v>
      </c>
      <c r="AJ19" s="28" t="n">
        <f aca="false">IF(N(AA19)=0,"",Z19/AA19)</f>
        <v>1.48081946523436</v>
      </c>
      <c r="AK19" s="28" t="n">
        <f aca="false">IF(N(AE19)=0,"",Z19/AE19)</f>
        <v>0.265987283980557</v>
      </c>
      <c r="AL19" s="39" t="n">
        <f aca="false">IF(N(Z19)=0,"",AA19/Z19)</f>
        <v>0.67530176600004</v>
      </c>
      <c r="AM19" s="29" t="n">
        <f aca="false">IF(N(AC19)=0,"",Z19/AC19)</f>
        <v>1.01925252525253</v>
      </c>
      <c r="AN19" s="28" t="n">
        <f aca="false">IF(N(AD19)=0,"",AC19/AD19)</f>
        <v>0.0125192847568224</v>
      </c>
      <c r="AO19" s="28" t="n">
        <f aca="false">IF(N(AC19)=0,"",AB19/AC19)</f>
        <v>0.00606060606060606</v>
      </c>
      <c r="AP19" s="28" t="n">
        <f aca="false">IF(N(AG19)=0,"",AB19/AG19)</f>
        <v>0.166666666666667</v>
      </c>
      <c r="AQ19" s="29" t="n">
        <f aca="false">IF(N(AF19)=0,"",AE19/AF19)</f>
        <v>105.378888888889</v>
      </c>
      <c r="AR19" s="26" t="n">
        <f aca="false">IF(N(26)=0,"",Z19/26)</f>
        <v>19.405</v>
      </c>
      <c r="AS19" s="39" t="n">
        <f aca="false">IF(N(26)=0,"",AF19/26)</f>
        <v>0.692307692307692</v>
      </c>
      <c r="AT19" s="28" t="n">
        <f aca="false">IF(N(AE19)=0,"",AI19/AE19)</f>
        <v>-0.0997511624719267</v>
      </c>
      <c r="AU19" s="27" t="n">
        <f aca="false">IF(OR(W19="",AR19=""),"",IF(N(W19)=0,"",AR19/W19-1))</f>
        <v>-0.0422801678045571</v>
      </c>
      <c r="AV19" s="27" t="n">
        <f aca="false">IF(N(F19)=0,"",(AA19/26)/(F19/30)-1)</f>
        <v>-0.643606549831903</v>
      </c>
      <c r="AW19" s="27" t="n">
        <f aca="false">IF(OR(X19="",AS19=""),"",IF(N(X19)=0,"",AS19/X19-1))</f>
        <v>-0.467455621301775</v>
      </c>
      <c r="AX19" s="27" t="n">
        <f aca="false">IF(OR(O19="",AJ19=""),"",AJ19-O19)</f>
        <v>0.929766494887967</v>
      </c>
      <c r="AY19" s="27" t="n">
        <f aca="false">IF(OR(P19="",AK19=""),"",AK19-P19)</f>
        <v>0.10414469875926</v>
      </c>
      <c r="AZ19" s="27" t="n">
        <f aca="false">IF(OR(R19="",AM19=""),"",IF(N(R19)=0,"",AM19/R19-1))</f>
        <v>-0.0106786379880071</v>
      </c>
      <c r="BA19" s="27" t="n">
        <f aca="false">IF(OR(T19="",AO19=""),"",AO19-T19)</f>
        <v>-0.0159732922444787</v>
      </c>
      <c r="BB19" s="27" t="n">
        <f aca="false">IF(OR(V19="",AQ19=""),"",IF(N(V19)=0,"",AQ19/V19-1))</f>
        <v>0.0942450940454034</v>
      </c>
    </row>
    <row r="20" customFormat="false" ht="15" hidden="false" customHeight="false" outlineLevel="0" collapsed="false">
      <c r="A20" s="18" t="s">
        <v>94</v>
      </c>
      <c r="B20" s="18" t="s">
        <v>67</v>
      </c>
      <c r="C20" s="14" t="s">
        <v>68</v>
      </c>
      <c r="D20" s="18" t="s">
        <v>211</v>
      </c>
      <c r="E20" s="26" t="n">
        <v>561.4</v>
      </c>
      <c r="F20" s="26" t="n">
        <v>827.2</v>
      </c>
      <c r="G20" s="30" t="n">
        <v>32</v>
      </c>
      <c r="H20" s="30" t="n">
        <v>877</v>
      </c>
      <c r="I20" s="30" t="n">
        <v>183116</v>
      </c>
      <c r="J20" s="26" t="n">
        <v>1867.22</v>
      </c>
      <c r="K20" s="30" t="n">
        <v>73</v>
      </c>
      <c r="L20" s="30" t="n">
        <v>62</v>
      </c>
      <c r="M20" s="30" t="n">
        <v>1179</v>
      </c>
      <c r="N20" s="26" t="n">
        <v>-988.95</v>
      </c>
      <c r="O20" s="28" t="n">
        <f aca="false">IF(N(F20)=0,"",E20/F20)</f>
        <v>0.678675048355899</v>
      </c>
      <c r="P20" s="28" t="n">
        <f aca="false">IF(N(J20)=0,"",E20/J20)</f>
        <v>0.300660875526183</v>
      </c>
      <c r="Q20" s="39" t="n">
        <f aca="false">IF(N(E20)=0,"",F20/E20)</f>
        <v>1.47345920912006</v>
      </c>
      <c r="R20" s="29" t="n">
        <f aca="false">IF(N(H20)=0,"",E20/H20)</f>
        <v>0.640136830102623</v>
      </c>
      <c r="S20" s="28" t="n">
        <f aca="false">IF(N(I20)=0,"",H20/I20)</f>
        <v>0.00478931387754211</v>
      </c>
      <c r="T20" s="28" t="n">
        <f aca="false">IF(N(H20)=0,"",G20/H20)</f>
        <v>0.0364880273660205</v>
      </c>
      <c r="U20" s="28" t="n">
        <f aca="false">IF(N(L20)=0,"",G20/L20)</f>
        <v>0.516129032258065</v>
      </c>
      <c r="V20" s="29" t="n">
        <f aca="false">IF(N(K20)=0,"",J20/K20)</f>
        <v>25.5783561643836</v>
      </c>
      <c r="W20" s="26" t="n">
        <f aca="false">IF(N(30)=0,"",E20/30)</f>
        <v>18.7133333333333</v>
      </c>
      <c r="X20" s="39" t="n">
        <f aca="false">IF(N(30)=0,"",K20/30)</f>
        <v>2.43333333333333</v>
      </c>
      <c r="Y20" s="28" t="n">
        <f aca="false">IF(N(J20)=0,"",N20/J20)</f>
        <v>-0.529637643127216</v>
      </c>
      <c r="Z20" s="26" t="n">
        <v>536.42</v>
      </c>
      <c r="AA20" s="26" t="n">
        <v>872.22</v>
      </c>
      <c r="AB20" s="30" t="n">
        <v>34</v>
      </c>
      <c r="AC20" s="30" t="n">
        <v>784</v>
      </c>
      <c r="AD20" s="30" t="n">
        <v>142898</v>
      </c>
      <c r="AE20" s="26" t="n">
        <v>1747.68</v>
      </c>
      <c r="AF20" s="30" t="n">
        <v>67</v>
      </c>
      <c r="AG20" s="30" t="n">
        <v>54</v>
      </c>
      <c r="AH20" s="30" t="n">
        <v>955</v>
      </c>
      <c r="AI20" s="26" t="n">
        <v>-215.73</v>
      </c>
      <c r="AJ20" s="28" t="n">
        <f aca="false">IF(N(AA20)=0,"",Z20/AA20)</f>
        <v>0.615005388548761</v>
      </c>
      <c r="AK20" s="28" t="n">
        <f aca="false">IF(N(AE20)=0,"",Z20/AE20)</f>
        <v>0.306932619243797</v>
      </c>
      <c r="AL20" s="39" t="n">
        <f aca="false">IF(N(Z20)=0,"",AA20/Z20)</f>
        <v>1.62600201334775</v>
      </c>
      <c r="AM20" s="29" t="n">
        <f aca="false">IF(N(AC20)=0,"",Z20/AC20)</f>
        <v>0.684209183673469</v>
      </c>
      <c r="AN20" s="28" t="n">
        <f aca="false">IF(N(AD20)=0,"",AC20/AD20)</f>
        <v>0.0054864308807681</v>
      </c>
      <c r="AO20" s="28" t="n">
        <f aca="false">IF(N(AC20)=0,"",AB20/AC20)</f>
        <v>0.0433673469387755</v>
      </c>
      <c r="AP20" s="28" t="n">
        <f aca="false">IF(N(AG20)=0,"",AB20/AG20)</f>
        <v>0.62962962962963</v>
      </c>
      <c r="AQ20" s="29" t="n">
        <f aca="false">IF(N(AF20)=0,"",AE20/AF20)</f>
        <v>26.084776119403</v>
      </c>
      <c r="AR20" s="26" t="n">
        <f aca="false">IF(N(26)=0,"",Z20/26)</f>
        <v>20.6315384615385</v>
      </c>
      <c r="AS20" s="39" t="n">
        <f aca="false">IF(N(26)=0,"",AF20/26)</f>
        <v>2.57692307692308</v>
      </c>
      <c r="AT20" s="28" t="n">
        <f aca="false">IF(N(AE20)=0,"",AI20/AE20)</f>
        <v>-0.123437929140346</v>
      </c>
      <c r="AU20" s="27" t="n">
        <f aca="false">IF(OR(W20="",AR20=""),"",IF(N(W20)=0,"",AR20/W20-1))</f>
        <v>0.102504727193007</v>
      </c>
      <c r="AV20" s="27" t="n">
        <f aca="false">IF(N(F20)=0,"",(AA20/26)/(F20/30)-1)</f>
        <v>0.216643728611814</v>
      </c>
      <c r="AW20" s="27" t="n">
        <f aca="false">IF(OR(X20="",AS20=""),"",IF(N(X20)=0,"",AS20/X20-1))</f>
        <v>0.0590094836670181</v>
      </c>
      <c r="AX20" s="27" t="n">
        <f aca="false">IF(OR(O20="",AJ20=""),"",AJ20-O20)</f>
        <v>-0.0636696598071388</v>
      </c>
      <c r="AY20" s="27" t="n">
        <f aca="false">IF(OR(P20="",AK20=""),"",AK20-P20)</f>
        <v>0.00627174371761413</v>
      </c>
      <c r="AZ20" s="27" t="n">
        <f aca="false">IF(OR(R20="",AM20=""),"",IF(N(R20)=0,"",AM20/R20-1))</f>
        <v>0.0688483328849887</v>
      </c>
      <c r="BA20" s="27" t="n">
        <f aca="false">IF(OR(T20="",AO20=""),"",AO20-T20)</f>
        <v>0.00687931957275498</v>
      </c>
      <c r="BB20" s="27" t="n">
        <f aca="false">IF(OR(V20="",AQ20=""),"",IF(N(V20)=0,"",AQ20/V20-1))</f>
        <v>0.0197987686059586</v>
      </c>
    </row>
    <row r="21" customFormat="false" ht="15" hidden="false" customHeight="false" outlineLevel="0" collapsed="false">
      <c r="A21" s="18" t="s">
        <v>97</v>
      </c>
      <c r="B21" s="18" t="s">
        <v>98</v>
      </c>
      <c r="C21" s="14" t="s">
        <v>99</v>
      </c>
      <c r="D21" s="18" t="s">
        <v>212</v>
      </c>
      <c r="E21" s="26" t="n">
        <v>420.31</v>
      </c>
      <c r="F21" s="26" t="n">
        <v>2095.69</v>
      </c>
      <c r="G21" s="30" t="n">
        <v>22</v>
      </c>
      <c r="H21" s="30" t="n">
        <v>971</v>
      </c>
      <c r="I21" s="30" t="n">
        <v>62724</v>
      </c>
      <c r="J21" s="26" t="n">
        <v>8858.1</v>
      </c>
      <c r="K21" s="30" t="n">
        <v>93</v>
      </c>
      <c r="L21" s="30" t="n">
        <v>91</v>
      </c>
      <c r="M21" s="30" t="n">
        <v>4570</v>
      </c>
      <c r="N21" s="26" t="n">
        <v>1778.17</v>
      </c>
      <c r="O21" s="28" t="n">
        <f aca="false">IF(N(F21)=0,"",E21/F21)</f>
        <v>0.200559243017813</v>
      </c>
      <c r="P21" s="28" t="n">
        <f aca="false">IF(N(J21)=0,"",E21/J21)</f>
        <v>0.047449227260925</v>
      </c>
      <c r="Q21" s="39" t="n">
        <f aca="false">IF(N(E21)=0,"",F21/E21)</f>
        <v>4.98605790963813</v>
      </c>
      <c r="R21" s="29" t="n">
        <f aca="false">IF(N(H21)=0,"",E21/H21)</f>
        <v>0.432863027806385</v>
      </c>
      <c r="S21" s="28" t="n">
        <f aca="false">IF(N(I21)=0,"",H21/I21)</f>
        <v>0.0154805178241184</v>
      </c>
      <c r="T21" s="28" t="n">
        <f aca="false">IF(N(H21)=0,"",G21/H21)</f>
        <v>0.0226570545829042</v>
      </c>
      <c r="U21" s="28" t="n">
        <f aca="false">IF(N(L21)=0,"",G21/L21)</f>
        <v>0.241758241758242</v>
      </c>
      <c r="V21" s="29" t="n">
        <f aca="false">IF(N(K21)=0,"",J21/K21)</f>
        <v>95.2483870967742</v>
      </c>
      <c r="W21" s="26" t="n">
        <f aca="false">IF(N(30)=0,"",E21/30)</f>
        <v>14.0103333333333</v>
      </c>
      <c r="X21" s="39" t="n">
        <f aca="false">IF(N(30)=0,"",K21/30)</f>
        <v>3.1</v>
      </c>
      <c r="Y21" s="28" t="n">
        <f aca="false">IF(N(J21)=0,"",N21/J21)</f>
        <v>0.200739436222215</v>
      </c>
      <c r="Z21" s="26" t="n">
        <v>617.27</v>
      </c>
      <c r="AA21" s="26" t="n">
        <v>1195.1</v>
      </c>
      <c r="AB21" s="30" t="n">
        <v>15</v>
      </c>
      <c r="AC21" s="30" t="n">
        <v>1043</v>
      </c>
      <c r="AD21" s="30" t="n">
        <v>67704</v>
      </c>
      <c r="AE21" s="26" t="n">
        <v>10975.42</v>
      </c>
      <c r="AF21" s="30" t="n">
        <v>109</v>
      </c>
      <c r="AG21" s="30" t="n">
        <v>101</v>
      </c>
      <c r="AH21" s="30" t="n">
        <v>4829</v>
      </c>
      <c r="AI21" s="26" t="n">
        <v>1848.17</v>
      </c>
      <c r="AJ21" s="28" t="n">
        <f aca="false">IF(N(AA21)=0,"",Z21/AA21)</f>
        <v>0.516500711237553</v>
      </c>
      <c r="AK21" s="28" t="n">
        <f aca="false">IF(N(AE21)=0,"",Z21/AE21)</f>
        <v>0.0562411279021668</v>
      </c>
      <c r="AL21" s="39" t="n">
        <f aca="false">IF(N(Z21)=0,"",AA21/Z21)</f>
        <v>1.93610575599009</v>
      </c>
      <c r="AM21" s="29" t="n">
        <f aca="false">IF(N(AC21)=0,"",Z21/AC21)</f>
        <v>0.591821668264621</v>
      </c>
      <c r="AN21" s="28" t="n">
        <f aca="false">IF(N(AD21)=0,"",AC21/AD21)</f>
        <v>0.0154052936311001</v>
      </c>
      <c r="AO21" s="28" t="n">
        <f aca="false">IF(N(AC21)=0,"",AB21/AC21)</f>
        <v>0.0143815915627996</v>
      </c>
      <c r="AP21" s="28" t="n">
        <f aca="false">IF(N(AG21)=0,"",AB21/AG21)</f>
        <v>0.148514851485149</v>
      </c>
      <c r="AQ21" s="29" t="n">
        <f aca="false">IF(N(AF21)=0,"",AE21/AF21)</f>
        <v>100.691926605505</v>
      </c>
      <c r="AR21" s="26" t="n">
        <f aca="false">IF(N(26)=0,"",Z21/26)</f>
        <v>23.7411538461538</v>
      </c>
      <c r="AS21" s="39" t="n">
        <f aca="false">IF(N(26)=0,"",AF21/26)</f>
        <v>4.19230769230769</v>
      </c>
      <c r="AT21" s="28" t="n">
        <f aca="false">IF(N(AE21)=0,"",AI21/AE21)</f>
        <v>0.168391733528193</v>
      </c>
      <c r="AU21" s="27" t="n">
        <f aca="false">IF(OR(W21="",AR21=""),"",IF(N(W21)=0,"",AR21/W21-1))</f>
        <v>0.694545966987736</v>
      </c>
      <c r="AV21" s="27" t="n">
        <f aca="false">IF(N(F21)=0,"",(AA21/26)/(F21/30)-1)</f>
        <v>-0.342001184115237</v>
      </c>
      <c r="AW21" s="27" t="n">
        <f aca="false">IF(OR(X21="",AS21=""),"",IF(N(X21)=0,"",AS21/X21-1))</f>
        <v>0.352357320099256</v>
      </c>
      <c r="AX21" s="27" t="n">
        <f aca="false">IF(OR(O21="",AJ21=""),"",AJ21-O21)</f>
        <v>0.315941468219741</v>
      </c>
      <c r="AY21" s="27" t="n">
        <f aca="false">IF(OR(P21="",AK21=""),"",AK21-P21)</f>
        <v>0.00879190064124182</v>
      </c>
      <c r="AZ21" s="27" t="n">
        <f aca="false">IF(OR(R21="",AM21=""),"",IF(N(R21)=0,"",AM21/R21-1))</f>
        <v>0.36722618991922</v>
      </c>
      <c r="BA21" s="27" t="n">
        <f aca="false">IF(OR(T21="",AO21=""),"",AO21-T21)</f>
        <v>-0.0082754630201046</v>
      </c>
      <c r="BB21" s="27" t="n">
        <f aca="false">IF(OR(V21="",AQ21=""),"",IF(N(V21)=0,"",AQ21/V21-1))</f>
        <v>0.0571509888477131</v>
      </c>
    </row>
    <row r="22" customFormat="false" ht="15" hidden="false" customHeight="false" outlineLevel="0" collapsed="false">
      <c r="A22" s="18" t="s">
        <v>137</v>
      </c>
      <c r="B22" s="18" t="s">
        <v>138</v>
      </c>
      <c r="C22" s="14" t="s">
        <v>139</v>
      </c>
      <c r="D22" s="18" t="s">
        <v>201</v>
      </c>
      <c r="E22" s="26" t="n">
        <v>648.75</v>
      </c>
      <c r="F22" s="26" t="n">
        <v>890.59</v>
      </c>
      <c r="G22" s="30" t="n">
        <v>15</v>
      </c>
      <c r="H22" s="30" t="n">
        <v>1016</v>
      </c>
      <c r="I22" s="30" t="n">
        <v>66584</v>
      </c>
      <c r="J22" s="26" t="n">
        <v>1210.3</v>
      </c>
      <c r="K22" s="30" t="n">
        <v>20</v>
      </c>
      <c r="L22" s="30" t="n">
        <v>20</v>
      </c>
      <c r="M22" s="30" t="n">
        <v>2071</v>
      </c>
      <c r="N22" s="26" t="n">
        <v>-2085.28</v>
      </c>
      <c r="O22" s="28" t="n">
        <f aca="false">IF(N(F22)=0,"",E22/F22)</f>
        <v>0.728449679425999</v>
      </c>
      <c r="P22" s="28" t="n">
        <f aca="false">IF(N(J22)=0,"",E22/J22)</f>
        <v>0.53602412624969</v>
      </c>
      <c r="Q22" s="39" t="n">
        <f aca="false">IF(N(E22)=0,"",F22/E22)</f>
        <v>1.37277842003854</v>
      </c>
      <c r="R22" s="29" t="n">
        <f aca="false">IF(N(H22)=0,"",E22/H22)</f>
        <v>0.638533464566929</v>
      </c>
      <c r="S22" s="28" t="n">
        <f aca="false">IF(N(I22)=0,"",H22/I22)</f>
        <v>0.015258921062117</v>
      </c>
      <c r="T22" s="28" t="n">
        <f aca="false">IF(N(H22)=0,"",G22/H22)</f>
        <v>0.0147637795275591</v>
      </c>
      <c r="U22" s="28" t="n">
        <f aca="false">IF(N(L22)=0,"",G22/L22)</f>
        <v>0.75</v>
      </c>
      <c r="V22" s="29" t="n">
        <f aca="false">IF(N(K22)=0,"",J22/K22)</f>
        <v>60.515</v>
      </c>
      <c r="W22" s="26" t="n">
        <f aca="false">IF(N(30)=0,"",E22/30)</f>
        <v>21.625</v>
      </c>
      <c r="X22" s="39" t="n">
        <f aca="false">IF(N(30)=0,"",K22/30)</f>
        <v>0.666666666666667</v>
      </c>
      <c r="Y22" s="28" t="n">
        <f aca="false">IF(N(J22)=0,"",N22/J22)</f>
        <v>-1.72294472444848</v>
      </c>
      <c r="Z22" s="26" t="n">
        <v>352.41</v>
      </c>
      <c r="AA22" s="26" t="n">
        <v>499.59</v>
      </c>
      <c r="AB22" s="30" t="n">
        <v>13</v>
      </c>
      <c r="AC22" s="30" t="n">
        <v>381</v>
      </c>
      <c r="AD22" s="30" t="n">
        <v>30350</v>
      </c>
      <c r="AE22" s="26" t="n">
        <v>1718.12</v>
      </c>
      <c r="AF22" s="30" t="n">
        <v>30</v>
      </c>
      <c r="AG22" s="30" t="n">
        <v>30</v>
      </c>
      <c r="AH22" s="30" t="n">
        <v>1075</v>
      </c>
      <c r="AI22" s="26" t="n">
        <v>-224.81</v>
      </c>
      <c r="AJ22" s="28" t="n">
        <f aca="false">IF(N(AA22)=0,"",Z22/AA22)</f>
        <v>0.705398426709902</v>
      </c>
      <c r="AK22" s="28" t="n">
        <f aca="false">IF(N(AE22)=0,"",Z22/AE22)</f>
        <v>0.20511372895956</v>
      </c>
      <c r="AL22" s="39" t="n">
        <f aca="false">IF(N(Z22)=0,"",AA22/Z22)</f>
        <v>1.41763854601175</v>
      </c>
      <c r="AM22" s="29" t="n">
        <f aca="false">IF(N(AC22)=0,"",Z22/AC22)</f>
        <v>0.92496062992126</v>
      </c>
      <c r="AN22" s="28" t="n">
        <f aca="false">IF(N(AD22)=0,"",AC22/AD22)</f>
        <v>0.0125535420098847</v>
      </c>
      <c r="AO22" s="28" t="n">
        <f aca="false">IF(N(AC22)=0,"",AB22/AC22)</f>
        <v>0.0341207349081365</v>
      </c>
      <c r="AP22" s="28" t="n">
        <f aca="false">IF(N(AG22)=0,"",AB22/AG22)</f>
        <v>0.433333333333333</v>
      </c>
      <c r="AQ22" s="29" t="n">
        <f aca="false">IF(N(AF22)=0,"",AE22/AF22)</f>
        <v>57.2706666666667</v>
      </c>
      <c r="AR22" s="26" t="n">
        <f aca="false">IF(N(26)=0,"",Z22/26)</f>
        <v>13.5542307692308</v>
      </c>
      <c r="AS22" s="39" t="n">
        <f aca="false">IF(N(26)=0,"",AF22/26)</f>
        <v>1.15384615384615</v>
      </c>
      <c r="AT22" s="28" t="n">
        <f aca="false">IF(N(AE22)=0,"",AI22/AE22)</f>
        <v>-0.1308465066468</v>
      </c>
      <c r="AU22" s="27" t="n">
        <f aca="false">IF(OR(W22="",AR22=""),"",IF(N(W22)=0,"",AR22/W22-1))</f>
        <v>-0.373214762116496</v>
      </c>
      <c r="AV22" s="27" t="n">
        <f aca="false">IF(N(F22)=0,"",(AA22/26)/(F22/30)-1)</f>
        <v>-0.352732458258009</v>
      </c>
      <c r="AW22" s="27" t="n">
        <f aca="false">IF(OR(X22="",AS22=""),"",IF(N(X22)=0,"",AS22/X22-1))</f>
        <v>0.730769230769231</v>
      </c>
      <c r="AX22" s="27" t="n">
        <f aca="false">IF(OR(O22="",AJ22=""),"",AJ22-O22)</f>
        <v>-0.0230512527160963</v>
      </c>
      <c r="AY22" s="27" t="n">
        <f aca="false">IF(OR(P22="",AK22=""),"",AK22-P22)</f>
        <v>-0.33091039729013</v>
      </c>
      <c r="AZ22" s="27" t="n">
        <f aca="false">IF(OR(R22="",AM22=""),"",IF(N(R22)=0,"",AM22/R22-1))</f>
        <v>0.448570327552987</v>
      </c>
      <c r="BA22" s="27" t="n">
        <f aca="false">IF(OR(T22="",AO22=""),"",AO22-T22)</f>
        <v>0.0193569553805774</v>
      </c>
      <c r="BB22" s="27" t="n">
        <f aca="false">IF(OR(V22="",AQ22=""),"",IF(N(V22)=0,"",AQ22/V22-1))</f>
        <v>-0.0536120521082928</v>
      </c>
    </row>
    <row r="23" customFormat="false" ht="15" hidden="false" customHeight="false" outlineLevel="0" collapsed="false">
      <c r="A23" s="18" t="s">
        <v>122</v>
      </c>
      <c r="B23" s="18" t="s">
        <v>73</v>
      </c>
      <c r="C23" s="14" t="s">
        <v>79</v>
      </c>
      <c r="D23" s="18" t="s">
        <v>213</v>
      </c>
      <c r="E23" s="26" t="n">
        <v>775.8</v>
      </c>
      <c r="F23" s="26" t="n">
        <v>1098.31</v>
      </c>
      <c r="G23" s="30" t="n">
        <v>23</v>
      </c>
      <c r="H23" s="30" t="n">
        <v>1290</v>
      </c>
      <c r="I23" s="30" t="n">
        <v>80843</v>
      </c>
      <c r="J23" s="26" t="n">
        <v>1551.94</v>
      </c>
      <c r="K23" s="30" t="n">
        <v>32</v>
      </c>
      <c r="L23" s="30" t="n">
        <v>30</v>
      </c>
      <c r="M23" s="30" t="n">
        <v>1768</v>
      </c>
      <c r="N23" s="26" t="n">
        <v>-386.42</v>
      </c>
      <c r="O23" s="28" t="n">
        <f aca="false">IF(N(F23)=0,"",E23/F23)</f>
        <v>0.706357949941273</v>
      </c>
      <c r="P23" s="28" t="n">
        <f aca="false">IF(N(J23)=0,"",E23/J23)</f>
        <v>0.49989045968272</v>
      </c>
      <c r="Q23" s="39" t="n">
        <f aca="false">IF(N(E23)=0,"",F23/E23)</f>
        <v>1.41571281258056</v>
      </c>
      <c r="R23" s="29" t="n">
        <f aca="false">IF(N(H23)=0,"",E23/H23)</f>
        <v>0.601395348837209</v>
      </c>
      <c r="S23" s="28" t="n">
        <f aca="false">IF(N(I23)=0,"",H23/I23)</f>
        <v>0.0159568546441869</v>
      </c>
      <c r="T23" s="28" t="n">
        <f aca="false">IF(N(H23)=0,"",G23/H23)</f>
        <v>0.0178294573643411</v>
      </c>
      <c r="U23" s="28" t="n">
        <f aca="false">IF(N(L23)=0,"",G23/L23)</f>
        <v>0.766666666666667</v>
      </c>
      <c r="V23" s="29" t="n">
        <f aca="false">IF(N(K23)=0,"",J23/K23)</f>
        <v>48.498125</v>
      </c>
      <c r="W23" s="26" t="n">
        <f aca="false">IF(N(30)=0,"",E23/30)</f>
        <v>25.86</v>
      </c>
      <c r="X23" s="39" t="n">
        <f aca="false">IF(N(30)=0,"",K23/30)</f>
        <v>1.06666666666667</v>
      </c>
      <c r="Y23" s="28" t="n">
        <f aca="false">IF(N(J23)=0,"",N23/J23)</f>
        <v>-0.248991584726214</v>
      </c>
      <c r="Z23" s="26" t="n">
        <v>131.68</v>
      </c>
      <c r="AA23" s="26" t="n">
        <v>129.35</v>
      </c>
      <c r="AB23" s="30" t="n">
        <v>4</v>
      </c>
      <c r="AC23" s="30" t="n">
        <v>313</v>
      </c>
      <c r="AD23" s="30" t="n">
        <v>12216</v>
      </c>
      <c r="AE23" s="26" t="n">
        <v>453.87</v>
      </c>
      <c r="AF23" s="30" t="n">
        <v>9</v>
      </c>
      <c r="AG23" s="30" t="n">
        <v>9</v>
      </c>
      <c r="AH23" s="30" t="n">
        <v>597</v>
      </c>
      <c r="AI23" s="26" t="n">
        <v>-7.23</v>
      </c>
      <c r="AJ23" s="28" t="n">
        <f aca="false">IF(N(AA23)=0,"",Z23/AA23)</f>
        <v>1.01801314263626</v>
      </c>
      <c r="AK23" s="28" t="n">
        <f aca="false">IF(N(AE23)=0,"",Z23/AE23)</f>
        <v>0.290127128913566</v>
      </c>
      <c r="AL23" s="39" t="n">
        <f aca="false">IF(N(Z23)=0,"",AA23/Z23)</f>
        <v>0.982305589307412</v>
      </c>
      <c r="AM23" s="29" t="n">
        <f aca="false">IF(N(AC23)=0,"",Z23/AC23)</f>
        <v>0.420702875399361</v>
      </c>
      <c r="AN23" s="28" t="n">
        <f aca="false">IF(N(AD23)=0,"",AC23/AD23)</f>
        <v>0.0256221349050426</v>
      </c>
      <c r="AO23" s="28" t="n">
        <f aca="false">IF(N(AC23)=0,"",AB23/AC23)</f>
        <v>0.012779552715655</v>
      </c>
      <c r="AP23" s="28" t="n">
        <f aca="false">IF(N(AG23)=0,"",AB23/AG23)</f>
        <v>0.444444444444444</v>
      </c>
      <c r="AQ23" s="29" t="n">
        <f aca="false">IF(N(AF23)=0,"",AE23/AF23)</f>
        <v>50.43</v>
      </c>
      <c r="AR23" s="26" t="n">
        <f aca="false">IF(N(26)=0,"",Z23/26)</f>
        <v>5.06461538461539</v>
      </c>
      <c r="AS23" s="39" t="n">
        <f aca="false">IF(N(26)=0,"",AF23/26)</f>
        <v>0.346153846153846</v>
      </c>
      <c r="AT23" s="28" t="n">
        <f aca="false">IF(N(AE23)=0,"",AI23/AE23)</f>
        <v>-0.0159296714918369</v>
      </c>
      <c r="AU23" s="27" t="n">
        <f aca="false">IF(OR(W23="",AR23=""),"",IF(N(W23)=0,"",AR23/W23-1))</f>
        <v>-0.804152537331192</v>
      </c>
      <c r="AV23" s="27" t="n">
        <f aca="false">IF(N(F23)=0,"",(AA23/26)/(F23/30)-1)</f>
        <v>-0.864109404448653</v>
      </c>
      <c r="AW23" s="27" t="n">
        <f aca="false">IF(OR(X23="",AS23=""),"",IF(N(X23)=0,"",AS23/X23-1))</f>
        <v>-0.675480769230769</v>
      </c>
      <c r="AX23" s="27" t="n">
        <f aca="false">IF(OR(O23="",AJ23=""),"",AJ23-O23)</f>
        <v>0.311655192694985</v>
      </c>
      <c r="AY23" s="27" t="n">
        <f aca="false">IF(OR(P23="",AK23=""),"",AK23-P23)</f>
        <v>-0.209763330769154</v>
      </c>
      <c r="AZ23" s="27" t="n">
        <f aca="false">IF(OR(R23="",AM23=""),"",IF(N(R23)=0,"",AM23/R23-1))</f>
        <v>-0.300455388933777</v>
      </c>
      <c r="BA23" s="27" t="n">
        <f aca="false">IF(OR(T23="",AO23=""),"",AO23-T23)</f>
        <v>-0.00504990464868613</v>
      </c>
      <c r="BB23" s="27" t="n">
        <f aca="false">IF(OR(V23="",AQ23=""),"",IF(N(V23)=0,"",AQ23/V23-1))</f>
        <v>0.0398340142015798</v>
      </c>
    </row>
    <row r="24" customFormat="false" ht="15" hidden="false" customHeight="false" outlineLevel="0" collapsed="false">
      <c r="A24" s="18" t="s">
        <v>214</v>
      </c>
      <c r="B24" s="18" t="s">
        <v>167</v>
      </c>
      <c r="C24" s="14" t="s">
        <v>194</v>
      </c>
      <c r="D24" s="18" t="s">
        <v>201</v>
      </c>
      <c r="E24" s="26" t="n">
        <v>276.8</v>
      </c>
      <c r="F24" s="26" t="n">
        <v>1012.99</v>
      </c>
      <c r="G24" s="30" t="n">
        <v>30</v>
      </c>
      <c r="H24" s="30" t="n">
        <v>315</v>
      </c>
      <c r="I24" s="30" t="n">
        <v>56480</v>
      </c>
      <c r="J24" s="26" t="n">
        <v>1277.44</v>
      </c>
      <c r="K24" s="30" t="n">
        <v>52</v>
      </c>
      <c r="L24" s="30" t="n">
        <v>46</v>
      </c>
      <c r="M24" s="30" t="n">
        <v>746</v>
      </c>
      <c r="N24" s="26" t="n">
        <v>-65.46</v>
      </c>
      <c r="O24" s="28" t="n">
        <f aca="false">IF(N(F24)=0,"",E24/F24)</f>
        <v>0.273250476312698</v>
      </c>
      <c r="P24" s="28" t="n">
        <f aca="false">IF(N(J24)=0,"",E24/J24)</f>
        <v>0.216683366733467</v>
      </c>
      <c r="Q24" s="39" t="n">
        <f aca="false">IF(N(E24)=0,"",F24/E24)</f>
        <v>3.65964595375723</v>
      </c>
      <c r="R24" s="29" t="n">
        <f aca="false">IF(N(H24)=0,"",E24/H24)</f>
        <v>0.878730158730159</v>
      </c>
      <c r="S24" s="28" t="n">
        <f aca="false">IF(N(I24)=0,"",H24/I24)</f>
        <v>0.0055771954674221</v>
      </c>
      <c r="T24" s="28" t="n">
        <f aca="false">IF(N(H24)=0,"",G24/H24)</f>
        <v>0.0952380952380952</v>
      </c>
      <c r="U24" s="28" t="n">
        <f aca="false">IF(N(L24)=0,"",G24/L24)</f>
        <v>0.652173913043478</v>
      </c>
      <c r="V24" s="29" t="n">
        <f aca="false">IF(N(K24)=0,"",J24/K24)</f>
        <v>24.5661538461538</v>
      </c>
      <c r="W24" s="26" t="n">
        <f aca="false">IF(N(30)=0,"",E24/30)</f>
        <v>9.22666666666667</v>
      </c>
      <c r="X24" s="39" t="n">
        <f aca="false">IF(N(30)=0,"",K24/30)</f>
        <v>1.73333333333333</v>
      </c>
      <c r="Y24" s="28" t="n">
        <f aca="false">IF(N(J24)=0,"",N24/J24)</f>
        <v>-0.0512431112224449</v>
      </c>
      <c r="Z24" s="26" t="n">
        <v>491.88</v>
      </c>
      <c r="AA24" s="26" t="n">
        <v>1730.22</v>
      </c>
      <c r="AB24" s="30" t="n">
        <v>50</v>
      </c>
      <c r="AC24" s="30" t="n">
        <v>492</v>
      </c>
      <c r="AD24" s="30" t="n">
        <v>88695</v>
      </c>
      <c r="AE24" s="26" t="n">
        <v>1689.43</v>
      </c>
      <c r="AF24" s="30" t="n">
        <v>67</v>
      </c>
      <c r="AG24" s="30" t="n">
        <v>49</v>
      </c>
      <c r="AH24" s="30" t="n">
        <v>847</v>
      </c>
      <c r="AI24" s="26" t="n">
        <v>-63.59</v>
      </c>
      <c r="AJ24" s="28" t="n">
        <f aca="false">IF(N(AA24)=0,"",Z24/AA24)</f>
        <v>0.284287547248327</v>
      </c>
      <c r="AK24" s="28" t="n">
        <f aca="false">IF(N(AE24)=0,"",Z24/AE24)</f>
        <v>0.291151453448796</v>
      </c>
      <c r="AL24" s="39" t="n">
        <f aca="false">IF(N(Z24)=0,"",AA24/Z24)</f>
        <v>3.51756525981947</v>
      </c>
      <c r="AM24" s="29" t="n">
        <f aca="false">IF(N(AC24)=0,"",Z24/AC24)</f>
        <v>0.999756097560976</v>
      </c>
      <c r="AN24" s="28" t="n">
        <f aca="false">IF(N(AD24)=0,"",AC24/AD24)</f>
        <v>0.00554709961102655</v>
      </c>
      <c r="AO24" s="28" t="n">
        <f aca="false">IF(N(AC24)=0,"",AB24/AC24)</f>
        <v>0.101626016260163</v>
      </c>
      <c r="AP24" s="28" t="n">
        <f aca="false">IF(N(AG24)=0,"",AB24/AG24)</f>
        <v>1.02040816326531</v>
      </c>
      <c r="AQ24" s="29" t="n">
        <f aca="false">IF(N(AF24)=0,"",AE24/AF24)</f>
        <v>25.2153731343284</v>
      </c>
      <c r="AR24" s="26" t="n">
        <f aca="false">IF(N(26)=0,"",Z24/26)</f>
        <v>18.9184615384615</v>
      </c>
      <c r="AS24" s="39" t="n">
        <f aca="false">IF(N(26)=0,"",AF24/26)</f>
        <v>2.57692307692308</v>
      </c>
      <c r="AT24" s="28" t="n">
        <f aca="false">IF(N(AE24)=0,"",AI24/AE24)</f>
        <v>-0.0376399140538525</v>
      </c>
      <c r="AU24" s="27" t="n">
        <f aca="false">IF(OR(W24="",AR24=""),"",IF(N(W24)=0,"",AR24/W24-1))</f>
        <v>1.0504112939084</v>
      </c>
      <c r="AV24" s="27" t="n">
        <f aca="false">IF(N(F24)=0,"",(AA24/26)/(F24/30)-1)</f>
        <v>0.970806910539781</v>
      </c>
      <c r="AW24" s="27" t="n">
        <f aca="false">IF(OR(X24="",AS24=""),"",IF(N(X24)=0,"",AS24/X24-1))</f>
        <v>0.486686390532545</v>
      </c>
      <c r="AX24" s="27" t="n">
        <f aca="false">IF(OR(O24="",AJ24=""),"",AJ24-O24)</f>
        <v>0.0110370709356287</v>
      </c>
      <c r="AY24" s="27" t="n">
        <f aca="false">IF(OR(P24="",AK24=""),"",AK24-P24)</f>
        <v>0.0744680867153294</v>
      </c>
      <c r="AZ24" s="27" t="n">
        <f aca="false">IF(OR(R24="",AM24=""),"",IF(N(R24)=0,"",AM24/R24-1))</f>
        <v>0.13772821796137</v>
      </c>
      <c r="BA24" s="27" t="n">
        <f aca="false">IF(OR(T24="",AO24=""),"",AO24-T24)</f>
        <v>0.00638792102206737</v>
      </c>
      <c r="BB24" s="27" t="n">
        <f aca="false">IF(OR(V24="",AQ24=""),"",IF(N(V24)=0,"",AQ24/V24-1))</f>
        <v>0.0264273883588073</v>
      </c>
    </row>
    <row r="25" customFormat="false" ht="15" hidden="false" customHeight="false" outlineLevel="0" collapsed="false">
      <c r="A25" s="18" t="s">
        <v>142</v>
      </c>
      <c r="B25" s="18" t="s">
        <v>109</v>
      </c>
      <c r="C25" s="14" t="s">
        <v>110</v>
      </c>
      <c r="D25" s="18" t="s">
        <v>201</v>
      </c>
      <c r="E25" s="26" t="n">
        <v>351.93</v>
      </c>
      <c r="F25" s="26" t="n">
        <v>783.86</v>
      </c>
      <c r="G25" s="30" t="n">
        <v>24</v>
      </c>
      <c r="H25" s="30" t="n">
        <v>593</v>
      </c>
      <c r="I25" s="30" t="n">
        <v>101299</v>
      </c>
      <c r="J25" s="26" t="n">
        <v>535.75</v>
      </c>
      <c r="K25" s="30" t="n">
        <v>20</v>
      </c>
      <c r="L25" s="30" t="n">
        <v>20</v>
      </c>
      <c r="M25" s="30" t="n">
        <v>746</v>
      </c>
      <c r="N25" s="26" t="n">
        <v>-171.6</v>
      </c>
      <c r="O25" s="28" t="n">
        <f aca="false">IF(N(F25)=0,"",E25/F25)</f>
        <v>0.448970479422346</v>
      </c>
      <c r="P25" s="28" t="n">
        <f aca="false">IF(N(J25)=0,"",E25/J25)</f>
        <v>0.656892207186188</v>
      </c>
      <c r="Q25" s="39" t="n">
        <f aca="false">IF(N(E25)=0,"",F25/E25)</f>
        <v>2.2273179325434</v>
      </c>
      <c r="R25" s="29" t="n">
        <f aca="false">IF(N(H25)=0,"",E25/H25)</f>
        <v>0.593473861720067</v>
      </c>
      <c r="S25" s="28" t="n">
        <f aca="false">IF(N(I25)=0,"",H25/I25)</f>
        <v>0.005853957097306</v>
      </c>
      <c r="T25" s="28" t="n">
        <f aca="false">IF(N(H25)=0,"",G25/H25)</f>
        <v>0.0404721753794266</v>
      </c>
      <c r="U25" s="28" t="n">
        <f aca="false">IF(N(L25)=0,"",G25/L25)</f>
        <v>1.2</v>
      </c>
      <c r="V25" s="29" t="n">
        <f aca="false">IF(N(K25)=0,"",J25/K25)</f>
        <v>26.7875</v>
      </c>
      <c r="W25" s="26" t="n">
        <f aca="false">IF(N(30)=0,"",E25/30)</f>
        <v>11.731</v>
      </c>
      <c r="X25" s="39" t="n">
        <f aca="false">IF(N(30)=0,"",K25/30)</f>
        <v>0.666666666666667</v>
      </c>
      <c r="Y25" s="28" t="n">
        <f aca="false">IF(N(J25)=0,"",N25/J25)</f>
        <v>-0.320298646756883</v>
      </c>
      <c r="Z25" s="26" t="n">
        <v>374.61</v>
      </c>
      <c r="AA25" s="26" t="n">
        <v>753.07</v>
      </c>
      <c r="AB25" s="30" t="n">
        <v>24</v>
      </c>
      <c r="AC25" s="30" t="n">
        <v>605</v>
      </c>
      <c r="AD25" s="30" t="n">
        <v>74091</v>
      </c>
      <c r="AE25" s="26" t="n">
        <v>518.19</v>
      </c>
      <c r="AF25" s="30" t="n">
        <v>21</v>
      </c>
      <c r="AG25" s="30" t="n">
        <v>19</v>
      </c>
      <c r="AH25" s="30" t="n">
        <v>738</v>
      </c>
      <c r="AI25" s="26" t="n">
        <v>-226.13</v>
      </c>
      <c r="AJ25" s="28" t="n">
        <f aca="false">IF(N(AA25)=0,"",Z25/AA25)</f>
        <v>0.497443796725404</v>
      </c>
      <c r="AK25" s="28" t="n">
        <f aca="false">IF(N(AE25)=0,"",Z25/AE25)</f>
        <v>0.722920164418457</v>
      </c>
      <c r="AL25" s="39" t="n">
        <f aca="false">IF(N(Z25)=0,"",AA25/Z25)</f>
        <v>2.01027735511599</v>
      </c>
      <c r="AM25" s="29" t="n">
        <f aca="false">IF(N(AC25)=0,"",Z25/AC25)</f>
        <v>0.619190082644628</v>
      </c>
      <c r="AN25" s="28" t="n">
        <f aca="false">IF(N(AD25)=0,"",AC25/AD25)</f>
        <v>0.00816563415259613</v>
      </c>
      <c r="AO25" s="28" t="n">
        <f aca="false">IF(N(AC25)=0,"",AB25/AC25)</f>
        <v>0.0396694214876033</v>
      </c>
      <c r="AP25" s="28" t="n">
        <f aca="false">IF(N(AG25)=0,"",AB25/AG25)</f>
        <v>1.26315789473684</v>
      </c>
      <c r="AQ25" s="29" t="n">
        <f aca="false">IF(N(AF25)=0,"",AE25/AF25)</f>
        <v>24.6757142857143</v>
      </c>
      <c r="AR25" s="26" t="n">
        <f aca="false">IF(N(26)=0,"",Z25/26)</f>
        <v>14.4080769230769</v>
      </c>
      <c r="AS25" s="39" t="n">
        <f aca="false">IF(N(26)=0,"",AF25/26)</f>
        <v>0.807692307692308</v>
      </c>
      <c r="AT25" s="28" t="n">
        <f aca="false">IF(N(AE25)=0,"",AI25/AE25)</f>
        <v>-0.436384337791158</v>
      </c>
      <c r="AU25" s="27" t="n">
        <f aca="false">IF(OR(W25="",AR25=""),"",IF(N(W25)=0,"",AR25/W25-1))</f>
        <v>0.228205346780063</v>
      </c>
      <c r="AV25" s="27" t="n">
        <f aca="false">IF(N(F25)=0,"",(AA25/26)/(F25/30)-1)</f>
        <v>0.108523107540789</v>
      </c>
      <c r="AW25" s="27" t="n">
        <f aca="false">IF(OR(X25="",AS25=""),"",IF(N(X25)=0,"",AS25/X25-1))</f>
        <v>0.211538461538462</v>
      </c>
      <c r="AX25" s="27" t="n">
        <f aca="false">IF(OR(O25="",AJ25=""),"",AJ25-O25)</f>
        <v>0.0484733173030582</v>
      </c>
      <c r="AY25" s="27" t="n">
        <f aca="false">IF(OR(P25="",AK25=""),"",AK25-P25)</f>
        <v>0.066027957232269</v>
      </c>
      <c r="AZ25" s="27" t="n">
        <f aca="false">IF(OR(R25="",AM25=""),"",IF(N(R25)=0,"",AM25/R25-1))</f>
        <v>0.0433316824603316</v>
      </c>
      <c r="BA25" s="27" t="n">
        <f aca="false">IF(OR(T25="",AO25=""),"",AO25-T25)</f>
        <v>-0.000802753891823334</v>
      </c>
      <c r="BB25" s="27" t="n">
        <f aca="false">IF(OR(V25="",AQ25=""),"",IF(N(V25)=0,"",AQ25/V25-1))</f>
        <v>-0.0788347443503766</v>
      </c>
    </row>
    <row r="26" customFormat="false" ht="15" hidden="false" customHeight="false" outlineLevel="0" collapsed="false">
      <c r="A26" s="18" t="s">
        <v>215</v>
      </c>
      <c r="B26" s="18" t="s">
        <v>73</v>
      </c>
      <c r="C26" s="14" t="s">
        <v>74</v>
      </c>
      <c r="D26" s="18" t="s">
        <v>216</v>
      </c>
      <c r="E26" s="26" t="n">
        <v>717.25</v>
      </c>
      <c r="F26" s="26" t="n">
        <v>642.44</v>
      </c>
      <c r="G26" s="30" t="n">
        <v>15</v>
      </c>
      <c r="H26" s="30" t="n">
        <v>741</v>
      </c>
      <c r="I26" s="30" t="n">
        <v>80700</v>
      </c>
      <c r="J26" s="26" t="n">
        <v>1310.78</v>
      </c>
      <c r="K26" s="30" t="n">
        <v>30</v>
      </c>
      <c r="L26" s="30" t="n">
        <v>28</v>
      </c>
      <c r="M26" s="30" t="n">
        <v>1796</v>
      </c>
      <c r="N26" s="26" t="n">
        <v>-485.05</v>
      </c>
      <c r="O26" s="28" t="n">
        <f aca="false">IF(N(F26)=0,"",E26/F26)</f>
        <v>1.11644667206276</v>
      </c>
      <c r="P26" s="28" t="n">
        <f aca="false">IF(N(J26)=0,"",E26/J26)</f>
        <v>0.547193274233662</v>
      </c>
      <c r="Q26" s="39" t="n">
        <f aca="false">IF(N(E26)=0,"",F26/E26)</f>
        <v>0.89569884977344</v>
      </c>
      <c r="R26" s="29" t="n">
        <f aca="false">IF(N(H26)=0,"",E26/H26)</f>
        <v>0.967948717948718</v>
      </c>
      <c r="S26" s="28" t="n">
        <f aca="false">IF(N(I26)=0,"",H26/I26)</f>
        <v>0.009182156133829</v>
      </c>
      <c r="T26" s="28" t="n">
        <f aca="false">IF(N(H26)=0,"",G26/H26)</f>
        <v>0.0202429149797571</v>
      </c>
      <c r="U26" s="28" t="n">
        <f aca="false">IF(N(L26)=0,"",G26/L26)</f>
        <v>0.535714285714286</v>
      </c>
      <c r="V26" s="29" t="n">
        <f aca="false">IF(N(K26)=0,"",J26/K26)</f>
        <v>43.6926666666667</v>
      </c>
      <c r="W26" s="26" t="n">
        <f aca="false">IF(N(30)=0,"",E26/30)</f>
        <v>23.9083333333333</v>
      </c>
      <c r="X26" s="39" t="n">
        <f aca="false">IF(N(30)=0,"",K26/30)</f>
        <v>1</v>
      </c>
      <c r="Y26" s="28" t="n">
        <f aca="false">IF(N(J26)=0,"",N26/J26)</f>
        <v>-0.37004684233815</v>
      </c>
      <c r="Z26" s="26" t="n">
        <v>0.14</v>
      </c>
      <c r="AA26" s="26" t="n">
        <v>0.83</v>
      </c>
      <c r="AB26" s="30" t="n">
        <v>0</v>
      </c>
      <c r="AC26" s="30" t="n">
        <v>0</v>
      </c>
      <c r="AD26" s="30" t="n">
        <v>6</v>
      </c>
      <c r="AE26" s="26" t="n">
        <v>1074.02</v>
      </c>
      <c r="AF26" s="30" t="n">
        <v>22</v>
      </c>
      <c r="AG26" s="30" t="n">
        <v>22</v>
      </c>
      <c r="AH26" s="30" t="n">
        <v>477</v>
      </c>
      <c r="AI26" s="26" t="n">
        <v>180.8</v>
      </c>
      <c r="AJ26" s="28" t="n">
        <f aca="false">IF(N(AA26)=0,"",Z26/AA26)</f>
        <v>0.168674698795181</v>
      </c>
      <c r="AK26" s="28" t="n">
        <f aca="false">IF(N(AE26)=0,"",Z26/AE26)</f>
        <v>0.000130351390104467</v>
      </c>
      <c r="AL26" s="39" t="n">
        <f aca="false">IF(N(Z26)=0,"",AA26/Z26)</f>
        <v>5.92857142857143</v>
      </c>
      <c r="AM26" s="29" t="str">
        <f aca="false">IF(N(AC26)=0,"",Z26/AC26)</f>
        <v/>
      </c>
      <c r="AN26" s="28" t="n">
        <f aca="false">IF(N(AD26)=0,"",AC26/AD26)</f>
        <v>0</v>
      </c>
      <c r="AO26" s="28" t="str">
        <f aca="false">IF(N(AC26)=0,"",AB26/AC26)</f>
        <v/>
      </c>
      <c r="AP26" s="28" t="n">
        <f aca="false">IF(N(AG26)=0,"",AB26/AG26)</f>
        <v>0</v>
      </c>
      <c r="AQ26" s="29" t="n">
        <f aca="false">IF(N(AF26)=0,"",AE26/AF26)</f>
        <v>48.8190909090909</v>
      </c>
      <c r="AR26" s="26" t="n">
        <f aca="false">IF(N(26)=0,"",Z26/26)</f>
        <v>0.00538461538461539</v>
      </c>
      <c r="AS26" s="39" t="n">
        <f aca="false">IF(N(26)=0,"",AF26/26)</f>
        <v>0.846153846153846</v>
      </c>
      <c r="AT26" s="28" t="n">
        <f aca="false">IF(N(AE26)=0,"",AI26/AE26)</f>
        <v>0.168339509506341</v>
      </c>
      <c r="AU26" s="27" t="n">
        <f aca="false">IF(OR(W26="",AR26=""),"",IF(N(W26)=0,"",AR26/W26-1))</f>
        <v>-0.99977478081347</v>
      </c>
      <c r="AV26" s="27" t="n">
        <f aca="false">IF(N(F26)=0,"",(AA26/26)/(F26/30)-1)</f>
        <v>-0.99850928910452</v>
      </c>
      <c r="AW26" s="27" t="n">
        <f aca="false">IF(OR(X26="",AS26=""),"",IF(N(X26)=0,"",AS26/X26-1))</f>
        <v>-0.153846153846154</v>
      </c>
      <c r="AX26" s="27" t="n">
        <f aca="false">IF(OR(O26="",AJ26=""),"",AJ26-O26)</f>
        <v>-0.94777197326758</v>
      </c>
      <c r="AY26" s="27" t="n">
        <f aca="false">IF(OR(P26="",AK26=""),"",AK26-P26)</f>
        <v>-0.547062922843558</v>
      </c>
      <c r="AZ26" s="27" t="str">
        <f aca="false">IF(OR(R26="",AM26=""),"",IF(N(R26)=0,"",AM26/R26-1))</f>
        <v/>
      </c>
      <c r="BA26" s="27" t="str">
        <f aca="false">IF(OR(T26="",AO26=""),"",AO26-T26)</f>
        <v/>
      </c>
      <c r="BB26" s="27" t="n">
        <f aca="false">IF(OR(V26="",AQ26=""),"",IF(N(V26)=0,"",AQ26/V26-1))</f>
        <v>0.117329168336965</v>
      </c>
    </row>
    <row r="27" customFormat="false" ht="15" hidden="false" customHeight="false" outlineLevel="0" collapsed="false">
      <c r="A27" s="18" t="s">
        <v>217</v>
      </c>
      <c r="B27" s="18" t="s">
        <v>98</v>
      </c>
      <c r="C27" s="14" t="s">
        <v>99</v>
      </c>
      <c r="D27" s="18" t="s">
        <v>201</v>
      </c>
      <c r="E27" s="26" t="n">
        <v>520.59</v>
      </c>
      <c r="F27" s="26" t="n">
        <v>1230.79</v>
      </c>
      <c r="G27" s="30" t="n">
        <v>21</v>
      </c>
      <c r="H27" s="30" t="n">
        <v>455</v>
      </c>
      <c r="I27" s="30" t="n">
        <v>51497</v>
      </c>
      <c r="J27" s="26" t="n">
        <v>3118.98</v>
      </c>
      <c r="K27" s="30" t="n">
        <v>34</v>
      </c>
      <c r="L27" s="30" t="n">
        <v>33</v>
      </c>
      <c r="M27" s="30" t="n">
        <v>1386</v>
      </c>
      <c r="N27" s="26" t="n">
        <v>-12208.82</v>
      </c>
      <c r="O27" s="28" t="n">
        <f aca="false">IF(N(F27)=0,"",E27/F27)</f>
        <v>0.422972237343495</v>
      </c>
      <c r="P27" s="28" t="n">
        <f aca="false">IF(N(J27)=0,"",E27/J27)</f>
        <v>0.166910336071408</v>
      </c>
      <c r="Q27" s="39" t="n">
        <f aca="false">IF(N(E27)=0,"",F27/E27)</f>
        <v>2.36422136422136</v>
      </c>
      <c r="R27" s="29" t="n">
        <f aca="false">IF(N(H27)=0,"",E27/H27)</f>
        <v>1.14415384615385</v>
      </c>
      <c r="S27" s="28" t="n">
        <f aca="false">IF(N(I27)=0,"",H27/I27)</f>
        <v>0.00883546614365885</v>
      </c>
      <c r="T27" s="28" t="n">
        <f aca="false">IF(N(H27)=0,"",G27/H27)</f>
        <v>0.0461538461538462</v>
      </c>
      <c r="U27" s="28" t="n">
        <f aca="false">IF(N(L27)=0,"",G27/L27)</f>
        <v>0.636363636363636</v>
      </c>
      <c r="V27" s="29" t="n">
        <f aca="false">IF(N(K27)=0,"",J27/K27)</f>
        <v>91.7347058823529</v>
      </c>
      <c r="W27" s="26" t="n">
        <f aca="false">IF(N(30)=0,"",E27/30)</f>
        <v>17.353</v>
      </c>
      <c r="X27" s="39" t="n">
        <f aca="false">IF(N(30)=0,"",K27/30)</f>
        <v>1.13333333333333</v>
      </c>
      <c r="Y27" s="28" t="n">
        <f aca="false">IF(N(J27)=0,"",N27/J27)</f>
        <v>-3.91436302893895</v>
      </c>
      <c r="Z27" s="26" t="n">
        <v>163.68</v>
      </c>
      <c r="AA27" s="26" t="n">
        <v>333.31</v>
      </c>
      <c r="AB27" s="30" t="n">
        <v>11</v>
      </c>
      <c r="AC27" s="30" t="n">
        <v>134</v>
      </c>
      <c r="AD27" s="30" t="n">
        <v>15235</v>
      </c>
      <c r="AE27" s="26" t="n">
        <v>560.95</v>
      </c>
      <c r="AF27" s="30" t="n">
        <v>5</v>
      </c>
      <c r="AG27" s="30" t="n">
        <v>5</v>
      </c>
      <c r="AH27" s="30" t="n">
        <v>382</v>
      </c>
      <c r="AI27" s="26" t="n">
        <v>304.93</v>
      </c>
      <c r="AJ27" s="28" t="n">
        <f aca="false">IF(N(AA27)=0,"",Z27/AA27)</f>
        <v>0.491074375206264</v>
      </c>
      <c r="AK27" s="28" t="n">
        <f aca="false">IF(N(AE27)=0,"",Z27/AE27)</f>
        <v>0.291790712184687</v>
      </c>
      <c r="AL27" s="39" t="n">
        <f aca="false">IF(N(Z27)=0,"",AA27/Z27)</f>
        <v>2.0363514173998</v>
      </c>
      <c r="AM27" s="29" t="n">
        <f aca="false">IF(N(AC27)=0,"",Z27/AC27)</f>
        <v>1.22149253731343</v>
      </c>
      <c r="AN27" s="28" t="n">
        <f aca="false">IF(N(AD27)=0,"",AC27/AD27)</f>
        <v>0.00879553659337053</v>
      </c>
      <c r="AO27" s="28" t="n">
        <f aca="false">IF(N(AC27)=0,"",AB27/AC27)</f>
        <v>0.082089552238806</v>
      </c>
      <c r="AP27" s="28" t="n">
        <f aca="false">IF(N(AG27)=0,"",AB27/AG27)</f>
        <v>2.2</v>
      </c>
      <c r="AQ27" s="29" t="n">
        <f aca="false">IF(N(AF27)=0,"",AE27/AF27)</f>
        <v>112.19</v>
      </c>
      <c r="AR27" s="26" t="n">
        <f aca="false">IF(N(26)=0,"",Z27/26)</f>
        <v>6.29538461538462</v>
      </c>
      <c r="AS27" s="39" t="n">
        <f aca="false">IF(N(26)=0,"",AF27/26)</f>
        <v>0.192307692307692</v>
      </c>
      <c r="AT27" s="28" t="n">
        <f aca="false">IF(N(AE27)=0,"",AI27/AE27)</f>
        <v>0.543595685890008</v>
      </c>
      <c r="AU27" s="27" t="n">
        <f aca="false">IF(OR(W27="",AR27=""),"",IF(N(W27)=0,"",AR27/W27-1))</f>
        <v>-0.637216353634264</v>
      </c>
      <c r="AV27" s="27" t="n">
        <f aca="false">IF(N(F27)=0,"",(AA27/26)/(F27/30)-1)</f>
        <v>-0.687527147979378</v>
      </c>
      <c r="AW27" s="27" t="n">
        <f aca="false">IF(OR(X27="",AS27=""),"",IF(N(X27)=0,"",AS27/X27-1))</f>
        <v>-0.830316742081448</v>
      </c>
      <c r="AX27" s="27" t="n">
        <f aca="false">IF(OR(O27="",AJ27=""),"",AJ27-O27)</f>
        <v>0.0681021378627696</v>
      </c>
      <c r="AY27" s="27" t="n">
        <f aca="false">IF(OR(P27="",AK27=""),"",AK27-P27)</f>
        <v>0.124880376113279</v>
      </c>
      <c r="AZ27" s="27" t="n">
        <f aca="false">IF(OR(R27="",AM27=""),"",IF(N(R27)=0,"",AM27/R27-1))</f>
        <v>0.0675946608225511</v>
      </c>
      <c r="BA27" s="27" t="n">
        <f aca="false">IF(OR(T27="",AO27=""),"",AO27-T27)</f>
        <v>0.0359357060849598</v>
      </c>
      <c r="BB27" s="27" t="n">
        <f aca="false">IF(OR(V27="",AQ27=""),"",IF(N(V27)=0,"",AQ27/V27-1))</f>
        <v>0.222983154749309</v>
      </c>
    </row>
    <row r="28" customFormat="false" ht="15" hidden="false" customHeight="false" outlineLevel="0" collapsed="false">
      <c r="A28" s="18" t="s">
        <v>103</v>
      </c>
      <c r="B28" s="18" t="s">
        <v>104</v>
      </c>
      <c r="C28" s="14" t="s">
        <v>105</v>
      </c>
      <c r="D28" s="18" t="s">
        <v>209</v>
      </c>
      <c r="E28" s="26" t="n">
        <v>196.39</v>
      </c>
      <c r="F28" s="26" t="n">
        <v>387.78</v>
      </c>
      <c r="G28" s="30" t="n">
        <v>11</v>
      </c>
      <c r="H28" s="30" t="n">
        <v>357</v>
      </c>
      <c r="I28" s="30" t="n">
        <v>45249</v>
      </c>
      <c r="J28" s="26" t="n">
        <v>574.13</v>
      </c>
      <c r="K28" s="30" t="n">
        <v>18</v>
      </c>
      <c r="L28" s="30" t="n">
        <v>17</v>
      </c>
      <c r="M28" s="30" t="n">
        <v>640</v>
      </c>
      <c r="N28" s="26" t="n">
        <v>-106.52</v>
      </c>
      <c r="O28" s="28" t="n">
        <f aca="false">IF(N(F28)=0,"",E28/F28)</f>
        <v>0.506446954458714</v>
      </c>
      <c r="P28" s="28" t="n">
        <f aca="false">IF(N(J28)=0,"",E28/J28)</f>
        <v>0.342065385888213</v>
      </c>
      <c r="Q28" s="39" t="n">
        <f aca="false">IF(N(E28)=0,"",F28/E28)</f>
        <v>1.97454045521666</v>
      </c>
      <c r="R28" s="29" t="n">
        <f aca="false">IF(N(H28)=0,"",E28/H28)</f>
        <v>0.550112044817927</v>
      </c>
      <c r="S28" s="28" t="n">
        <f aca="false">IF(N(I28)=0,"",H28/I28)</f>
        <v>0.00788967711993635</v>
      </c>
      <c r="T28" s="28" t="n">
        <f aca="false">IF(N(H28)=0,"",G28/H28)</f>
        <v>0.030812324929972</v>
      </c>
      <c r="U28" s="28" t="n">
        <f aca="false">IF(N(L28)=0,"",G28/L28)</f>
        <v>0.647058823529412</v>
      </c>
      <c r="V28" s="29" t="n">
        <f aca="false">IF(N(K28)=0,"",J28/K28)</f>
        <v>31.8961111111111</v>
      </c>
      <c r="W28" s="26" t="n">
        <f aca="false">IF(N(30)=0,"",E28/30)</f>
        <v>6.54633333333333</v>
      </c>
      <c r="X28" s="39" t="n">
        <f aca="false">IF(N(30)=0,"",K28/30)</f>
        <v>0.6</v>
      </c>
      <c r="Y28" s="28" t="n">
        <f aca="false">IF(N(J28)=0,"",N28/J28)</f>
        <v>-0.185532893247174</v>
      </c>
      <c r="Z28" s="26" t="n">
        <v>424.91</v>
      </c>
      <c r="AA28" s="26" t="n">
        <v>763.66</v>
      </c>
      <c r="AB28" s="30" t="n">
        <v>21</v>
      </c>
      <c r="AC28" s="30" t="n">
        <v>713</v>
      </c>
      <c r="AD28" s="30" t="n">
        <v>69533</v>
      </c>
      <c r="AE28" s="26" t="n">
        <v>582.42</v>
      </c>
      <c r="AF28" s="30" t="n">
        <v>18</v>
      </c>
      <c r="AG28" s="30" t="n">
        <v>18</v>
      </c>
      <c r="AH28" s="30" t="n">
        <v>821</v>
      </c>
      <c r="AI28" s="26" t="n">
        <v>-288.59</v>
      </c>
      <c r="AJ28" s="28" t="n">
        <f aca="false">IF(N(AA28)=0,"",Z28/AA28)</f>
        <v>0.556412539611869</v>
      </c>
      <c r="AK28" s="28" t="n">
        <f aca="false">IF(N(AE28)=0,"",Z28/AE28)</f>
        <v>0.729559424470314</v>
      </c>
      <c r="AL28" s="39" t="n">
        <f aca="false">IF(N(Z28)=0,"",AA28/Z28)</f>
        <v>1.79722764820786</v>
      </c>
      <c r="AM28" s="29" t="n">
        <f aca="false">IF(N(AC28)=0,"",Z28/AC28)</f>
        <v>0.595946704067321</v>
      </c>
      <c r="AN28" s="28" t="n">
        <f aca="false">IF(N(AD28)=0,"",AC28/AD28)</f>
        <v>0.0102541239411502</v>
      </c>
      <c r="AO28" s="28" t="n">
        <f aca="false">IF(N(AC28)=0,"",AB28/AC28)</f>
        <v>0.02945301542777</v>
      </c>
      <c r="AP28" s="28" t="n">
        <f aca="false">IF(N(AG28)=0,"",AB28/AG28)</f>
        <v>1.16666666666667</v>
      </c>
      <c r="AQ28" s="29" t="n">
        <f aca="false">IF(N(AF28)=0,"",AE28/AF28)</f>
        <v>32.3566666666667</v>
      </c>
      <c r="AR28" s="26" t="n">
        <f aca="false">IF(N(26)=0,"",Z28/26)</f>
        <v>16.3426923076923</v>
      </c>
      <c r="AS28" s="39" t="n">
        <f aca="false">IF(N(26)=0,"",AF28/26)</f>
        <v>0.692307692307692</v>
      </c>
      <c r="AT28" s="28" t="n">
        <f aca="false">IF(N(AE28)=0,"",AI28/AE28)</f>
        <v>-0.495501528106864</v>
      </c>
      <c r="AU28" s="27" t="n">
        <f aca="false">IF(OR(W28="",AR28=""),"",IF(N(W28)=0,"",AR28/W28-1))</f>
        <v>1.49646504012816</v>
      </c>
      <c r="AV28" s="27" t="n">
        <f aca="false">IF(N(F28)=0,"",(AA28/26)/(F28/30)-1)</f>
        <v>1.27228365012676</v>
      </c>
      <c r="AW28" s="27" t="n">
        <f aca="false">IF(OR(X28="",AS28=""),"",IF(N(X28)=0,"",AS28/X28-1))</f>
        <v>0.153846153846154</v>
      </c>
      <c r="AX28" s="27" t="n">
        <f aca="false">IF(OR(O28="",AJ28=""),"",AJ28-O28)</f>
        <v>0.0499655851531555</v>
      </c>
      <c r="AY28" s="27" t="n">
        <f aca="false">IF(OR(P28="",AK28=""),"",AK28-P28)</f>
        <v>0.3874940385821</v>
      </c>
      <c r="AZ28" s="27" t="n">
        <f aca="false">IF(OR(R28="",AM28=""),"",IF(N(R28)=0,"",AM28/R28-1))</f>
        <v>0.0833187705689378</v>
      </c>
      <c r="BA28" s="27" t="n">
        <f aca="false">IF(OR(T28="",AO28=""),"",AO28-T28)</f>
        <v>-0.00135930950220201</v>
      </c>
      <c r="BB28" s="27" t="n">
        <f aca="false">IF(OR(V28="",AQ28=""),"",IF(N(V28)=0,"",AQ28/V28-1))</f>
        <v>0.0144392384999912</v>
      </c>
    </row>
    <row r="29" customFormat="false" ht="15" hidden="false" customHeight="false" outlineLevel="0" collapsed="false">
      <c r="A29" s="18" t="s">
        <v>218</v>
      </c>
      <c r="B29" s="18" t="s">
        <v>104</v>
      </c>
      <c r="C29" s="14" t="s">
        <v>105</v>
      </c>
      <c r="D29" s="18" t="s">
        <v>219</v>
      </c>
      <c r="E29" s="26" t="n">
        <v>404.05</v>
      </c>
      <c r="F29" s="26" t="n">
        <v>922.74</v>
      </c>
      <c r="G29" s="30" t="n">
        <v>24</v>
      </c>
      <c r="H29" s="30" t="n">
        <v>444</v>
      </c>
      <c r="I29" s="30" t="n">
        <v>73244</v>
      </c>
      <c r="J29" s="26" t="n">
        <v>1262.96</v>
      </c>
      <c r="K29" s="30" t="n">
        <v>36</v>
      </c>
      <c r="L29" s="30" t="n">
        <v>34</v>
      </c>
      <c r="M29" s="30" t="n">
        <v>568</v>
      </c>
      <c r="N29" s="26" t="n">
        <v>-247.97</v>
      </c>
      <c r="O29" s="28" t="n">
        <f aca="false">IF(N(F29)=0,"",E29/F29)</f>
        <v>0.437880659774151</v>
      </c>
      <c r="P29" s="28" t="n">
        <f aca="false">IF(N(J29)=0,"",E29/J29)</f>
        <v>0.319923037942611</v>
      </c>
      <c r="Q29" s="39" t="n">
        <f aca="false">IF(N(E29)=0,"",F29/E29)</f>
        <v>2.28372726147754</v>
      </c>
      <c r="R29" s="29" t="n">
        <f aca="false">IF(N(H29)=0,"",E29/H29)</f>
        <v>0.910022522522523</v>
      </c>
      <c r="S29" s="28" t="n">
        <f aca="false">IF(N(I29)=0,"",H29/I29)</f>
        <v>0.00606192998743924</v>
      </c>
      <c r="T29" s="28" t="n">
        <f aca="false">IF(N(H29)=0,"",G29/H29)</f>
        <v>0.0540540540540541</v>
      </c>
      <c r="U29" s="28" t="n">
        <f aca="false">IF(N(L29)=0,"",G29/L29)</f>
        <v>0.705882352941177</v>
      </c>
      <c r="V29" s="29" t="n">
        <f aca="false">IF(N(K29)=0,"",J29/K29)</f>
        <v>35.0822222222222</v>
      </c>
      <c r="W29" s="26" t="n">
        <f aca="false">IF(N(30)=0,"",E29/30)</f>
        <v>13.4683333333333</v>
      </c>
      <c r="X29" s="39" t="n">
        <f aca="false">IF(N(30)=0,"",K29/30)</f>
        <v>1.2</v>
      </c>
      <c r="Y29" s="28" t="n">
        <f aca="false">IF(N(J29)=0,"",N29/J29)</f>
        <v>-0.196340343320454</v>
      </c>
      <c r="Z29" s="26" t="n">
        <v>206.65</v>
      </c>
      <c r="AA29" s="26" t="n">
        <v>631.61</v>
      </c>
      <c r="AB29" s="30" t="n">
        <v>18</v>
      </c>
      <c r="AC29" s="30" t="n">
        <v>227</v>
      </c>
      <c r="AD29" s="30" t="n">
        <v>26232</v>
      </c>
      <c r="AE29" s="26" t="n">
        <v>722.17</v>
      </c>
      <c r="AF29" s="30" t="n">
        <v>23</v>
      </c>
      <c r="AG29" s="30" t="n">
        <v>22</v>
      </c>
      <c r="AH29" s="30" t="n">
        <v>291</v>
      </c>
      <c r="AI29" s="26" t="n">
        <v>-609.53</v>
      </c>
      <c r="AJ29" s="28" t="n">
        <f aca="false">IF(N(AA29)=0,"",Z29/AA29)</f>
        <v>0.327179746995773</v>
      </c>
      <c r="AK29" s="28" t="n">
        <f aca="false">IF(N(AE29)=0,"",Z29/AE29)</f>
        <v>0.286151460182506</v>
      </c>
      <c r="AL29" s="39" t="n">
        <f aca="false">IF(N(Z29)=0,"",AA29/Z29)</f>
        <v>3.05642390515364</v>
      </c>
      <c r="AM29" s="29" t="n">
        <f aca="false">IF(N(AC29)=0,"",Z29/AC29)</f>
        <v>0.910352422907489</v>
      </c>
      <c r="AN29" s="28" t="n">
        <f aca="false">IF(N(AD29)=0,"",AC29/AD29)</f>
        <v>0.00865355291247332</v>
      </c>
      <c r="AO29" s="28" t="n">
        <f aca="false">IF(N(AC29)=0,"",AB29/AC29)</f>
        <v>0.079295154185022</v>
      </c>
      <c r="AP29" s="28" t="n">
        <f aca="false">IF(N(AG29)=0,"",AB29/AG29)</f>
        <v>0.818181818181818</v>
      </c>
      <c r="AQ29" s="29" t="n">
        <f aca="false">IF(N(AF29)=0,"",AE29/AF29)</f>
        <v>31.3986956521739</v>
      </c>
      <c r="AR29" s="26" t="n">
        <f aca="false">IF(N(26)=0,"",Z29/26)</f>
        <v>7.94807692307692</v>
      </c>
      <c r="AS29" s="39" t="n">
        <f aca="false">IF(N(26)=0,"",AF29/26)</f>
        <v>0.884615384615385</v>
      </c>
      <c r="AT29" s="28" t="n">
        <f aca="false">IF(N(AE29)=0,"",AI29/AE29)</f>
        <v>-0.844025644931249</v>
      </c>
      <c r="AU29" s="27" t="n">
        <f aca="false">IF(OR(W29="",AR29=""),"",IF(N(W29)=0,"",AR29/W29-1))</f>
        <v>-0.409869304065567</v>
      </c>
      <c r="AV29" s="27" t="n">
        <f aca="false">IF(N(F29)=0,"",(AA29/26)/(F29/30)-1)</f>
        <v>-0.210199222716291</v>
      </c>
      <c r="AW29" s="27" t="n">
        <f aca="false">IF(OR(X29="",AS29=""),"",IF(N(X29)=0,"",AS29/X29-1))</f>
        <v>-0.262820512820513</v>
      </c>
      <c r="AX29" s="27" t="n">
        <f aca="false">IF(OR(O29="",AJ29=""),"",AJ29-O29)</f>
        <v>-0.110700912778378</v>
      </c>
      <c r="AY29" s="27" t="n">
        <f aca="false">IF(OR(P29="",AK29=""),"",AK29-P29)</f>
        <v>-0.0337715777601055</v>
      </c>
      <c r="AZ29" s="27" t="n">
        <f aca="false">IF(OR(R29="",AM29=""),"",IF(N(R29)=0,"",AM29/R29-1))</f>
        <v>0.000362518923215038</v>
      </c>
      <c r="BA29" s="27" t="n">
        <f aca="false">IF(OR(T29="",AO29=""),"",AO29-T29)</f>
        <v>0.025241100130968</v>
      </c>
      <c r="BB29" s="27" t="n">
        <f aca="false">IF(OR(V29="",AQ29=""),"",IF(N(V29)=0,"",AQ29/V29-1))</f>
        <v>-0.104996956769604</v>
      </c>
    </row>
    <row r="30" customFormat="false" ht="15" hidden="false" customHeight="false" outlineLevel="0" collapsed="false">
      <c r="A30" s="18" t="s">
        <v>220</v>
      </c>
      <c r="B30" s="18" t="s">
        <v>118</v>
      </c>
      <c r="C30" s="14" t="s">
        <v>119</v>
      </c>
      <c r="D30" s="18" t="s">
        <v>201</v>
      </c>
      <c r="E30" s="26" t="n">
        <v>298.02</v>
      </c>
      <c r="F30" s="26" t="n">
        <v>908.23</v>
      </c>
      <c r="G30" s="30" t="n">
        <v>11</v>
      </c>
      <c r="H30" s="30" t="n">
        <v>271</v>
      </c>
      <c r="I30" s="30" t="n">
        <v>29809</v>
      </c>
      <c r="J30" s="26" t="n">
        <v>2665.11</v>
      </c>
      <c r="K30" s="30" t="n">
        <v>27</v>
      </c>
      <c r="L30" s="30" t="n">
        <v>24</v>
      </c>
      <c r="M30" s="30" t="n">
        <v>909</v>
      </c>
      <c r="N30" s="26" t="n">
        <v>-2658.47</v>
      </c>
      <c r="O30" s="28" t="n">
        <f aca="false">IF(N(F30)=0,"",E30/F30)</f>
        <v>0.328132741706396</v>
      </c>
      <c r="P30" s="28" t="n">
        <f aca="false">IF(N(J30)=0,"",E30/J30)</f>
        <v>0.111822776545809</v>
      </c>
      <c r="Q30" s="39" t="n">
        <f aca="false">IF(N(E30)=0,"",F30/E30)</f>
        <v>3.04754714448695</v>
      </c>
      <c r="R30" s="29" t="n">
        <f aca="false">IF(N(H30)=0,"",E30/H30)</f>
        <v>1.09970479704797</v>
      </c>
      <c r="S30" s="28" t="n">
        <f aca="false">IF(N(I30)=0,"",H30/I30)</f>
        <v>0.00909121406286692</v>
      </c>
      <c r="T30" s="28" t="n">
        <f aca="false">IF(N(H30)=0,"",G30/H30)</f>
        <v>0.040590405904059</v>
      </c>
      <c r="U30" s="28" t="n">
        <f aca="false">IF(N(L30)=0,"",G30/L30)</f>
        <v>0.458333333333333</v>
      </c>
      <c r="V30" s="29" t="n">
        <f aca="false">IF(N(K30)=0,"",J30/K30)</f>
        <v>98.7077777777778</v>
      </c>
      <c r="W30" s="26" t="n">
        <f aca="false">IF(N(30)=0,"",E30/30)</f>
        <v>9.934</v>
      </c>
      <c r="X30" s="39" t="n">
        <f aca="false">IF(N(30)=0,"",K30/30)</f>
        <v>0.9</v>
      </c>
      <c r="Y30" s="28" t="n">
        <f aca="false">IF(N(J30)=0,"",N30/J30)</f>
        <v>-0.997508545613502</v>
      </c>
      <c r="Z30" s="26" t="n">
        <v>262.63</v>
      </c>
      <c r="AA30" s="26" t="n">
        <v>619.8</v>
      </c>
      <c r="AB30" s="30" t="n">
        <v>8</v>
      </c>
      <c r="AC30" s="30" t="n">
        <v>205</v>
      </c>
      <c r="AD30" s="30" t="n">
        <v>19186</v>
      </c>
      <c r="AE30" s="26" t="n">
        <v>2671.18</v>
      </c>
      <c r="AF30" s="30" t="n">
        <v>31</v>
      </c>
      <c r="AG30" s="30" t="n">
        <v>31</v>
      </c>
      <c r="AH30" s="30" t="n">
        <v>714</v>
      </c>
      <c r="AI30" s="26" t="n">
        <v>363.04</v>
      </c>
      <c r="AJ30" s="28" t="n">
        <f aca="false">IF(N(AA30)=0,"",Z30/AA30)</f>
        <v>0.423733462407228</v>
      </c>
      <c r="AK30" s="28" t="n">
        <f aca="false">IF(N(AE30)=0,"",Z30/AE30)</f>
        <v>0.0983198436645977</v>
      </c>
      <c r="AL30" s="39" t="n">
        <f aca="false">IF(N(Z30)=0,"",AA30/Z30)</f>
        <v>2.35997410806077</v>
      </c>
      <c r="AM30" s="29" t="n">
        <f aca="false">IF(N(AC30)=0,"",Z30/AC30)</f>
        <v>1.28112195121951</v>
      </c>
      <c r="AN30" s="28" t="n">
        <f aca="false">IF(N(AD30)=0,"",AC30/AD30)</f>
        <v>0.0106848743875743</v>
      </c>
      <c r="AO30" s="28" t="n">
        <f aca="false">IF(N(AC30)=0,"",AB30/AC30)</f>
        <v>0.0390243902439024</v>
      </c>
      <c r="AP30" s="28" t="n">
        <f aca="false">IF(N(AG30)=0,"",AB30/AG30)</f>
        <v>0.258064516129032</v>
      </c>
      <c r="AQ30" s="29" t="n">
        <f aca="false">IF(N(AF30)=0,"",AE30/AF30)</f>
        <v>86.1670967741935</v>
      </c>
      <c r="AR30" s="26" t="n">
        <f aca="false">IF(N(26)=0,"",Z30/26)</f>
        <v>10.1011538461538</v>
      </c>
      <c r="AS30" s="39" t="n">
        <f aca="false">IF(N(26)=0,"",AF30/26)</f>
        <v>1.19230769230769</v>
      </c>
      <c r="AT30" s="28" t="n">
        <f aca="false">IF(N(AE30)=0,"",AI30/AE30)</f>
        <v>0.135909972371761</v>
      </c>
      <c r="AU30" s="27" t="n">
        <f aca="false">IF(OR(W30="",AR30=""),"",IF(N(W30)=0,"",AR30/W30-1))</f>
        <v>0.016826439113534</v>
      </c>
      <c r="AV30" s="27" t="n">
        <f aca="false">IF(N(F30)=0,"",(AA30/26)/(F30/30)-1)</f>
        <v>-0.21258508730845</v>
      </c>
      <c r="AW30" s="27" t="n">
        <f aca="false">IF(OR(X30="",AS30=""),"",IF(N(X30)=0,"",AS30/X30-1))</f>
        <v>0.324786324786325</v>
      </c>
      <c r="AX30" s="27" t="n">
        <f aca="false">IF(OR(O30="",AJ30=""),"",AJ30-O30)</f>
        <v>0.0956007207008322</v>
      </c>
      <c r="AY30" s="27" t="n">
        <f aca="false">IF(OR(P30="",AK30=""),"",AK30-P30)</f>
        <v>-0.0135029328812109</v>
      </c>
      <c r="AZ30" s="27" t="n">
        <f aca="false">IF(OR(R30="",AM30=""),"",IF(N(R30)=0,"",AM30/R30-1))</f>
        <v>0.164968957722595</v>
      </c>
      <c r="BA30" s="27" t="n">
        <f aca="false">IF(OR(T30="",AO30=""),"",AO30-T30)</f>
        <v>-0.0015660156601566</v>
      </c>
      <c r="BB30" s="27" t="n">
        <f aca="false">IF(OR(V30="",AQ30=""),"",IF(N(V30)=0,"",AQ30/V30-1))</f>
        <v>-0.127048559758049</v>
      </c>
    </row>
    <row r="31" customFormat="false" ht="15" hidden="false" customHeight="false" outlineLevel="0" collapsed="false">
      <c r="A31" s="18" t="s">
        <v>221</v>
      </c>
      <c r="B31" s="18" t="s">
        <v>167</v>
      </c>
      <c r="C31" s="14" t="s">
        <v>222</v>
      </c>
      <c r="D31" s="18" t="s">
        <v>223</v>
      </c>
      <c r="E31" s="26" t="n">
        <v>344.71</v>
      </c>
      <c r="F31" s="26" t="n">
        <v>610.23</v>
      </c>
      <c r="G31" s="30" t="n">
        <v>19</v>
      </c>
      <c r="H31" s="30" t="n">
        <v>249</v>
      </c>
      <c r="I31" s="30" t="n">
        <v>25516</v>
      </c>
      <c r="J31" s="26" t="n">
        <v>4748.14</v>
      </c>
      <c r="K31" s="30" t="n">
        <v>88</v>
      </c>
      <c r="L31" s="30" t="n">
        <v>77</v>
      </c>
      <c r="M31" s="30" t="n">
        <v>5468</v>
      </c>
      <c r="N31" s="26" t="n">
        <v>1121.06</v>
      </c>
      <c r="O31" s="28" t="n">
        <f aca="false">IF(N(F31)=0,"",E31/F31)</f>
        <v>0.564885371089589</v>
      </c>
      <c r="P31" s="28" t="n">
        <f aca="false">IF(N(J31)=0,"",E31/J31)</f>
        <v>0.0725989545379875</v>
      </c>
      <c r="Q31" s="39" t="n">
        <f aca="false">IF(N(E31)=0,"",F31/E31)</f>
        <v>1.77027066229584</v>
      </c>
      <c r="R31" s="29" t="n">
        <f aca="false">IF(N(H31)=0,"",E31/H31)</f>
        <v>1.38437751004016</v>
      </c>
      <c r="S31" s="28" t="n">
        <f aca="false">IF(N(I31)=0,"",H31/I31)</f>
        <v>0.00975858284997649</v>
      </c>
      <c r="T31" s="28" t="n">
        <f aca="false">IF(N(H31)=0,"",G31/H31)</f>
        <v>0.0763052208835341</v>
      </c>
      <c r="U31" s="28" t="n">
        <f aca="false">IF(N(L31)=0,"",G31/L31)</f>
        <v>0.246753246753247</v>
      </c>
      <c r="V31" s="29" t="n">
        <f aca="false">IF(N(K31)=0,"",J31/K31)</f>
        <v>53.9561363636364</v>
      </c>
      <c r="W31" s="26" t="n">
        <f aca="false">IF(N(30)=0,"",E31/30)</f>
        <v>11.4903333333333</v>
      </c>
      <c r="X31" s="39" t="n">
        <f aca="false">IF(N(30)=0,"",K31/30)</f>
        <v>2.93333333333333</v>
      </c>
      <c r="Y31" s="28" t="n">
        <f aca="false">IF(N(J31)=0,"",N31/J31)</f>
        <v>0.236105085359741</v>
      </c>
      <c r="Z31" s="26" t="n">
        <v>213.2</v>
      </c>
      <c r="AA31" s="26" t="n">
        <v>897.41</v>
      </c>
      <c r="AB31" s="30" t="n">
        <v>25</v>
      </c>
      <c r="AC31" s="30" t="n">
        <v>219</v>
      </c>
      <c r="AD31" s="30" t="n">
        <v>48957</v>
      </c>
      <c r="AE31" s="26" t="n">
        <v>9862.44</v>
      </c>
      <c r="AF31" s="30" t="n">
        <v>196</v>
      </c>
      <c r="AG31" s="30" t="n">
        <v>175</v>
      </c>
      <c r="AH31" s="30" t="n">
        <v>5470</v>
      </c>
      <c r="AI31" s="26" t="n">
        <v>1492.21</v>
      </c>
      <c r="AJ31" s="28" t="n">
        <f aca="false">IF(N(AA31)=0,"",Z31/AA31)</f>
        <v>0.237572569951304</v>
      </c>
      <c r="AK31" s="28" t="n">
        <f aca="false">IF(N(AE31)=0,"",Z31/AE31)</f>
        <v>0.0216173685213801</v>
      </c>
      <c r="AL31" s="39" t="n">
        <f aca="false">IF(N(Z31)=0,"",AA31/Z31)</f>
        <v>4.20924015009381</v>
      </c>
      <c r="AM31" s="29" t="n">
        <f aca="false">IF(N(AC31)=0,"",Z31/AC31)</f>
        <v>0.97351598173516</v>
      </c>
      <c r="AN31" s="28" t="n">
        <f aca="false">IF(N(AD31)=0,"",AC31/AD31)</f>
        <v>0.0044733133157669</v>
      </c>
      <c r="AO31" s="28" t="n">
        <f aca="false">IF(N(AC31)=0,"",AB31/AC31)</f>
        <v>0.114155251141553</v>
      </c>
      <c r="AP31" s="28" t="n">
        <f aca="false">IF(N(AG31)=0,"",AB31/AG31)</f>
        <v>0.142857142857143</v>
      </c>
      <c r="AQ31" s="29" t="n">
        <f aca="false">IF(N(AF31)=0,"",AE31/AF31)</f>
        <v>50.3185714285714</v>
      </c>
      <c r="AR31" s="26" t="n">
        <f aca="false">IF(N(26)=0,"",Z31/26)</f>
        <v>8.2</v>
      </c>
      <c r="AS31" s="39" t="n">
        <f aca="false">IF(N(26)=0,"",AF31/26)</f>
        <v>7.53846153846154</v>
      </c>
      <c r="AT31" s="28" t="n">
        <f aca="false">IF(N(AE31)=0,"",AI31/AE31)</f>
        <v>0.15130231464019</v>
      </c>
      <c r="AU31" s="27" t="n">
        <f aca="false">IF(OR(W31="",AR31=""),"",IF(N(W31)=0,"",AR31/W31-1))</f>
        <v>-0.286356647616837</v>
      </c>
      <c r="AV31" s="27" t="n">
        <f aca="false">IF(N(F31)=0,"",(AA31/26)/(F31/30)-1)</f>
        <v>0.696857048855476</v>
      </c>
      <c r="AW31" s="27" t="n">
        <f aca="false">IF(OR(X31="",AS31=""),"",IF(N(X31)=0,"",AS31/X31-1))</f>
        <v>1.56993006993007</v>
      </c>
      <c r="AX31" s="27" t="n">
        <f aca="false">IF(OR(O31="",AJ31=""),"",AJ31-O31)</f>
        <v>-0.327312801138285</v>
      </c>
      <c r="AY31" s="27" t="n">
        <f aca="false">IF(OR(P31="",AK31=""),"",AK31-P31)</f>
        <v>-0.0509815860166074</v>
      </c>
      <c r="AZ31" s="27" t="n">
        <f aca="false">IF(OR(R31="",AM31=""),"",IF(N(R31)=0,"",AM31/R31-1))</f>
        <v>-0.296784313039788</v>
      </c>
      <c r="BA31" s="27" t="n">
        <f aca="false">IF(OR(T31="",AO31=""),"",AO31-T31)</f>
        <v>0.0378500302580184</v>
      </c>
      <c r="BB31" s="27" t="n">
        <f aca="false">IF(OR(V31="",AQ31=""),"",IF(N(V31)=0,"",AQ31/V31-1))</f>
        <v>-0.0674170757993055</v>
      </c>
    </row>
    <row r="32" customFormat="false" ht="15" hidden="false" customHeight="false" outlineLevel="0" collapsed="false">
      <c r="A32" s="18" t="s">
        <v>224</v>
      </c>
      <c r="B32" s="18" t="s">
        <v>104</v>
      </c>
      <c r="C32" s="14" t="s">
        <v>105</v>
      </c>
      <c r="D32" s="18" t="s">
        <v>201</v>
      </c>
      <c r="E32" s="26" t="n">
        <v>336.6</v>
      </c>
      <c r="F32" s="26" t="n">
        <v>609.23</v>
      </c>
      <c r="G32" s="30" t="n">
        <v>23</v>
      </c>
      <c r="H32" s="30" t="n">
        <v>258</v>
      </c>
      <c r="I32" s="30" t="n">
        <v>61245</v>
      </c>
      <c r="J32" s="26" t="n">
        <v>1031.35</v>
      </c>
      <c r="K32" s="30" t="n">
        <v>44</v>
      </c>
      <c r="L32" s="30" t="n">
        <v>43</v>
      </c>
      <c r="M32" s="30" t="n">
        <v>527</v>
      </c>
      <c r="N32" s="26" t="n">
        <v>-169.97</v>
      </c>
      <c r="O32" s="28" t="n">
        <f aca="false">IF(N(F32)=0,"",E32/F32)</f>
        <v>0.552500697601891</v>
      </c>
      <c r="P32" s="28" t="n">
        <f aca="false">IF(N(J32)=0,"",E32/J32)</f>
        <v>0.326368352159791</v>
      </c>
      <c r="Q32" s="39" t="n">
        <f aca="false">IF(N(E32)=0,"",F32/E32)</f>
        <v>1.80995246583482</v>
      </c>
      <c r="R32" s="29" t="n">
        <f aca="false">IF(N(H32)=0,"",E32/H32)</f>
        <v>1.3046511627907</v>
      </c>
      <c r="S32" s="28" t="n">
        <f aca="false">IF(N(I32)=0,"",H32/I32)</f>
        <v>0.00421258878275778</v>
      </c>
      <c r="T32" s="28" t="n">
        <f aca="false">IF(N(H32)=0,"",G32/H32)</f>
        <v>0.0891472868217054</v>
      </c>
      <c r="U32" s="28" t="n">
        <f aca="false">IF(N(L32)=0,"",G32/L32)</f>
        <v>0.534883720930233</v>
      </c>
      <c r="V32" s="29" t="n">
        <f aca="false">IF(N(K32)=0,"",J32/K32)</f>
        <v>23.4397727272727</v>
      </c>
      <c r="W32" s="26" t="n">
        <f aca="false">IF(N(30)=0,"",E32/30)</f>
        <v>11.22</v>
      </c>
      <c r="X32" s="39" t="n">
        <f aca="false">IF(N(30)=0,"",K32/30)</f>
        <v>1.46666666666667</v>
      </c>
      <c r="Y32" s="28" t="n">
        <f aca="false">IF(N(J32)=0,"",N32/J32)</f>
        <v>-0.164803413002376</v>
      </c>
      <c r="Z32" s="26" t="n">
        <v>186.38</v>
      </c>
      <c r="AA32" s="26" t="n">
        <v>571.01</v>
      </c>
      <c r="AB32" s="30" t="n">
        <v>20</v>
      </c>
      <c r="AC32" s="30" t="n">
        <v>214</v>
      </c>
      <c r="AD32" s="30" t="n">
        <v>46336</v>
      </c>
      <c r="AE32" s="26" t="n">
        <v>1477.93</v>
      </c>
      <c r="AF32" s="30" t="n">
        <v>66</v>
      </c>
      <c r="AG32" s="30" t="n">
        <v>59</v>
      </c>
      <c r="AH32" s="30" t="n">
        <v>597</v>
      </c>
      <c r="AI32" s="26" t="n">
        <v>8.84</v>
      </c>
      <c r="AJ32" s="28" t="n">
        <f aca="false">IF(N(AA32)=0,"",Z32/AA32)</f>
        <v>0.326404090996655</v>
      </c>
      <c r="AK32" s="28" t="n">
        <f aca="false">IF(N(AE32)=0,"",Z32/AE32)</f>
        <v>0.126108814355213</v>
      </c>
      <c r="AL32" s="39" t="n">
        <f aca="false">IF(N(Z32)=0,"",AA32/Z32)</f>
        <v>3.06368709088958</v>
      </c>
      <c r="AM32" s="29" t="n">
        <f aca="false">IF(N(AC32)=0,"",Z32/AC32)</f>
        <v>0.870934579439252</v>
      </c>
      <c r="AN32" s="28" t="n">
        <f aca="false">IF(N(AD32)=0,"",AC32/AD32)</f>
        <v>0.00461843922651934</v>
      </c>
      <c r="AO32" s="28" t="n">
        <f aca="false">IF(N(AC32)=0,"",AB32/AC32)</f>
        <v>0.0934579439252336</v>
      </c>
      <c r="AP32" s="28" t="n">
        <f aca="false">IF(N(AG32)=0,"",AB32/AG32)</f>
        <v>0.338983050847458</v>
      </c>
      <c r="AQ32" s="29" t="n">
        <f aca="false">IF(N(AF32)=0,"",AE32/AF32)</f>
        <v>22.3928787878788</v>
      </c>
      <c r="AR32" s="26" t="n">
        <f aca="false">IF(N(26)=0,"",Z32/26)</f>
        <v>7.16846153846154</v>
      </c>
      <c r="AS32" s="39" t="n">
        <f aca="false">IF(N(26)=0,"",AF32/26)</f>
        <v>2.53846153846154</v>
      </c>
      <c r="AT32" s="28" t="n">
        <f aca="false">IF(N(AE32)=0,"",AI32/AE32)</f>
        <v>0.00598133876435284</v>
      </c>
      <c r="AU32" s="27" t="n">
        <f aca="false">IF(OR(W32="",AR32=""),"",IF(N(W32)=0,"",AR32/W32-1))</f>
        <v>-0.361099684629097</v>
      </c>
      <c r="AV32" s="27" t="n">
        <f aca="false">IF(N(F32)=0,"",(AA32/26)/(F32/30)-1)</f>
        <v>0.0814596988127512</v>
      </c>
      <c r="AW32" s="27" t="n">
        <f aca="false">IF(OR(X32="",AS32=""),"",IF(N(X32)=0,"",AS32/X32-1))</f>
        <v>0.730769230769231</v>
      </c>
      <c r="AX32" s="27" t="n">
        <f aca="false">IF(OR(O32="",AJ32=""),"",AJ32-O32)</f>
        <v>-0.226096606605236</v>
      </c>
      <c r="AY32" s="27" t="n">
        <f aca="false">IF(OR(P32="",AK32=""),"",AK32-P32)</f>
        <v>-0.200259537804578</v>
      </c>
      <c r="AZ32" s="27" t="n">
        <f aca="false">IF(OR(R32="",AM32=""),"",IF(N(R32)=0,"",AM32/R32-1))</f>
        <v>-0.332438735902177</v>
      </c>
      <c r="BA32" s="27" t="n">
        <f aca="false">IF(OR(T32="",AO32=""),"",AO32-T32)</f>
        <v>0.00431065710352821</v>
      </c>
      <c r="BB32" s="27" t="n">
        <f aca="false">IF(OR(V32="",AQ32=""),"",IF(N(V32)=0,"",AQ32/V32-1))</f>
        <v>-0.0446631437759569</v>
      </c>
    </row>
    <row r="33" customFormat="false" ht="15" hidden="false" customHeight="false" outlineLevel="0" collapsed="false">
      <c r="A33" s="18" t="s">
        <v>225</v>
      </c>
      <c r="B33" s="18" t="s">
        <v>67</v>
      </c>
      <c r="C33" s="14" t="s">
        <v>226</v>
      </c>
      <c r="D33" s="18" t="s">
        <v>227</v>
      </c>
      <c r="E33" s="26" t="n">
        <v>108.23</v>
      </c>
      <c r="F33" s="26" t="n">
        <v>1235.12</v>
      </c>
      <c r="G33" s="30" t="n">
        <v>31</v>
      </c>
      <c r="H33" s="30" t="n">
        <v>115</v>
      </c>
      <c r="I33" s="30" t="n">
        <v>20008</v>
      </c>
      <c r="J33" s="26" t="n">
        <v>4490.41</v>
      </c>
      <c r="K33" s="30" t="n">
        <v>122</v>
      </c>
      <c r="L33" s="30" t="n">
        <v>111</v>
      </c>
      <c r="M33" s="30" t="n">
        <v>1138</v>
      </c>
      <c r="N33" s="26" t="n">
        <v>245.3</v>
      </c>
      <c r="O33" s="28" t="n">
        <f aca="false">IF(N(F33)=0,"",E33/F33)</f>
        <v>0.0876271131549971</v>
      </c>
      <c r="P33" s="28" t="n">
        <f aca="false">IF(N(J33)=0,"",E33/J33)</f>
        <v>0.0241024761658735</v>
      </c>
      <c r="Q33" s="39" t="n">
        <f aca="false">IF(N(E33)=0,"",F33/E33)</f>
        <v>11.4119929779174</v>
      </c>
      <c r="R33" s="29" t="n">
        <f aca="false">IF(N(H33)=0,"",E33/H33)</f>
        <v>0.941130434782609</v>
      </c>
      <c r="S33" s="28" t="n">
        <f aca="false">IF(N(I33)=0,"",H33/I33)</f>
        <v>0.00574770091963215</v>
      </c>
      <c r="T33" s="28" t="n">
        <f aca="false">IF(N(H33)=0,"",G33/H33)</f>
        <v>0.269565217391304</v>
      </c>
      <c r="U33" s="28" t="n">
        <f aca="false">IF(N(L33)=0,"",G33/L33)</f>
        <v>0.279279279279279</v>
      </c>
      <c r="V33" s="29" t="n">
        <f aca="false">IF(N(K33)=0,"",J33/K33)</f>
        <v>36.8066393442623</v>
      </c>
      <c r="W33" s="26" t="n">
        <f aca="false">IF(N(30)=0,"",E33/30)</f>
        <v>3.60766666666667</v>
      </c>
      <c r="X33" s="39" t="n">
        <f aca="false">IF(N(30)=0,"",K33/30)</f>
        <v>4.06666666666667</v>
      </c>
      <c r="Y33" s="28" t="n">
        <f aca="false">IF(N(J33)=0,"",N33/J33)</f>
        <v>0.0546275284439506</v>
      </c>
      <c r="Z33" s="26" t="n">
        <v>357.25</v>
      </c>
      <c r="AA33" s="26" t="n">
        <v>2312.08</v>
      </c>
      <c r="AB33" s="30" t="n">
        <v>61</v>
      </c>
      <c r="AC33" s="30" t="n">
        <v>532</v>
      </c>
      <c r="AD33" s="30" t="n">
        <v>81026</v>
      </c>
      <c r="AE33" s="26" t="n">
        <v>7478.2</v>
      </c>
      <c r="AF33" s="30" t="n">
        <v>209</v>
      </c>
      <c r="AG33" s="30" t="n">
        <v>197</v>
      </c>
      <c r="AH33" s="30" t="n">
        <v>2013</v>
      </c>
      <c r="AI33" s="26" t="n">
        <v>265.08</v>
      </c>
      <c r="AJ33" s="28" t="n">
        <f aca="false">IF(N(AA33)=0,"",Z33/AA33)</f>
        <v>0.154514549669562</v>
      </c>
      <c r="AK33" s="28" t="n">
        <f aca="false">IF(N(AE33)=0,"",Z33/AE33)</f>
        <v>0.0477721911689979</v>
      </c>
      <c r="AL33" s="39" t="n">
        <f aca="false">IF(N(Z33)=0,"",AA33/Z33)</f>
        <v>6.47188243526942</v>
      </c>
      <c r="AM33" s="29" t="n">
        <f aca="false">IF(N(AC33)=0,"",Z33/AC33)</f>
        <v>0.671522556390978</v>
      </c>
      <c r="AN33" s="28" t="n">
        <f aca="false">IF(N(AD33)=0,"",AC33/AD33)</f>
        <v>0.00656579369585071</v>
      </c>
      <c r="AO33" s="28" t="n">
        <f aca="false">IF(N(AC33)=0,"",AB33/AC33)</f>
        <v>0.114661654135338</v>
      </c>
      <c r="AP33" s="28" t="n">
        <f aca="false">IF(N(AG33)=0,"",AB33/AG33)</f>
        <v>0.309644670050761</v>
      </c>
      <c r="AQ33" s="29" t="n">
        <f aca="false">IF(N(AF33)=0,"",AE33/AF33)</f>
        <v>35.7808612440191</v>
      </c>
      <c r="AR33" s="26" t="n">
        <f aca="false">IF(N(26)=0,"",Z33/26)</f>
        <v>13.7403846153846</v>
      </c>
      <c r="AS33" s="39" t="n">
        <f aca="false">IF(N(26)=0,"",AF33/26)</f>
        <v>8.03846153846154</v>
      </c>
      <c r="AT33" s="28" t="n">
        <f aca="false">IF(N(AE33)=0,"",AI33/AE33)</f>
        <v>0.0354470327084058</v>
      </c>
      <c r="AU33" s="27" t="n">
        <f aca="false">IF(OR(W33="",AR33=""),"",IF(N(W33)=0,"",AR33/W33-1))</f>
        <v>2.80866246384125</v>
      </c>
      <c r="AV33" s="27" t="n">
        <f aca="false">IF(N(F33)=0,"",(AA33/26)/(F33/30)-1)</f>
        <v>1.1599396134664</v>
      </c>
      <c r="AW33" s="27" t="n">
        <f aca="false">IF(OR(X33="",AS33=""),"",IF(N(X33)=0,"",AS33/X33-1))</f>
        <v>0.976670870113493</v>
      </c>
      <c r="AX33" s="27" t="n">
        <f aca="false">IF(OR(O33="",AJ33=""),"",AJ33-O33)</f>
        <v>0.0668874365145645</v>
      </c>
      <c r="AY33" s="27" t="n">
        <f aca="false">IF(OR(P33="",AK33=""),"",AK33-P33)</f>
        <v>0.0236697150031244</v>
      </c>
      <c r="AZ33" s="27" t="n">
        <f aca="false">IF(OR(R33="",AM33=""),"",IF(N(R33)=0,"",AM33/R33-1))</f>
        <v>-0.286472383027235</v>
      </c>
      <c r="BA33" s="27" t="n">
        <f aca="false">IF(OR(T33="",AO33=""),"",AO33-T33)</f>
        <v>-0.154903563255966</v>
      </c>
      <c r="BB33" s="27" t="n">
        <f aca="false">IF(OR(V33="",AQ33=""),"",IF(N(V33)=0,"",AQ33/V33-1))</f>
        <v>-0.0278693767895728</v>
      </c>
    </row>
    <row r="34" customFormat="false" ht="15" hidden="false" customHeight="false" outlineLevel="0" collapsed="false">
      <c r="A34" s="18" t="s">
        <v>228</v>
      </c>
      <c r="B34" s="18" t="s">
        <v>130</v>
      </c>
      <c r="C34" s="14" t="s">
        <v>229</v>
      </c>
      <c r="D34" s="18" t="s">
        <v>201</v>
      </c>
      <c r="E34" s="26" t="n">
        <v>280.31</v>
      </c>
      <c r="F34" s="26" t="n">
        <v>1338.43</v>
      </c>
      <c r="G34" s="30" t="n">
        <v>26</v>
      </c>
      <c r="H34" s="30" t="n">
        <v>468</v>
      </c>
      <c r="I34" s="30" t="n">
        <v>79411</v>
      </c>
      <c r="J34" s="26" t="n">
        <v>6419.17</v>
      </c>
      <c r="K34" s="30" t="n">
        <v>113</v>
      </c>
      <c r="L34" s="30" t="n">
        <v>105</v>
      </c>
      <c r="M34" s="30" t="n">
        <v>2066</v>
      </c>
      <c r="N34" s="26" t="n">
        <v>1345</v>
      </c>
      <c r="O34" s="28" t="n">
        <f aca="false">IF(N(F34)=0,"",E34/F34)</f>
        <v>0.209431946384944</v>
      </c>
      <c r="P34" s="28" t="n">
        <f aca="false">IF(N(J34)=0,"",E34/J34)</f>
        <v>0.0436676392742364</v>
      </c>
      <c r="Q34" s="39" t="n">
        <f aca="false">IF(N(E34)=0,"",F34/E34)</f>
        <v>4.77482073418715</v>
      </c>
      <c r="R34" s="29" t="n">
        <f aca="false">IF(N(H34)=0,"",E34/H34)</f>
        <v>0.598952991452991</v>
      </c>
      <c r="S34" s="28" t="n">
        <f aca="false">IF(N(I34)=0,"",H34/I34)</f>
        <v>0.00589339008449711</v>
      </c>
      <c r="T34" s="28" t="n">
        <f aca="false">IF(N(H34)=0,"",G34/H34)</f>
        <v>0.0555555555555556</v>
      </c>
      <c r="U34" s="28" t="n">
        <f aca="false">IF(N(L34)=0,"",G34/L34)</f>
        <v>0.247619047619048</v>
      </c>
      <c r="V34" s="29" t="n">
        <f aca="false">IF(N(K34)=0,"",J34/K34)</f>
        <v>56.806814159292</v>
      </c>
      <c r="W34" s="26" t="n">
        <f aca="false">IF(N(30)=0,"",E34/30)</f>
        <v>9.34366666666667</v>
      </c>
      <c r="X34" s="39" t="n">
        <f aca="false">IF(N(30)=0,"",K34/30)</f>
        <v>3.76666666666667</v>
      </c>
      <c r="Y34" s="28" t="n">
        <f aca="false">IF(N(J34)=0,"",N34/J34)</f>
        <v>0.209528646226849</v>
      </c>
      <c r="Z34" s="26" t="n">
        <v>177.07</v>
      </c>
      <c r="AA34" s="26" t="n">
        <v>845.68</v>
      </c>
      <c r="AB34" s="30" t="n">
        <v>17</v>
      </c>
      <c r="AC34" s="30" t="n">
        <v>248</v>
      </c>
      <c r="AD34" s="30" t="n">
        <v>20750</v>
      </c>
      <c r="AE34" s="26" t="n">
        <v>8384.42</v>
      </c>
      <c r="AF34" s="30" t="n">
        <v>149</v>
      </c>
      <c r="AG34" s="30" t="n">
        <v>133</v>
      </c>
      <c r="AH34" s="30" t="n">
        <v>3378</v>
      </c>
      <c r="AI34" s="26" t="n">
        <v>2277.16</v>
      </c>
      <c r="AJ34" s="28" t="n">
        <f aca="false">IF(N(AA34)=0,"",Z34/AA34)</f>
        <v>0.209381799262132</v>
      </c>
      <c r="AK34" s="28" t="n">
        <f aca="false">IF(N(AE34)=0,"",Z34/AE34)</f>
        <v>0.0211189324962251</v>
      </c>
      <c r="AL34" s="39" t="n">
        <f aca="false">IF(N(Z34)=0,"",AA34/Z34)</f>
        <v>4.77596430790083</v>
      </c>
      <c r="AM34" s="29" t="n">
        <f aca="false">IF(N(AC34)=0,"",Z34/AC34)</f>
        <v>0.713991935483871</v>
      </c>
      <c r="AN34" s="28" t="n">
        <f aca="false">IF(N(AD34)=0,"",AC34/AD34)</f>
        <v>0.0119518072289157</v>
      </c>
      <c r="AO34" s="28" t="n">
        <f aca="false">IF(N(AC34)=0,"",AB34/AC34)</f>
        <v>0.0685483870967742</v>
      </c>
      <c r="AP34" s="28" t="n">
        <f aca="false">IF(N(AG34)=0,"",AB34/AG34)</f>
        <v>0.12781954887218</v>
      </c>
      <c r="AQ34" s="29" t="n">
        <f aca="false">IF(N(AF34)=0,"",AE34/AF34)</f>
        <v>56.2712751677852</v>
      </c>
      <c r="AR34" s="26" t="n">
        <f aca="false">IF(N(26)=0,"",Z34/26)</f>
        <v>6.81038461538462</v>
      </c>
      <c r="AS34" s="39" t="n">
        <f aca="false">IF(N(26)=0,"",AF34/26)</f>
        <v>5.73076923076923</v>
      </c>
      <c r="AT34" s="28" t="n">
        <f aca="false">IF(N(AE34)=0,"",AI34/AE34)</f>
        <v>0.271594218801062</v>
      </c>
      <c r="AU34" s="27" t="n">
        <f aca="false">IF(OR(W34="",AR34=""),"",IF(N(W34)=0,"",AR34/W34-1))</f>
        <v>-0.271122905135249</v>
      </c>
      <c r="AV34" s="27" t="n">
        <f aca="false">IF(N(F34)=0,"",(AA34/26)/(F34/30)-1)</f>
        <v>-0.27094833843786</v>
      </c>
      <c r="AW34" s="27" t="n">
        <f aca="false">IF(OR(X34="",AS34=""),"",IF(N(X34)=0,"",AS34/X34-1))</f>
        <v>0.5214431586113</v>
      </c>
      <c r="AX34" s="27" t="n">
        <f aca="false">IF(OR(O34="",AJ34=""),"",AJ34-O34)</f>
        <v>-5.01471228113171E-005</v>
      </c>
      <c r="AY34" s="27" t="n">
        <f aca="false">IF(OR(P34="",AK34=""),"",AK34-P34)</f>
        <v>-0.0225487067780113</v>
      </c>
      <c r="AZ34" s="27" t="n">
        <f aca="false">IF(OR(R34="",AM34=""),"",IF(N(R34)=0,"",AM34/R34-1))</f>
        <v>0.192066732569126</v>
      </c>
      <c r="BA34" s="27" t="n">
        <f aca="false">IF(OR(T34="",AO34=""),"",AO34-T34)</f>
        <v>0.0129928315412186</v>
      </c>
      <c r="BB34" s="27" t="n">
        <f aca="false">IF(OR(V34="",AQ34=""),"",IF(N(V34)=0,"",AQ34/V34-1))</f>
        <v>-0.00942737239242286</v>
      </c>
    </row>
    <row r="35" customFormat="false" ht="15" hidden="false" customHeight="false" outlineLevel="0" collapsed="false">
      <c r="A35" s="18" t="s">
        <v>108</v>
      </c>
      <c r="B35" s="18" t="s">
        <v>109</v>
      </c>
      <c r="C35" s="14" t="s">
        <v>110</v>
      </c>
      <c r="D35" s="18" t="s">
        <v>230</v>
      </c>
      <c r="E35" s="26" t="n">
        <v>232.37</v>
      </c>
      <c r="F35" s="26" t="n">
        <v>406.74</v>
      </c>
      <c r="G35" s="30" t="n">
        <v>17</v>
      </c>
      <c r="H35" s="30" t="n">
        <v>357</v>
      </c>
      <c r="I35" s="30" t="n">
        <v>42168</v>
      </c>
      <c r="J35" s="26" t="n">
        <v>627.39</v>
      </c>
      <c r="K35" s="30" t="n">
        <v>27</v>
      </c>
      <c r="L35" s="30" t="n">
        <v>26</v>
      </c>
      <c r="M35" s="30" t="n">
        <v>529</v>
      </c>
      <c r="N35" s="26" t="n">
        <v>-134.18</v>
      </c>
      <c r="O35" s="28" t="n">
        <f aca="false">IF(N(F35)=0,"",E35/F35)</f>
        <v>0.571298618281949</v>
      </c>
      <c r="P35" s="28" t="n">
        <f aca="false">IF(N(J35)=0,"",E35/J35)</f>
        <v>0.370375683386729</v>
      </c>
      <c r="Q35" s="39" t="n">
        <f aca="false">IF(N(E35)=0,"",F35/E35)</f>
        <v>1.75039807204028</v>
      </c>
      <c r="R35" s="29" t="n">
        <f aca="false">IF(N(H35)=0,"",E35/H35)</f>
        <v>0.650896358543417</v>
      </c>
      <c r="S35" s="28" t="n">
        <f aca="false">IF(N(I35)=0,"",H35/I35)</f>
        <v>0.00846613545816733</v>
      </c>
      <c r="T35" s="28" t="n">
        <f aca="false">IF(N(H35)=0,"",G35/H35)</f>
        <v>0.0476190476190476</v>
      </c>
      <c r="U35" s="28" t="n">
        <f aca="false">IF(N(L35)=0,"",G35/L35)</f>
        <v>0.653846153846154</v>
      </c>
      <c r="V35" s="29" t="n">
        <f aca="false">IF(N(K35)=0,"",J35/K35)</f>
        <v>23.2366666666667</v>
      </c>
      <c r="W35" s="26" t="n">
        <f aca="false">IF(N(30)=0,"",E35/30)</f>
        <v>7.74566666666667</v>
      </c>
      <c r="X35" s="39" t="n">
        <f aca="false">IF(N(30)=0,"",K35/30)</f>
        <v>0.9</v>
      </c>
      <c r="Y35" s="28" t="n">
        <f aca="false">IF(N(J35)=0,"",N35/J35)</f>
        <v>-0.213870160506224</v>
      </c>
      <c r="Z35" s="26" t="n">
        <v>221.31</v>
      </c>
      <c r="AA35" s="26" t="n">
        <v>320.61</v>
      </c>
      <c r="AB35" s="30" t="n">
        <v>13</v>
      </c>
      <c r="AC35" s="30" t="n">
        <v>349</v>
      </c>
      <c r="AD35" s="30" t="n">
        <v>45445</v>
      </c>
      <c r="AE35" s="26" t="n">
        <v>435.12</v>
      </c>
      <c r="AF35" s="30" t="n">
        <v>19</v>
      </c>
      <c r="AG35" s="30" t="n">
        <v>18</v>
      </c>
      <c r="AH35" s="30" t="n">
        <v>435</v>
      </c>
      <c r="AI35" s="26" t="n">
        <v>-88.24</v>
      </c>
      <c r="AJ35" s="28" t="n">
        <f aca="false">IF(N(AA35)=0,"",Z35/AA35)</f>
        <v>0.690277907738374</v>
      </c>
      <c r="AK35" s="28" t="n">
        <f aca="false">IF(N(AE35)=0,"",Z35/AE35)</f>
        <v>0.508618312189741</v>
      </c>
      <c r="AL35" s="39" t="n">
        <f aca="false">IF(N(Z35)=0,"",AA35/Z35)</f>
        <v>1.44869188016809</v>
      </c>
      <c r="AM35" s="29" t="n">
        <f aca="false">IF(N(AC35)=0,"",Z35/AC35)</f>
        <v>0.634126074498567</v>
      </c>
      <c r="AN35" s="28" t="n">
        <f aca="false">IF(N(AD35)=0,"",AC35/AD35)</f>
        <v>0.00767961271867092</v>
      </c>
      <c r="AO35" s="28" t="n">
        <f aca="false">IF(N(AC35)=0,"",AB35/AC35)</f>
        <v>0.0372492836676218</v>
      </c>
      <c r="AP35" s="28" t="n">
        <f aca="false">IF(N(AG35)=0,"",AB35/AG35)</f>
        <v>0.722222222222222</v>
      </c>
      <c r="AQ35" s="29" t="n">
        <f aca="false">IF(N(AF35)=0,"",AE35/AF35)</f>
        <v>22.901052631579</v>
      </c>
      <c r="AR35" s="26" t="n">
        <f aca="false">IF(N(26)=0,"",Z35/26)</f>
        <v>8.51192307692308</v>
      </c>
      <c r="AS35" s="39" t="n">
        <f aca="false">IF(N(26)=0,"",AF35/26)</f>
        <v>0.730769230769231</v>
      </c>
      <c r="AT35" s="28" t="n">
        <f aca="false">IF(N(AE35)=0,"",AI35/AE35)</f>
        <v>-0.20279463136606</v>
      </c>
      <c r="AU35" s="27" t="n">
        <f aca="false">IF(OR(W35="",AR35=""),"",IF(N(W35)=0,"",AR35/W35-1))</f>
        <v>0.098927108954221</v>
      </c>
      <c r="AV35" s="27" t="n">
        <f aca="false">IF(N(F35)=0,"",(AA35/26)/(F35/30)-1)</f>
        <v>-0.0904887264969873</v>
      </c>
      <c r="AW35" s="27" t="n">
        <f aca="false">IF(OR(X35="",AS35=""),"",IF(N(X35)=0,"",AS35/X35-1))</f>
        <v>-0.188034188034188</v>
      </c>
      <c r="AX35" s="27" t="n">
        <f aca="false">IF(OR(O35="",AJ35=""),"",AJ35-O35)</f>
        <v>0.118979289456425</v>
      </c>
      <c r="AY35" s="27" t="n">
        <f aca="false">IF(OR(P35="",AK35=""),"",AK35-P35)</f>
        <v>0.138242628803012</v>
      </c>
      <c r="AZ35" s="27" t="n">
        <f aca="false">IF(OR(R35="",AM35=""),"",IF(N(R35)=0,"",AM35/R35-1))</f>
        <v>-0.0257649068468884</v>
      </c>
      <c r="BA35" s="27" t="n">
        <f aca="false">IF(OR(T35="",AO35=""),"",AO35-T35)</f>
        <v>-0.0103697639514258</v>
      </c>
      <c r="BB35" s="27" t="n">
        <f aca="false">IF(OR(V35="",AQ35=""),"",IF(N(V35)=0,"",AQ35/V35-1))</f>
        <v>-0.0144432951551161</v>
      </c>
    </row>
    <row r="36" customFormat="false" ht="15" hidden="false" customHeight="false" outlineLevel="0" collapsed="false">
      <c r="A36" s="18" t="s">
        <v>231</v>
      </c>
      <c r="B36" s="18" t="s">
        <v>181</v>
      </c>
      <c r="C36" s="14" t="s">
        <v>232</v>
      </c>
      <c r="D36" s="18" t="s">
        <v>201</v>
      </c>
      <c r="E36" s="26" t="n">
        <v>395.31</v>
      </c>
      <c r="F36" s="26" t="n">
        <v>590.5</v>
      </c>
      <c r="G36" s="30" t="n">
        <v>19</v>
      </c>
      <c r="H36" s="30" t="n">
        <v>591</v>
      </c>
      <c r="I36" s="30" t="n">
        <v>59661</v>
      </c>
      <c r="J36" s="26" t="n">
        <v>776.74</v>
      </c>
      <c r="K36" s="30" t="n">
        <v>26</v>
      </c>
      <c r="L36" s="30" t="n">
        <v>25</v>
      </c>
      <c r="M36" s="30" t="n">
        <v>987</v>
      </c>
      <c r="N36" s="26" t="n">
        <v>-1874.94</v>
      </c>
      <c r="O36" s="28" t="n">
        <f aca="false">IF(N(F36)=0,"",E36/F36)</f>
        <v>0.669449618966977</v>
      </c>
      <c r="P36" s="28" t="n">
        <f aca="false">IF(N(J36)=0,"",E36/J36)</f>
        <v>0.508934778690424</v>
      </c>
      <c r="Q36" s="39" t="n">
        <f aca="false">IF(N(E36)=0,"",F36/E36)</f>
        <v>1.49376438744277</v>
      </c>
      <c r="R36" s="29" t="n">
        <f aca="false">IF(N(H36)=0,"",E36/H36)</f>
        <v>0.668883248730965</v>
      </c>
      <c r="S36" s="28" t="n">
        <f aca="false">IF(N(I36)=0,"",H36/I36)</f>
        <v>0.00990596872328657</v>
      </c>
      <c r="T36" s="28" t="n">
        <f aca="false">IF(N(H36)=0,"",G36/H36)</f>
        <v>0.0321489001692047</v>
      </c>
      <c r="U36" s="28" t="n">
        <f aca="false">IF(N(L36)=0,"",G36/L36)</f>
        <v>0.76</v>
      </c>
      <c r="V36" s="29" t="n">
        <f aca="false">IF(N(K36)=0,"",J36/K36)</f>
        <v>29.8746153846154</v>
      </c>
      <c r="W36" s="26" t="n">
        <f aca="false">IF(N(30)=0,"",E36/30)</f>
        <v>13.177</v>
      </c>
      <c r="X36" s="39" t="n">
        <f aca="false">IF(N(30)=0,"",K36/30)</f>
        <v>0.866666666666667</v>
      </c>
      <c r="Y36" s="28" t="n">
        <f aca="false">IF(N(J36)=0,"",N36/J36)</f>
        <v>-2.41385791899477</v>
      </c>
      <c r="Z36" s="26" t="n">
        <v>30.09</v>
      </c>
      <c r="AA36" s="26" t="n">
        <v>214.95</v>
      </c>
      <c r="AB36" s="30" t="n">
        <v>5</v>
      </c>
      <c r="AC36" s="30" t="n">
        <v>23</v>
      </c>
      <c r="AD36" s="30" t="n">
        <v>3278</v>
      </c>
      <c r="AE36" s="26" t="n">
        <v>59.98</v>
      </c>
      <c r="AF36" s="30" t="n">
        <v>2</v>
      </c>
      <c r="AG36" s="30" t="n">
        <v>2</v>
      </c>
      <c r="AH36" s="30" t="n">
        <v>43</v>
      </c>
      <c r="AI36" s="26" t="n">
        <v>9.82</v>
      </c>
      <c r="AJ36" s="28" t="n">
        <f aca="false">IF(N(AA36)=0,"",Z36/AA36)</f>
        <v>0.139986043265876</v>
      </c>
      <c r="AK36" s="28" t="n">
        <f aca="false">IF(N(AE36)=0,"",Z36/AE36)</f>
        <v>0.501667222407469</v>
      </c>
      <c r="AL36" s="39" t="n">
        <f aca="false">IF(N(Z36)=0,"",AA36/Z36)</f>
        <v>7.14356929212363</v>
      </c>
      <c r="AM36" s="29" t="n">
        <f aca="false">IF(N(AC36)=0,"",Z36/AC36)</f>
        <v>1.30826086956522</v>
      </c>
      <c r="AN36" s="28" t="n">
        <f aca="false">IF(N(AD36)=0,"",AC36/AD36)</f>
        <v>0.00701647345942648</v>
      </c>
      <c r="AO36" s="28" t="n">
        <f aca="false">IF(N(AC36)=0,"",AB36/AC36)</f>
        <v>0.217391304347826</v>
      </c>
      <c r="AP36" s="28" t="n">
        <f aca="false">IF(N(AG36)=0,"",AB36/AG36)</f>
        <v>2.5</v>
      </c>
      <c r="AQ36" s="29" t="n">
        <f aca="false">IF(N(AF36)=0,"",AE36/AF36)</f>
        <v>29.99</v>
      </c>
      <c r="AR36" s="26" t="n">
        <f aca="false">IF(N(26)=0,"",Z36/26)</f>
        <v>1.15730769230769</v>
      </c>
      <c r="AS36" s="39" t="n">
        <f aca="false">IF(N(26)=0,"",AF36/26)</f>
        <v>0.0769230769230769</v>
      </c>
      <c r="AT36" s="28" t="n">
        <f aca="false">IF(N(AE36)=0,"",AI36/AE36)</f>
        <v>0.163721240413471</v>
      </c>
      <c r="AU36" s="27" t="n">
        <f aca="false">IF(OR(W36="",AR36=""),"",IF(N(W36)=0,"",AR36/W36-1))</f>
        <v>-0.912172141435251</v>
      </c>
      <c r="AV36" s="27" t="n">
        <f aca="false">IF(N(F36)=0,"",(AA36/26)/(F36/30)-1)</f>
        <v>-0.579984367875985</v>
      </c>
      <c r="AW36" s="27" t="n">
        <f aca="false">IF(OR(X36="",AS36=""),"",IF(N(X36)=0,"",AS36/X36-1))</f>
        <v>-0.911242603550296</v>
      </c>
      <c r="AX36" s="27" t="n">
        <f aca="false">IF(OR(O36="",AJ36=""),"",AJ36-O36)</f>
        <v>-0.529463575701101</v>
      </c>
      <c r="AY36" s="27" t="n">
        <f aca="false">IF(OR(P36="",AK36=""),"",AK36-P36)</f>
        <v>-0.00726755628295484</v>
      </c>
      <c r="AZ36" s="27" t="n">
        <f aca="false">IF(OR(R36="",AM36=""),"",IF(N(R36)=0,"",AM36/R36-1))</f>
        <v>0.955888224211488</v>
      </c>
      <c r="BA36" s="27" t="n">
        <f aca="false">IF(OR(T36="",AO36=""),"",AO36-T36)</f>
        <v>0.185242404178621</v>
      </c>
      <c r="BB36" s="27" t="n">
        <f aca="false">IF(OR(V36="",AQ36=""),"",IF(N(V36)=0,"",AQ36/V36-1))</f>
        <v>0.00386229626387191</v>
      </c>
    </row>
    <row r="37" customFormat="false" ht="15" hidden="false" customHeight="false" outlineLevel="0" collapsed="false">
      <c r="A37" s="18" t="s">
        <v>125</v>
      </c>
      <c r="B37" s="18" t="s">
        <v>104</v>
      </c>
      <c r="C37" s="14" t="s">
        <v>126</v>
      </c>
      <c r="D37" s="18" t="s">
        <v>233</v>
      </c>
      <c r="E37" s="26" t="n">
        <v>96.79</v>
      </c>
      <c r="F37" s="26" t="n">
        <v>402.92</v>
      </c>
      <c r="G37" s="30" t="n">
        <v>8</v>
      </c>
      <c r="H37" s="30" t="n">
        <v>109</v>
      </c>
      <c r="I37" s="30" t="n">
        <v>15927</v>
      </c>
      <c r="J37" s="26" t="n">
        <v>419.92</v>
      </c>
      <c r="K37" s="30" t="n">
        <v>9</v>
      </c>
      <c r="L37" s="30" t="n">
        <v>8</v>
      </c>
      <c r="M37" s="30" t="n">
        <v>127</v>
      </c>
      <c r="N37" s="26" t="n">
        <v>-133.8</v>
      </c>
      <c r="O37" s="28" t="n">
        <f aca="false">IF(N(F37)=0,"",E37/F37)</f>
        <v>0.240221383897548</v>
      </c>
      <c r="P37" s="28" t="n">
        <f aca="false">IF(N(J37)=0,"",E37/J37)</f>
        <v>0.230496285006668</v>
      </c>
      <c r="Q37" s="39" t="n">
        <f aca="false">IF(N(E37)=0,"",F37/E37)</f>
        <v>4.16282673829941</v>
      </c>
      <c r="R37" s="29" t="n">
        <f aca="false">IF(N(H37)=0,"",E37/H37)</f>
        <v>0.887981651376147</v>
      </c>
      <c r="S37" s="28" t="n">
        <f aca="false">IF(N(I37)=0,"",H37/I37)</f>
        <v>0.00684372449299931</v>
      </c>
      <c r="T37" s="28" t="n">
        <f aca="false">IF(N(H37)=0,"",G37/H37)</f>
        <v>0.073394495412844</v>
      </c>
      <c r="U37" s="28" t="n">
        <f aca="false">IF(N(L37)=0,"",G37/L37)</f>
        <v>1</v>
      </c>
      <c r="V37" s="29" t="n">
        <f aca="false">IF(N(K37)=0,"",J37/K37)</f>
        <v>46.6577777777778</v>
      </c>
      <c r="W37" s="26" t="n">
        <f aca="false">IF(N(30)=0,"",E37/30)</f>
        <v>3.22633333333333</v>
      </c>
      <c r="X37" s="39" t="n">
        <f aca="false">IF(N(30)=0,"",K37/30)</f>
        <v>0.3</v>
      </c>
      <c r="Y37" s="28" t="n">
        <f aca="false">IF(N(J37)=0,"",N37/J37)</f>
        <v>-0.318632120403886</v>
      </c>
      <c r="Z37" s="26" t="n">
        <v>275.23</v>
      </c>
      <c r="AA37" s="26" t="n">
        <v>590.86</v>
      </c>
      <c r="AB37" s="30" t="n">
        <v>14</v>
      </c>
      <c r="AC37" s="30" t="n">
        <v>259</v>
      </c>
      <c r="AD37" s="30" t="n">
        <v>21046</v>
      </c>
      <c r="AE37" s="26" t="n">
        <v>718.83</v>
      </c>
      <c r="AF37" s="30" t="n">
        <v>18</v>
      </c>
      <c r="AG37" s="30" t="n">
        <v>18</v>
      </c>
      <c r="AH37" s="30" t="n">
        <v>256</v>
      </c>
      <c r="AI37" s="26" t="n">
        <v>-214.94</v>
      </c>
      <c r="AJ37" s="28" t="n">
        <f aca="false">IF(N(AA37)=0,"",Z37/AA37)</f>
        <v>0.465812544426768</v>
      </c>
      <c r="AK37" s="28" t="n">
        <f aca="false">IF(N(AE37)=0,"",Z37/AE37)</f>
        <v>0.382886078766885</v>
      </c>
      <c r="AL37" s="39" t="n">
        <f aca="false">IF(N(Z37)=0,"",AA37/Z37)</f>
        <v>2.14678632416524</v>
      </c>
      <c r="AM37" s="29" t="n">
        <f aca="false">IF(N(AC37)=0,"",Z37/AC37)</f>
        <v>1.06266409266409</v>
      </c>
      <c r="AN37" s="28" t="n">
        <f aca="false">IF(N(AD37)=0,"",AC37/AD37)</f>
        <v>0.0123063765086002</v>
      </c>
      <c r="AO37" s="28" t="n">
        <f aca="false">IF(N(AC37)=0,"",AB37/AC37)</f>
        <v>0.0540540540540541</v>
      </c>
      <c r="AP37" s="28" t="n">
        <f aca="false">IF(N(AG37)=0,"",AB37/AG37)</f>
        <v>0.777777777777778</v>
      </c>
      <c r="AQ37" s="29" t="n">
        <f aca="false">IF(N(AF37)=0,"",AE37/AF37)</f>
        <v>39.935</v>
      </c>
      <c r="AR37" s="26" t="n">
        <f aca="false">IF(N(26)=0,"",Z37/26)</f>
        <v>10.5857692307692</v>
      </c>
      <c r="AS37" s="39" t="n">
        <f aca="false">IF(N(26)=0,"",AF37/26)</f>
        <v>0.692307692307692</v>
      </c>
      <c r="AT37" s="28" t="n">
        <f aca="false">IF(N(AE37)=0,"",AI37/AE37)</f>
        <v>-0.299013674999652</v>
      </c>
      <c r="AU37" s="27" t="n">
        <f aca="false">IF(OR(W37="",AR37=""),"",IF(N(W37)=0,"",AR37/W37-1))</f>
        <v>2.2810525562876</v>
      </c>
      <c r="AV37" s="27" t="n">
        <f aca="false">IF(N(F37)=0,"",(AA37/26)/(F37/30)-1)</f>
        <v>0.692051867520943</v>
      </c>
      <c r="AW37" s="27" t="n">
        <f aca="false">IF(OR(X37="",AS37=""),"",IF(N(X37)=0,"",AS37/X37-1))</f>
        <v>1.30769230769231</v>
      </c>
      <c r="AX37" s="27" t="n">
        <f aca="false">IF(OR(O37="",AJ37=""),"",AJ37-O37)</f>
        <v>0.22559116052922</v>
      </c>
      <c r="AY37" s="27" t="n">
        <f aca="false">IF(OR(P37="",AK37=""),"",AK37-P37)</f>
        <v>0.152389793760217</v>
      </c>
      <c r="AZ37" s="27" t="n">
        <f aca="false">IF(OR(R37="",AM37=""),"",IF(N(R37)=0,"",AM37/R37-1))</f>
        <v>0.196718525678129</v>
      </c>
      <c r="BA37" s="27" t="n">
        <f aca="false">IF(OR(T37="",AO37=""),"",AO37-T37)</f>
        <v>-0.01934044135879</v>
      </c>
      <c r="BB37" s="27" t="n">
        <f aca="false">IF(OR(V37="",AQ37=""),"",IF(N(V37)=0,"",AQ37/V37-1))</f>
        <v>-0.144086968946466</v>
      </c>
    </row>
    <row r="38" customFormat="false" ht="15" hidden="false" customHeight="false" outlineLevel="0" collapsed="false">
      <c r="A38" s="18" t="s">
        <v>234</v>
      </c>
      <c r="B38" s="18" t="s">
        <v>130</v>
      </c>
      <c r="C38" s="14" t="s">
        <v>235</v>
      </c>
      <c r="D38" s="18" t="s">
        <v>233</v>
      </c>
      <c r="E38" s="26" t="n">
        <v>335.4</v>
      </c>
      <c r="F38" s="26" t="n">
        <v>852.09</v>
      </c>
      <c r="G38" s="30" t="n">
        <v>12</v>
      </c>
      <c r="H38" s="30" t="n">
        <v>491</v>
      </c>
      <c r="I38" s="30" t="n">
        <v>57468</v>
      </c>
      <c r="J38" s="26" t="n">
        <v>1276.01</v>
      </c>
      <c r="K38" s="30" t="n">
        <v>26</v>
      </c>
      <c r="L38" s="30" t="n">
        <v>21</v>
      </c>
      <c r="M38" s="30" t="n">
        <v>629</v>
      </c>
      <c r="N38" s="26" t="n">
        <v>139.75</v>
      </c>
      <c r="O38" s="28" t="n">
        <f aca="false">IF(N(F38)=0,"",E38/F38)</f>
        <v>0.39362039221209</v>
      </c>
      <c r="P38" s="28" t="n">
        <f aca="false">IF(N(J38)=0,"",E38/J38)</f>
        <v>0.262850604619086</v>
      </c>
      <c r="Q38" s="39" t="n">
        <f aca="false">IF(N(E38)=0,"",F38/E38)</f>
        <v>2.54051878354204</v>
      </c>
      <c r="R38" s="29" t="n">
        <f aca="false">IF(N(H38)=0,"",E38/H38)</f>
        <v>0.683095723014257</v>
      </c>
      <c r="S38" s="28" t="n">
        <f aca="false">IF(N(I38)=0,"",H38/I38)</f>
        <v>0.00854388529268462</v>
      </c>
      <c r="T38" s="28" t="n">
        <f aca="false">IF(N(H38)=0,"",G38/H38)</f>
        <v>0.0244399185336049</v>
      </c>
      <c r="U38" s="28" t="n">
        <f aca="false">IF(N(L38)=0,"",G38/L38)</f>
        <v>0.571428571428571</v>
      </c>
      <c r="V38" s="29" t="n">
        <f aca="false">IF(N(K38)=0,"",J38/K38)</f>
        <v>49.0773076923077</v>
      </c>
      <c r="W38" s="26" t="n">
        <f aca="false">IF(N(30)=0,"",E38/30)</f>
        <v>11.18</v>
      </c>
      <c r="X38" s="39" t="n">
        <f aca="false">IF(N(30)=0,"",K38/30)</f>
        <v>0.866666666666667</v>
      </c>
      <c r="Y38" s="28" t="n">
        <f aca="false">IF(N(J38)=0,"",N38/J38)</f>
        <v>0.109521085257953</v>
      </c>
      <c r="Z38" s="26" t="n">
        <v>0</v>
      </c>
      <c r="AA38" s="26" t="n">
        <v>0</v>
      </c>
      <c r="AB38" s="30" t="n">
        <v>0</v>
      </c>
      <c r="AC38" s="30" t="n">
        <v>0</v>
      </c>
      <c r="AD38" s="30" t="n">
        <v>0</v>
      </c>
      <c r="AE38" s="26" t="n">
        <v>0</v>
      </c>
      <c r="AF38" s="30" t="n">
        <v>0</v>
      </c>
      <c r="AG38" s="30" t="n">
        <v>0</v>
      </c>
      <c r="AH38" s="30" t="n">
        <v>0</v>
      </c>
      <c r="AI38" s="26" t="n">
        <v>148.55</v>
      </c>
      <c r="AJ38" s="28" t="str">
        <f aca="false">IF(N(AA38)=0,"",Z38/AA38)</f>
        <v/>
      </c>
      <c r="AK38" s="28" t="str">
        <f aca="false">IF(N(AE38)=0,"",Z38/AE38)</f>
        <v/>
      </c>
      <c r="AL38" s="39" t="str">
        <f aca="false">IF(N(Z38)=0,"",AA38/Z38)</f>
        <v/>
      </c>
      <c r="AM38" s="29" t="str">
        <f aca="false">IF(N(AC38)=0,"",Z38/AC38)</f>
        <v/>
      </c>
      <c r="AN38" s="28" t="str">
        <f aca="false">IF(N(AD38)=0,"",AC38/AD38)</f>
        <v/>
      </c>
      <c r="AO38" s="28" t="str">
        <f aca="false">IF(N(AC38)=0,"",AB38/AC38)</f>
        <v/>
      </c>
      <c r="AP38" s="28" t="str">
        <f aca="false">IF(N(AG38)=0,"",AB38/AG38)</f>
        <v/>
      </c>
      <c r="AQ38" s="29" t="str">
        <f aca="false">IF(N(AF38)=0,"",AE38/AF38)</f>
        <v/>
      </c>
      <c r="AR38" s="26" t="n">
        <f aca="false">IF(N(26)=0,"",Z38/26)</f>
        <v>0</v>
      </c>
      <c r="AS38" s="39" t="n">
        <f aca="false">IF(N(26)=0,"",AF38/26)</f>
        <v>0</v>
      </c>
      <c r="AT38" s="28" t="str">
        <f aca="false">IF(N(AE38)=0,"",AI38/AE38)</f>
        <v/>
      </c>
      <c r="AU38" s="27" t="n">
        <f aca="false">IF(OR(W38="",AR38=""),"",IF(N(W38)=0,"",AR38/W38-1))</f>
        <v>-1</v>
      </c>
      <c r="AV38" s="27" t="n">
        <f aca="false">IF(N(F38)=0,"",(AA38/26)/(F38/30)-1)</f>
        <v>-1</v>
      </c>
      <c r="AW38" s="27" t="n">
        <f aca="false">IF(OR(X38="",AS38=""),"",IF(N(X38)=0,"",AS38/X38-1))</f>
        <v>-1</v>
      </c>
      <c r="AX38" s="27" t="str">
        <f aca="false">IF(OR(O38="",AJ38=""),"",AJ38-O38)</f>
        <v/>
      </c>
      <c r="AY38" s="27" t="str">
        <f aca="false">IF(OR(P38="",AK38=""),"",AK38-P38)</f>
        <v/>
      </c>
      <c r="AZ38" s="27" t="str">
        <f aca="false">IF(OR(R38="",AM38=""),"",IF(N(R38)=0,"",AM38/R38-1))</f>
        <v/>
      </c>
      <c r="BA38" s="27" t="str">
        <f aca="false">IF(OR(T38="",AO38=""),"",AO38-T38)</f>
        <v/>
      </c>
      <c r="BB38" s="27" t="str">
        <f aca="false">IF(OR(V38="",AQ38=""),"",IF(N(V38)=0,"",AQ38/V38-1))</f>
        <v/>
      </c>
    </row>
    <row r="39" customFormat="false" ht="15" hidden="false" customHeight="false" outlineLevel="0" collapsed="false">
      <c r="A39" s="18" t="s">
        <v>236</v>
      </c>
      <c r="B39" s="18" t="s">
        <v>167</v>
      </c>
      <c r="C39" s="14" t="s">
        <v>222</v>
      </c>
      <c r="D39" s="18" t="s">
        <v>219</v>
      </c>
      <c r="E39" s="26" t="n">
        <v>158.41</v>
      </c>
      <c r="F39" s="26" t="n">
        <v>469.9</v>
      </c>
      <c r="G39" s="30" t="n">
        <v>9</v>
      </c>
      <c r="H39" s="30" t="n">
        <v>213</v>
      </c>
      <c r="I39" s="30" t="n">
        <v>24143</v>
      </c>
      <c r="J39" s="26" t="n">
        <v>1039.27</v>
      </c>
      <c r="K39" s="30" t="n">
        <v>23</v>
      </c>
      <c r="L39" s="30" t="n">
        <v>15</v>
      </c>
      <c r="M39" s="30" t="n">
        <v>301</v>
      </c>
      <c r="N39" s="26" t="n">
        <v>-1277.48</v>
      </c>
      <c r="O39" s="28" t="n">
        <f aca="false">IF(N(F39)=0,"",E39/F39)</f>
        <v>0.337114279633965</v>
      </c>
      <c r="P39" s="28" t="n">
        <f aca="false">IF(N(J39)=0,"",E39/J39)</f>
        <v>0.152424297824434</v>
      </c>
      <c r="Q39" s="39" t="n">
        <f aca="false">IF(N(E39)=0,"",F39/E39)</f>
        <v>2.96635313427183</v>
      </c>
      <c r="R39" s="29" t="n">
        <f aca="false">IF(N(H39)=0,"",E39/H39)</f>
        <v>0.743708920187793</v>
      </c>
      <c r="S39" s="28" t="n">
        <f aca="false">IF(N(I39)=0,"",H39/I39)</f>
        <v>0.00882243300335501</v>
      </c>
      <c r="T39" s="28" t="n">
        <f aca="false">IF(N(H39)=0,"",G39/H39)</f>
        <v>0.0422535211267606</v>
      </c>
      <c r="U39" s="28" t="n">
        <f aca="false">IF(N(L39)=0,"",G39/L39)</f>
        <v>0.6</v>
      </c>
      <c r="V39" s="29" t="n">
        <f aca="false">IF(N(K39)=0,"",J39/K39)</f>
        <v>45.185652173913</v>
      </c>
      <c r="W39" s="26" t="n">
        <f aca="false">IF(N(30)=0,"",E39/30)</f>
        <v>5.28033333333333</v>
      </c>
      <c r="X39" s="39" t="n">
        <f aca="false">IF(N(30)=0,"",K39/30)</f>
        <v>0.766666666666667</v>
      </c>
      <c r="Y39" s="28" t="n">
        <f aca="false">IF(N(J39)=0,"",N39/J39)</f>
        <v>-1.22920896398434</v>
      </c>
      <c r="Z39" s="26" t="n">
        <v>142.36</v>
      </c>
      <c r="AA39" s="26" t="n">
        <v>415.38</v>
      </c>
      <c r="AB39" s="30" t="n">
        <v>11</v>
      </c>
      <c r="AC39" s="30" t="n">
        <v>215</v>
      </c>
      <c r="AD39" s="30" t="n">
        <v>14220</v>
      </c>
      <c r="AE39" s="26" t="n">
        <v>928.34</v>
      </c>
      <c r="AF39" s="30" t="n">
        <v>24</v>
      </c>
      <c r="AG39" s="30" t="n">
        <v>23</v>
      </c>
      <c r="AH39" s="30" t="n">
        <v>259</v>
      </c>
      <c r="AI39" s="26" t="n">
        <v>-2831.37</v>
      </c>
      <c r="AJ39" s="28" t="n">
        <f aca="false">IF(N(AA39)=0,"",Z39/AA39)</f>
        <v>0.342722326544369</v>
      </c>
      <c r="AK39" s="28" t="n">
        <f aca="false">IF(N(AE39)=0,"",Z39/AE39)</f>
        <v>0.153348988517138</v>
      </c>
      <c r="AL39" s="39" t="n">
        <f aca="false">IF(N(Z39)=0,"",AA39/Z39)</f>
        <v>2.91781399269458</v>
      </c>
      <c r="AM39" s="29" t="n">
        <f aca="false">IF(N(AC39)=0,"",Z39/AC39)</f>
        <v>0.662139534883721</v>
      </c>
      <c r="AN39" s="28" t="n">
        <f aca="false">IF(N(AD39)=0,"",AC39/AD39)</f>
        <v>0.0151195499296765</v>
      </c>
      <c r="AO39" s="28" t="n">
        <f aca="false">IF(N(AC39)=0,"",AB39/AC39)</f>
        <v>0.0511627906976744</v>
      </c>
      <c r="AP39" s="28" t="n">
        <f aca="false">IF(N(AG39)=0,"",AB39/AG39)</f>
        <v>0.478260869565217</v>
      </c>
      <c r="AQ39" s="29" t="n">
        <f aca="false">IF(N(AF39)=0,"",AE39/AF39)</f>
        <v>38.6808333333333</v>
      </c>
      <c r="AR39" s="26" t="n">
        <f aca="false">IF(N(26)=0,"",Z39/26)</f>
        <v>5.47538461538462</v>
      </c>
      <c r="AS39" s="39" t="n">
        <f aca="false">IF(N(26)=0,"",AF39/26)</f>
        <v>0.923076923076923</v>
      </c>
      <c r="AT39" s="28" t="n">
        <f aca="false">IF(N(AE39)=0,"",AI39/AE39)</f>
        <v>-3.0499278281664</v>
      </c>
      <c r="AU39" s="27" t="n">
        <f aca="false">IF(OR(W39="",AR39=""),"",IF(N(W39)=0,"",AR39/W39-1))</f>
        <v>0.0369391986714127</v>
      </c>
      <c r="AV39" s="27" t="n">
        <f aca="false">IF(N(F39)=0,"",(AA39/26)/(F39/30)-1)</f>
        <v>0.0199715160345082</v>
      </c>
      <c r="AW39" s="27" t="n">
        <f aca="false">IF(OR(X39="",AS39=""),"",IF(N(X39)=0,"",AS39/X39-1))</f>
        <v>0.204013377926422</v>
      </c>
      <c r="AX39" s="27" t="n">
        <f aca="false">IF(OR(O39="",AJ39=""),"",AJ39-O39)</f>
        <v>0.0056080469104044</v>
      </c>
      <c r="AY39" s="27" t="n">
        <f aca="false">IF(OR(P39="",AK39=""),"",AK39-P39)</f>
        <v>0.000924690692703678</v>
      </c>
      <c r="AZ39" s="27" t="n">
        <f aca="false">IF(OR(R39="",AM39=""),"",IF(N(R39)=0,"",AM39/R39-1))</f>
        <v>-0.109679181047708</v>
      </c>
      <c r="BA39" s="27" t="n">
        <f aca="false">IF(OR(T39="",AO39=""),"",AO39-T39)</f>
        <v>0.00890926957091386</v>
      </c>
      <c r="BB39" s="27" t="n">
        <f aca="false">IF(OR(V39="",AQ39=""),"",IF(N(V39)=0,"",AQ39/V39-1))</f>
        <v>-0.143957617686774</v>
      </c>
    </row>
    <row r="40" customFormat="false" ht="15" hidden="false" customHeight="false" outlineLevel="0" collapsed="false">
      <c r="A40" s="18" t="s">
        <v>237</v>
      </c>
      <c r="B40" s="18" t="s">
        <v>179</v>
      </c>
      <c r="C40" s="14" t="s">
        <v>238</v>
      </c>
      <c r="D40" s="18" t="s">
        <v>201</v>
      </c>
      <c r="E40" s="26" t="n">
        <v>208.04</v>
      </c>
      <c r="F40" s="26" t="n">
        <v>312.01</v>
      </c>
      <c r="G40" s="30" t="n">
        <v>9</v>
      </c>
      <c r="H40" s="30" t="n">
        <v>298</v>
      </c>
      <c r="I40" s="30" t="n">
        <v>49306</v>
      </c>
      <c r="J40" s="26" t="n">
        <v>453.09</v>
      </c>
      <c r="K40" s="30" t="n">
        <v>11</v>
      </c>
      <c r="L40" s="30" t="n">
        <v>7</v>
      </c>
      <c r="M40" s="30" t="n">
        <v>406</v>
      </c>
      <c r="N40" s="26" t="n">
        <v>-267.21</v>
      </c>
      <c r="O40" s="28" t="n">
        <f aca="false">IF(N(F40)=0,"",E40/F40)</f>
        <v>0.666773500849332</v>
      </c>
      <c r="P40" s="28" t="n">
        <f aca="false">IF(N(J40)=0,"",E40/J40)</f>
        <v>0.459158224635282</v>
      </c>
      <c r="Q40" s="39" t="n">
        <f aca="false">IF(N(E40)=0,"",F40/E40)</f>
        <v>1.49975966160354</v>
      </c>
      <c r="R40" s="29" t="n">
        <f aca="false">IF(N(H40)=0,"",E40/H40)</f>
        <v>0.698120805369128</v>
      </c>
      <c r="S40" s="28" t="n">
        <f aca="false">IF(N(I40)=0,"",H40/I40)</f>
        <v>0.006043889181844</v>
      </c>
      <c r="T40" s="28" t="n">
        <f aca="false">IF(N(H40)=0,"",G40/H40)</f>
        <v>0.0302013422818792</v>
      </c>
      <c r="U40" s="28" t="n">
        <f aca="false">IF(N(L40)=0,"",G40/L40)</f>
        <v>1.28571428571429</v>
      </c>
      <c r="V40" s="29" t="n">
        <f aca="false">IF(N(K40)=0,"",J40/K40)</f>
        <v>41.19</v>
      </c>
      <c r="W40" s="26" t="n">
        <f aca="false">IF(N(30)=0,"",E40/30)</f>
        <v>6.93466666666667</v>
      </c>
      <c r="X40" s="39" t="n">
        <f aca="false">IF(N(30)=0,"",K40/30)</f>
        <v>0.366666666666667</v>
      </c>
      <c r="Y40" s="28" t="n">
        <f aca="false">IF(N(J40)=0,"",N40/J40)</f>
        <v>-0.589750380719062</v>
      </c>
      <c r="Z40" s="26" t="n">
        <v>87.08</v>
      </c>
      <c r="AA40" s="26" t="n">
        <v>527.08</v>
      </c>
      <c r="AB40" s="30" t="n">
        <v>11</v>
      </c>
      <c r="AC40" s="30" t="n">
        <v>122</v>
      </c>
      <c r="AD40" s="30" t="n">
        <v>21065</v>
      </c>
      <c r="AE40" s="26" t="n">
        <v>453.13</v>
      </c>
      <c r="AF40" s="30" t="n">
        <v>13</v>
      </c>
      <c r="AG40" s="30" t="n">
        <v>8</v>
      </c>
      <c r="AH40" s="30" t="n">
        <v>229</v>
      </c>
      <c r="AI40" s="26" t="n">
        <v>-99.56</v>
      </c>
      <c r="AJ40" s="28" t="n">
        <f aca="false">IF(N(AA40)=0,"",Z40/AA40)</f>
        <v>0.165212112013357</v>
      </c>
      <c r="AK40" s="28" t="n">
        <f aca="false">IF(N(AE40)=0,"",Z40/AE40)</f>
        <v>0.19217443117869</v>
      </c>
      <c r="AL40" s="39" t="n">
        <f aca="false">IF(N(Z40)=0,"",AA40/Z40)</f>
        <v>6.05282498851631</v>
      </c>
      <c r="AM40" s="29" t="n">
        <f aca="false">IF(N(AC40)=0,"",Z40/AC40)</f>
        <v>0.713770491803279</v>
      </c>
      <c r="AN40" s="28" t="n">
        <f aca="false">IF(N(AD40)=0,"",AC40/AD40)</f>
        <v>0.00579159743650605</v>
      </c>
      <c r="AO40" s="28" t="n">
        <f aca="false">IF(N(AC40)=0,"",AB40/AC40)</f>
        <v>0.0901639344262295</v>
      </c>
      <c r="AP40" s="28" t="n">
        <f aca="false">IF(N(AG40)=0,"",AB40/AG40)</f>
        <v>1.375</v>
      </c>
      <c r="AQ40" s="29" t="n">
        <f aca="false">IF(N(AF40)=0,"",AE40/AF40)</f>
        <v>34.8561538461538</v>
      </c>
      <c r="AR40" s="26" t="n">
        <f aca="false">IF(N(26)=0,"",Z40/26)</f>
        <v>3.34923076923077</v>
      </c>
      <c r="AS40" s="39" t="n">
        <f aca="false">IF(N(26)=0,"",AF40/26)</f>
        <v>0.5</v>
      </c>
      <c r="AT40" s="28" t="n">
        <f aca="false">IF(N(AE40)=0,"",AI40/AE40)</f>
        <v>-0.219716196235076</v>
      </c>
      <c r="AU40" s="27" t="n">
        <f aca="false">IF(OR(W40="",AR40=""),"",IF(N(W40)=0,"",AR40/W40-1))</f>
        <v>-0.517030748524692</v>
      </c>
      <c r="AV40" s="27" t="n">
        <f aca="false">IF(N(F40)=0,"",(AA40/26)/(F40/30)-1)</f>
        <v>0.949197880738537</v>
      </c>
      <c r="AW40" s="27" t="n">
        <f aca="false">IF(OR(X40="",AS40=""),"",IF(N(X40)=0,"",AS40/X40-1))</f>
        <v>0.363636363636364</v>
      </c>
      <c r="AX40" s="27" t="n">
        <f aca="false">IF(OR(O40="",AJ40=""),"",AJ40-O40)</f>
        <v>-0.501561388835975</v>
      </c>
      <c r="AY40" s="27" t="n">
        <f aca="false">IF(OR(P40="",AK40=""),"",AK40-P40)</f>
        <v>-0.266983793456592</v>
      </c>
      <c r="AZ40" s="27" t="n">
        <f aca="false">IF(OR(R40="",AM40=""),"",IF(N(R40)=0,"",AM40/R40-1))</f>
        <v>0.0224168744346138</v>
      </c>
      <c r="BA40" s="27" t="n">
        <f aca="false">IF(OR(T40="",AO40=""),"",AO40-T40)</f>
        <v>0.0599625921443503</v>
      </c>
      <c r="BB40" s="27" t="n">
        <f aca="false">IF(OR(V40="",AQ40=""),"",IF(N(V40)=0,"",AQ40/V40-1))</f>
        <v>-0.153771453115954</v>
      </c>
    </row>
    <row r="41" customFormat="false" ht="15" hidden="false" customHeight="false" outlineLevel="0" collapsed="false">
      <c r="A41" s="18" t="s">
        <v>113</v>
      </c>
      <c r="B41" s="18" t="s">
        <v>73</v>
      </c>
      <c r="C41" s="14" t="s">
        <v>114</v>
      </c>
      <c r="D41" s="18" t="s">
        <v>213</v>
      </c>
      <c r="E41" s="26" t="n">
        <v>165.43</v>
      </c>
      <c r="F41" s="26" t="n">
        <v>155.96</v>
      </c>
      <c r="G41" s="30" t="n">
        <v>4</v>
      </c>
      <c r="H41" s="30" t="n">
        <v>316</v>
      </c>
      <c r="I41" s="30" t="n">
        <v>24165</v>
      </c>
      <c r="J41" s="26" t="n">
        <v>558.96</v>
      </c>
      <c r="K41" s="30" t="n">
        <v>12</v>
      </c>
      <c r="L41" s="30" t="n">
        <v>12</v>
      </c>
      <c r="M41" s="30" t="n">
        <v>942</v>
      </c>
      <c r="N41" s="26" t="n">
        <v>12.09</v>
      </c>
      <c r="O41" s="28" t="n">
        <f aca="false">IF(N(F41)=0,"",E41/F41)</f>
        <v>1.06072069761477</v>
      </c>
      <c r="P41" s="28" t="n">
        <f aca="false">IF(N(J41)=0,"",E41/J41)</f>
        <v>0.295960354944898</v>
      </c>
      <c r="Q41" s="39" t="n">
        <f aca="false">IF(N(E41)=0,"",F41/E41)</f>
        <v>0.942755243909811</v>
      </c>
      <c r="R41" s="29" t="n">
        <f aca="false">IF(N(H41)=0,"",E41/H41)</f>
        <v>0.523512658227848</v>
      </c>
      <c r="S41" s="28" t="n">
        <f aca="false">IF(N(I41)=0,"",H41/I41)</f>
        <v>0.0130767639147527</v>
      </c>
      <c r="T41" s="28" t="n">
        <f aca="false">IF(N(H41)=0,"",G41/H41)</f>
        <v>0.0126582278481013</v>
      </c>
      <c r="U41" s="28" t="n">
        <f aca="false">IF(N(L41)=0,"",G41/L41)</f>
        <v>0.333333333333333</v>
      </c>
      <c r="V41" s="29" t="n">
        <f aca="false">IF(N(K41)=0,"",J41/K41)</f>
        <v>46.58</v>
      </c>
      <c r="W41" s="26" t="n">
        <f aca="false">IF(N(30)=0,"",E41/30)</f>
        <v>5.51433333333333</v>
      </c>
      <c r="X41" s="39" t="n">
        <f aca="false">IF(N(30)=0,"",K41/30)</f>
        <v>0.4</v>
      </c>
      <c r="Y41" s="28" t="n">
        <f aca="false">IF(N(J41)=0,"",N41/J41)</f>
        <v>0.0216294547015887</v>
      </c>
      <c r="Z41" s="26" t="n">
        <v>101.49</v>
      </c>
      <c r="AA41" s="26" t="n">
        <v>38.4</v>
      </c>
      <c r="AB41" s="30" t="n">
        <v>1</v>
      </c>
      <c r="AC41" s="30" t="n">
        <v>208</v>
      </c>
      <c r="AD41" s="30" t="n">
        <v>16601</v>
      </c>
      <c r="AE41" s="26" t="n">
        <v>404.99</v>
      </c>
      <c r="AF41" s="30" t="n">
        <v>9</v>
      </c>
      <c r="AG41" s="30" t="n">
        <v>6</v>
      </c>
      <c r="AH41" s="30" t="n">
        <v>619</v>
      </c>
      <c r="AI41" s="26" t="n">
        <v>-48.59</v>
      </c>
      <c r="AJ41" s="28" t="n">
        <f aca="false">IF(N(AA41)=0,"",Z41/AA41)</f>
        <v>2.64296875</v>
      </c>
      <c r="AK41" s="28" t="n">
        <f aca="false">IF(N(AE41)=0,"",Z41/AE41)</f>
        <v>0.250598780216795</v>
      </c>
      <c r="AL41" s="39" t="n">
        <f aca="false">IF(N(Z41)=0,"",AA41/Z41)</f>
        <v>0.378362400236477</v>
      </c>
      <c r="AM41" s="29" t="n">
        <f aca="false">IF(N(AC41)=0,"",Z41/AC41)</f>
        <v>0.487932692307692</v>
      </c>
      <c r="AN41" s="28" t="n">
        <f aca="false">IF(N(AD41)=0,"",AC41/AD41)</f>
        <v>0.0125293657008614</v>
      </c>
      <c r="AO41" s="28" t="n">
        <f aca="false">IF(N(AC41)=0,"",AB41/AC41)</f>
        <v>0.00480769230769231</v>
      </c>
      <c r="AP41" s="28" t="n">
        <f aca="false">IF(N(AG41)=0,"",AB41/AG41)</f>
        <v>0.166666666666667</v>
      </c>
      <c r="AQ41" s="29" t="n">
        <f aca="false">IF(N(AF41)=0,"",AE41/AF41)</f>
        <v>44.9988888888889</v>
      </c>
      <c r="AR41" s="26" t="n">
        <f aca="false">IF(N(26)=0,"",Z41/26)</f>
        <v>3.90346153846154</v>
      </c>
      <c r="AS41" s="39" t="n">
        <f aca="false">IF(N(26)=0,"",AF41/26)</f>
        <v>0.346153846153846</v>
      </c>
      <c r="AT41" s="28" t="n">
        <f aca="false">IF(N(AE41)=0,"",AI41/AE41)</f>
        <v>-0.119978271068421</v>
      </c>
      <c r="AU41" s="27" t="n">
        <f aca="false">IF(OR(W41="",AR41=""),"",IF(N(W41)=0,"",AR41/W41-1))</f>
        <v>-0.292124486768747</v>
      </c>
      <c r="AV41" s="27" t="n">
        <f aca="false">IF(N(F41)=0,"",(AA41/26)/(F41/30)-1)</f>
        <v>-0.715903486100973</v>
      </c>
      <c r="AW41" s="27" t="n">
        <f aca="false">IF(OR(X41="",AS41=""),"",IF(N(X41)=0,"",AS41/X41-1))</f>
        <v>-0.134615384615385</v>
      </c>
      <c r="AX41" s="27" t="n">
        <f aca="false">IF(OR(O41="",AJ41=""),"",AJ41-O41)</f>
        <v>1.58224805238523</v>
      </c>
      <c r="AY41" s="27" t="n">
        <f aca="false">IF(OR(P41="",AK41=""),"",AK41-P41)</f>
        <v>-0.0453615747281022</v>
      </c>
      <c r="AZ41" s="27" t="n">
        <f aca="false">IF(OR(R41="",AM41=""),"",IF(N(R41)=0,"",AM41/R41-1))</f>
        <v>-0.0679639075788505</v>
      </c>
      <c r="BA41" s="27" t="n">
        <f aca="false">IF(OR(T41="",AO41=""),"",AO41-T41)</f>
        <v>-0.00785053554040896</v>
      </c>
      <c r="BB41" s="27" t="n">
        <f aca="false">IF(OR(V41="",AQ41=""),"",IF(N(V41)=0,"",AQ41/V41-1))</f>
        <v>-0.0339439912217929</v>
      </c>
    </row>
    <row r="42" customFormat="false" ht="15" hidden="false" customHeight="false" outlineLevel="0" collapsed="false">
      <c r="A42" s="18" t="s">
        <v>239</v>
      </c>
      <c r="B42" s="18" t="s">
        <v>179</v>
      </c>
      <c r="C42" s="14" t="s">
        <v>240</v>
      </c>
      <c r="D42" s="18" t="s">
        <v>241</v>
      </c>
      <c r="E42" s="26" t="n">
        <v>143.92</v>
      </c>
      <c r="F42" s="26" t="n">
        <v>498.83</v>
      </c>
      <c r="G42" s="30" t="n">
        <v>11</v>
      </c>
      <c r="H42" s="30" t="n">
        <v>338</v>
      </c>
      <c r="I42" s="30" t="n">
        <v>49026</v>
      </c>
      <c r="J42" s="26" t="n">
        <v>1466.45</v>
      </c>
      <c r="K42" s="30" t="n">
        <v>64</v>
      </c>
      <c r="L42" s="30" t="n">
        <v>62</v>
      </c>
      <c r="M42" s="30" t="n">
        <v>1007</v>
      </c>
      <c r="N42" s="26" t="n">
        <v>-183.17</v>
      </c>
      <c r="O42" s="28" t="n">
        <f aca="false">IF(N(F42)=0,"",E42/F42)</f>
        <v>0.288515125393421</v>
      </c>
      <c r="P42" s="28" t="n">
        <f aca="false">IF(N(J42)=0,"",E42/J42)</f>
        <v>0.0981417709434348</v>
      </c>
      <c r="Q42" s="39" t="n">
        <f aca="false">IF(N(E42)=0,"",F42/E42)</f>
        <v>3.46602279043913</v>
      </c>
      <c r="R42" s="29" t="n">
        <f aca="false">IF(N(H42)=0,"",E42/H42)</f>
        <v>0.425798816568047</v>
      </c>
      <c r="S42" s="28" t="n">
        <f aca="false">IF(N(I42)=0,"",H42/I42)</f>
        <v>0.0068943009831518</v>
      </c>
      <c r="T42" s="28" t="n">
        <f aca="false">IF(N(H42)=0,"",G42/H42)</f>
        <v>0.0325443786982249</v>
      </c>
      <c r="U42" s="28" t="n">
        <f aca="false">IF(N(L42)=0,"",G42/L42)</f>
        <v>0.17741935483871</v>
      </c>
      <c r="V42" s="29" t="n">
        <f aca="false">IF(N(K42)=0,"",J42/K42)</f>
        <v>22.91328125</v>
      </c>
      <c r="W42" s="26" t="n">
        <f aca="false">IF(N(30)=0,"",E42/30)</f>
        <v>4.79733333333333</v>
      </c>
      <c r="X42" s="39" t="n">
        <f aca="false">IF(N(30)=0,"",K42/30)</f>
        <v>2.13333333333333</v>
      </c>
      <c r="Y42" s="28" t="n">
        <f aca="false">IF(N(J42)=0,"",N42/J42)</f>
        <v>-0.124907088547172</v>
      </c>
      <c r="Z42" s="26" t="n">
        <v>119.91</v>
      </c>
      <c r="AA42" s="26" t="n">
        <v>294.97</v>
      </c>
      <c r="AB42" s="30" t="n">
        <v>9</v>
      </c>
      <c r="AC42" s="30" t="n">
        <v>265</v>
      </c>
      <c r="AD42" s="30" t="n">
        <v>32552</v>
      </c>
      <c r="AE42" s="26" t="n">
        <v>1130.97</v>
      </c>
      <c r="AF42" s="30" t="n">
        <v>56</v>
      </c>
      <c r="AG42" s="30" t="n">
        <v>56</v>
      </c>
      <c r="AH42" s="30" t="n">
        <v>833</v>
      </c>
      <c r="AI42" s="26" t="n">
        <v>-147.43</v>
      </c>
      <c r="AJ42" s="28" t="n">
        <f aca="false">IF(N(AA42)=0,"",Z42/AA42)</f>
        <v>0.406515916872902</v>
      </c>
      <c r="AK42" s="28" t="n">
        <f aca="false">IF(N(AE42)=0,"",Z42/AE42)</f>
        <v>0.106024032467705</v>
      </c>
      <c r="AL42" s="39" t="n">
        <f aca="false">IF(N(Z42)=0,"",AA42/Z42)</f>
        <v>2.45992827954299</v>
      </c>
      <c r="AM42" s="29" t="n">
        <f aca="false">IF(N(AC42)=0,"",Z42/AC42)</f>
        <v>0.452490566037736</v>
      </c>
      <c r="AN42" s="28" t="n">
        <f aca="false">IF(N(AD42)=0,"",AC42/AD42)</f>
        <v>0.00814082084050135</v>
      </c>
      <c r="AO42" s="28" t="n">
        <f aca="false">IF(N(AC42)=0,"",AB42/AC42)</f>
        <v>0.0339622641509434</v>
      </c>
      <c r="AP42" s="28" t="n">
        <f aca="false">IF(N(AG42)=0,"",AB42/AG42)</f>
        <v>0.160714285714286</v>
      </c>
      <c r="AQ42" s="29" t="n">
        <f aca="false">IF(N(AF42)=0,"",AE42/AF42)</f>
        <v>20.1958928571429</v>
      </c>
      <c r="AR42" s="26" t="n">
        <f aca="false">IF(N(26)=0,"",Z42/26)</f>
        <v>4.61192307692308</v>
      </c>
      <c r="AS42" s="39" t="n">
        <f aca="false">IF(N(26)=0,"",AF42/26)</f>
        <v>2.15384615384615</v>
      </c>
      <c r="AT42" s="28" t="n">
        <f aca="false">IF(N(AE42)=0,"",AI42/AE42)</f>
        <v>-0.130357127067915</v>
      </c>
      <c r="AU42" s="27" t="n">
        <f aca="false">IF(OR(W42="",AR42=""),"",IF(N(W42)=0,"",AR42/W42-1))</f>
        <v>-0.0386486082011373</v>
      </c>
      <c r="AV42" s="27" t="n">
        <f aca="false">IF(N(F42)=0,"",(AA42/26)/(F42/30)-1)</f>
        <v>-0.317703426016879</v>
      </c>
      <c r="AW42" s="27" t="n">
        <f aca="false">IF(OR(X42="",AS42=""),"",IF(N(X42)=0,"",AS42/X42-1))</f>
        <v>0.00961538461538458</v>
      </c>
      <c r="AX42" s="27" t="n">
        <f aca="false">IF(OR(O42="",AJ42=""),"",AJ42-O42)</f>
        <v>0.118000791479482</v>
      </c>
      <c r="AY42" s="27" t="n">
        <f aca="false">IF(OR(P42="",AK42=""),"",AK42-P42)</f>
        <v>0.00788226152426989</v>
      </c>
      <c r="AZ42" s="27" t="n">
        <f aca="false">IF(OR(R42="",AM42=""),"",IF(N(R42)=0,"",AM42/R42-1))</f>
        <v>0.0626862932236989</v>
      </c>
      <c r="BA42" s="27" t="n">
        <f aca="false">IF(OR(T42="",AO42=""),"",AO42-T42)</f>
        <v>0.00141788545271854</v>
      </c>
      <c r="BB42" s="27" t="n">
        <f aca="false">IF(OR(V42="",AQ42=""),"",IF(N(V42)=0,"",AQ42/V42-1))</f>
        <v>-0.11859446768922</v>
      </c>
    </row>
    <row r="43" customFormat="false" ht="15" hidden="false" customHeight="false" outlineLevel="0" collapsed="false">
      <c r="A43" s="18" t="s">
        <v>242</v>
      </c>
      <c r="B43" s="18" t="s">
        <v>183</v>
      </c>
      <c r="C43" s="14" t="s">
        <v>243</v>
      </c>
      <c r="D43" s="18" t="s">
        <v>201</v>
      </c>
      <c r="E43" s="26" t="n">
        <v>109.92</v>
      </c>
      <c r="F43" s="26" t="n">
        <v>426.57</v>
      </c>
      <c r="G43" s="30" t="n">
        <v>12</v>
      </c>
      <c r="H43" s="30" t="n">
        <v>139</v>
      </c>
      <c r="I43" s="30" t="n">
        <v>38928</v>
      </c>
      <c r="J43" s="26" t="n">
        <v>626.81</v>
      </c>
      <c r="K43" s="30" t="n">
        <v>19</v>
      </c>
      <c r="L43" s="30" t="n">
        <v>19</v>
      </c>
      <c r="M43" s="30" t="n">
        <v>362</v>
      </c>
      <c r="N43" s="26" t="n">
        <v>159.42</v>
      </c>
      <c r="O43" s="28" t="n">
        <f aca="false">IF(N(F43)=0,"",E43/F43)</f>
        <v>0.257683381391096</v>
      </c>
      <c r="P43" s="28" t="n">
        <f aca="false">IF(N(J43)=0,"",E43/J43)</f>
        <v>0.175364145434821</v>
      </c>
      <c r="Q43" s="39" t="n">
        <f aca="false">IF(N(E43)=0,"",F43/E43)</f>
        <v>3.88073144104804</v>
      </c>
      <c r="R43" s="29" t="n">
        <f aca="false">IF(N(H43)=0,"",E43/H43)</f>
        <v>0.790791366906475</v>
      </c>
      <c r="S43" s="28" t="n">
        <f aca="false">IF(N(I43)=0,"",H43/I43)</f>
        <v>0.00357069461570078</v>
      </c>
      <c r="T43" s="28" t="n">
        <f aca="false">IF(N(H43)=0,"",G43/H43)</f>
        <v>0.0863309352517986</v>
      </c>
      <c r="U43" s="28" t="n">
        <f aca="false">IF(N(L43)=0,"",G43/L43)</f>
        <v>0.631578947368421</v>
      </c>
      <c r="V43" s="29" t="n">
        <f aca="false">IF(N(K43)=0,"",J43/K43)</f>
        <v>32.99</v>
      </c>
      <c r="W43" s="26" t="n">
        <f aca="false">IF(N(30)=0,"",E43/30)</f>
        <v>3.664</v>
      </c>
      <c r="X43" s="39" t="n">
        <f aca="false">IF(N(30)=0,"",K43/30)</f>
        <v>0.633333333333333</v>
      </c>
      <c r="Y43" s="28" t="n">
        <f aca="false">IF(N(J43)=0,"",N43/J43)</f>
        <v>0.254335444552576</v>
      </c>
      <c r="Z43" s="26" t="n">
        <v>79.69</v>
      </c>
      <c r="AA43" s="26" t="n">
        <v>294.42</v>
      </c>
      <c r="AB43" s="30" t="n">
        <v>7</v>
      </c>
      <c r="AC43" s="30" t="n">
        <v>100</v>
      </c>
      <c r="AD43" s="30" t="n">
        <v>21023</v>
      </c>
      <c r="AE43" s="26" t="n">
        <v>920.41</v>
      </c>
      <c r="AF43" s="30" t="n">
        <v>29</v>
      </c>
      <c r="AG43" s="30" t="n">
        <v>27</v>
      </c>
      <c r="AH43" s="30" t="n">
        <v>315</v>
      </c>
      <c r="AI43" s="26" t="n">
        <v>184.89</v>
      </c>
      <c r="AJ43" s="28" t="n">
        <f aca="false">IF(N(AA43)=0,"",Z43/AA43)</f>
        <v>0.270667753549351</v>
      </c>
      <c r="AK43" s="28" t="n">
        <f aca="false">IF(N(AE43)=0,"",Z43/AE43)</f>
        <v>0.0865809802153388</v>
      </c>
      <c r="AL43" s="39" t="n">
        <f aca="false">IF(N(Z43)=0,"",AA43/Z43)</f>
        <v>3.69456644497428</v>
      </c>
      <c r="AM43" s="29" t="n">
        <f aca="false">IF(N(AC43)=0,"",Z43/AC43)</f>
        <v>0.7969</v>
      </c>
      <c r="AN43" s="28" t="n">
        <f aca="false">IF(N(AD43)=0,"",AC43/AD43)</f>
        <v>0.00475669504828045</v>
      </c>
      <c r="AO43" s="28" t="n">
        <f aca="false">IF(N(AC43)=0,"",AB43/AC43)</f>
        <v>0.07</v>
      </c>
      <c r="AP43" s="28" t="n">
        <f aca="false">IF(N(AG43)=0,"",AB43/AG43)</f>
        <v>0.259259259259259</v>
      </c>
      <c r="AQ43" s="29" t="n">
        <f aca="false">IF(N(AF43)=0,"",AE43/AF43)</f>
        <v>31.738275862069</v>
      </c>
      <c r="AR43" s="26" t="n">
        <f aca="false">IF(N(26)=0,"",Z43/26)</f>
        <v>3.065</v>
      </c>
      <c r="AS43" s="39" t="n">
        <f aca="false">IF(N(26)=0,"",AF43/26)</f>
        <v>1.11538461538462</v>
      </c>
      <c r="AT43" s="28" t="n">
        <f aca="false">IF(N(AE43)=0,"",AI43/AE43)</f>
        <v>0.200877869645049</v>
      </c>
      <c r="AU43" s="27" t="n">
        <f aca="false">IF(OR(W43="",AR43=""),"",IF(N(W43)=0,"",AR43/W43-1))</f>
        <v>-0.163482532751092</v>
      </c>
      <c r="AV43" s="27" t="n">
        <f aca="false">IF(N(F43)=0,"",(AA43/26)/(F43/30)-1)</f>
        <v>-0.203611635568876</v>
      </c>
      <c r="AW43" s="27" t="n">
        <f aca="false">IF(OR(X43="",AS43=""),"",IF(N(X43)=0,"",AS43/X43-1))</f>
        <v>0.761133603238867</v>
      </c>
      <c r="AX43" s="27" t="n">
        <f aca="false">IF(OR(O43="",AJ43=""),"",AJ43-O43)</f>
        <v>0.0129843721582548</v>
      </c>
      <c r="AY43" s="27" t="n">
        <f aca="false">IF(OR(P43="",AK43=""),"",AK43-P43)</f>
        <v>-0.088783165219482</v>
      </c>
      <c r="AZ43" s="27" t="n">
        <f aca="false">IF(OR(R43="",AM43=""),"",IF(N(R43)=0,"",AM43/R43-1))</f>
        <v>0.00772470887918475</v>
      </c>
      <c r="BA43" s="27" t="n">
        <f aca="false">IF(OR(T43="",AO43=""),"",AO43-T43)</f>
        <v>-0.0163309352517986</v>
      </c>
      <c r="BB43" s="27" t="n">
        <f aca="false">IF(OR(V43="",AQ43=""),"",IF(N(V43)=0,"",AQ43/V43-1))</f>
        <v>-0.0379425322197948</v>
      </c>
    </row>
    <row r="44" customFormat="false" ht="15" hidden="false" customHeight="false" outlineLevel="0" collapsed="false">
      <c r="A44" s="18" t="s">
        <v>244</v>
      </c>
      <c r="B44" s="18" t="s">
        <v>138</v>
      </c>
      <c r="C44" s="14" t="s">
        <v>245</v>
      </c>
      <c r="D44" s="18" t="s">
        <v>212</v>
      </c>
      <c r="E44" s="26" t="n">
        <v>121.09</v>
      </c>
      <c r="F44" s="26" t="n">
        <v>564.84</v>
      </c>
      <c r="G44" s="30" t="n">
        <v>9</v>
      </c>
      <c r="H44" s="30" t="n">
        <v>575</v>
      </c>
      <c r="I44" s="30" t="n">
        <v>31393</v>
      </c>
      <c r="J44" s="26" t="n">
        <v>845.85</v>
      </c>
      <c r="K44" s="30" t="n">
        <v>20</v>
      </c>
      <c r="L44" s="30" t="n">
        <v>20</v>
      </c>
      <c r="M44" s="30" t="n">
        <v>1277</v>
      </c>
      <c r="N44" s="26" t="n">
        <v>-377.9</v>
      </c>
      <c r="O44" s="28" t="n">
        <f aca="false">IF(N(F44)=0,"",E44/F44)</f>
        <v>0.214379293251186</v>
      </c>
      <c r="P44" s="28" t="n">
        <f aca="false">IF(N(J44)=0,"",E44/J44)</f>
        <v>0.143157770290241</v>
      </c>
      <c r="Q44" s="39" t="n">
        <f aca="false">IF(N(E44)=0,"",F44/E44)</f>
        <v>4.66462961433644</v>
      </c>
      <c r="R44" s="29" t="n">
        <f aca="false">IF(N(H44)=0,"",E44/H44)</f>
        <v>0.210591304347826</v>
      </c>
      <c r="S44" s="28" t="n">
        <f aca="false">IF(N(I44)=0,"",H44/I44)</f>
        <v>0.0183161851368139</v>
      </c>
      <c r="T44" s="28" t="n">
        <f aca="false">IF(N(H44)=0,"",G44/H44)</f>
        <v>0.0156521739130435</v>
      </c>
      <c r="U44" s="28" t="n">
        <f aca="false">IF(N(L44)=0,"",G44/L44)</f>
        <v>0.45</v>
      </c>
      <c r="V44" s="29" t="n">
        <f aca="false">IF(N(K44)=0,"",J44/K44)</f>
        <v>42.2925</v>
      </c>
      <c r="W44" s="26" t="n">
        <f aca="false">IF(N(30)=0,"",E44/30)</f>
        <v>4.03633333333333</v>
      </c>
      <c r="X44" s="39" t="n">
        <f aca="false">IF(N(30)=0,"",K44/30)</f>
        <v>0.666666666666667</v>
      </c>
      <c r="Y44" s="28" t="n">
        <f aca="false">IF(N(J44)=0,"",N44/J44)</f>
        <v>-0.446769521782822</v>
      </c>
      <c r="Z44" s="26" t="n">
        <v>64.85</v>
      </c>
      <c r="AA44" s="26" t="n">
        <v>492.47</v>
      </c>
      <c r="AB44" s="30" t="n">
        <v>7</v>
      </c>
      <c r="AC44" s="30" t="n">
        <v>302</v>
      </c>
      <c r="AD44" s="30" t="n">
        <v>22069</v>
      </c>
      <c r="AE44" s="26" t="n">
        <v>997.58</v>
      </c>
      <c r="AF44" s="30" t="n">
        <v>27</v>
      </c>
      <c r="AG44" s="30" t="n">
        <v>27</v>
      </c>
      <c r="AH44" s="30" t="n">
        <v>1085</v>
      </c>
      <c r="AI44" s="26" t="n">
        <v>-239.07</v>
      </c>
      <c r="AJ44" s="28" t="n">
        <f aca="false">IF(N(AA44)=0,"",Z44/AA44)</f>
        <v>0.131683148212074</v>
      </c>
      <c r="AK44" s="28" t="n">
        <f aca="false">IF(N(AE44)=0,"",Z44/AE44)</f>
        <v>0.0650073177088554</v>
      </c>
      <c r="AL44" s="39" t="n">
        <f aca="false">IF(N(Z44)=0,"",AA44/Z44)</f>
        <v>7.59398612181959</v>
      </c>
      <c r="AM44" s="29" t="n">
        <f aca="false">IF(N(AC44)=0,"",Z44/AC44)</f>
        <v>0.214735099337748</v>
      </c>
      <c r="AN44" s="28" t="n">
        <f aca="false">IF(N(AD44)=0,"",AC44/AD44)</f>
        <v>0.0136843536181975</v>
      </c>
      <c r="AO44" s="28" t="n">
        <f aca="false">IF(N(AC44)=0,"",AB44/AC44)</f>
        <v>0.0231788079470199</v>
      </c>
      <c r="AP44" s="28" t="n">
        <f aca="false">IF(N(AG44)=0,"",AB44/AG44)</f>
        <v>0.259259259259259</v>
      </c>
      <c r="AQ44" s="29" t="n">
        <f aca="false">IF(N(AF44)=0,"",AE44/AF44)</f>
        <v>36.9474074074074</v>
      </c>
      <c r="AR44" s="26" t="n">
        <f aca="false">IF(N(26)=0,"",Z44/26)</f>
        <v>2.49423076923077</v>
      </c>
      <c r="AS44" s="39" t="n">
        <f aca="false">IF(N(26)=0,"",AF44/26)</f>
        <v>1.03846153846154</v>
      </c>
      <c r="AT44" s="28" t="n">
        <f aca="false">IF(N(AE44)=0,"",AI44/AE44)</f>
        <v>-0.239649952885984</v>
      </c>
      <c r="AU44" s="27" t="n">
        <f aca="false">IF(OR(W44="",AR44=""),"",IF(N(W44)=0,"",AR44/W44-1))</f>
        <v>-0.38205530533551</v>
      </c>
      <c r="AV44" s="27" t="n">
        <f aca="false">IF(N(F44)=0,"",(AA44/26)/(F44/30)-1)</f>
        <v>0.00600987073262416</v>
      </c>
      <c r="AW44" s="27" t="n">
        <f aca="false">IF(OR(X44="",AS44=""),"",IF(N(X44)=0,"",AS44/X44-1))</f>
        <v>0.557692307692308</v>
      </c>
      <c r="AX44" s="27" t="n">
        <f aca="false">IF(OR(O44="",AJ44=""),"",AJ44-O44)</f>
        <v>-0.0826961450391124</v>
      </c>
      <c r="AY44" s="27" t="n">
        <f aca="false">IF(OR(P44="",AK44=""),"",AK44-P44)</f>
        <v>-0.0781504525813852</v>
      </c>
      <c r="AZ44" s="27" t="n">
        <f aca="false">IF(OR(R44="",AM44=""),"",IF(N(R44)=0,"",AM44/R44-1))</f>
        <v>0.0196769520125963</v>
      </c>
      <c r="BA44" s="27" t="n">
        <f aca="false">IF(OR(T44="",AO44=""),"",AO44-T44)</f>
        <v>0.00752663403397639</v>
      </c>
      <c r="BB44" s="27" t="n">
        <f aca="false">IF(OR(V44="",AQ44=""),"",IF(N(V44)=0,"",AQ44/V44-1))</f>
        <v>-0.126383935510849</v>
      </c>
    </row>
    <row r="45" customFormat="false" ht="15" hidden="false" customHeight="false" outlineLevel="0" collapsed="false">
      <c r="A45" s="18" t="s">
        <v>246</v>
      </c>
      <c r="B45" s="18" t="s">
        <v>90</v>
      </c>
      <c r="C45" s="14" t="s">
        <v>91</v>
      </c>
      <c r="D45" s="18" t="s">
        <v>201</v>
      </c>
      <c r="E45" s="26" t="n">
        <v>146.23</v>
      </c>
      <c r="F45" s="26" t="n">
        <v>234.97</v>
      </c>
      <c r="G45" s="30" t="n">
        <v>3</v>
      </c>
      <c r="H45" s="30" t="n">
        <v>198</v>
      </c>
      <c r="I45" s="30" t="n">
        <v>26108</v>
      </c>
      <c r="J45" s="26" t="n">
        <v>1163.88</v>
      </c>
      <c r="K45" s="30" t="n">
        <v>12</v>
      </c>
      <c r="L45" s="30" t="n">
        <v>12</v>
      </c>
      <c r="M45" s="30" t="n">
        <v>674</v>
      </c>
      <c r="N45" s="26" t="n">
        <v>252.43</v>
      </c>
      <c r="O45" s="28" t="n">
        <f aca="false">IF(N(F45)=0,"",E45/F45)</f>
        <v>0.622334766140358</v>
      </c>
      <c r="P45" s="28" t="n">
        <f aca="false">IF(N(J45)=0,"",E45/J45)</f>
        <v>0.125640100353988</v>
      </c>
      <c r="Q45" s="39" t="n">
        <f aca="false">IF(N(E45)=0,"",F45/E45)</f>
        <v>1.60685221910689</v>
      </c>
      <c r="R45" s="29" t="n">
        <f aca="false">IF(N(H45)=0,"",E45/H45)</f>
        <v>0.738535353535354</v>
      </c>
      <c r="S45" s="28" t="n">
        <f aca="false">IF(N(I45)=0,"",H45/I45)</f>
        <v>0.0075838823349165</v>
      </c>
      <c r="T45" s="28" t="n">
        <f aca="false">IF(N(H45)=0,"",G45/H45)</f>
        <v>0.0151515151515152</v>
      </c>
      <c r="U45" s="28" t="n">
        <f aca="false">IF(N(L45)=0,"",G45/L45)</f>
        <v>0.25</v>
      </c>
      <c r="V45" s="29" t="n">
        <f aca="false">IF(N(K45)=0,"",J45/K45)</f>
        <v>96.99</v>
      </c>
      <c r="W45" s="26" t="n">
        <f aca="false">IF(N(30)=0,"",E45/30)</f>
        <v>4.87433333333333</v>
      </c>
      <c r="X45" s="39" t="n">
        <f aca="false">IF(N(30)=0,"",K45/30)</f>
        <v>0.4</v>
      </c>
      <c r="Y45" s="28" t="n">
        <f aca="false">IF(N(J45)=0,"",N45/J45)</f>
        <v>0.216886620613809</v>
      </c>
      <c r="Z45" s="26" t="n">
        <v>39.09</v>
      </c>
      <c r="AA45" s="26" t="n">
        <v>46.99</v>
      </c>
      <c r="AB45" s="30" t="n">
        <v>1</v>
      </c>
      <c r="AC45" s="30" t="n">
        <v>45</v>
      </c>
      <c r="AD45" s="30" t="n">
        <v>4150</v>
      </c>
      <c r="AE45" s="26" t="n">
        <v>1253.27</v>
      </c>
      <c r="AF45" s="30" t="n">
        <v>13</v>
      </c>
      <c r="AG45" s="30" t="n">
        <v>13</v>
      </c>
      <c r="AH45" s="30" t="n">
        <v>420</v>
      </c>
      <c r="AI45" s="26" t="n">
        <v>176.19</v>
      </c>
      <c r="AJ45" s="28" t="n">
        <f aca="false">IF(N(AA45)=0,"",Z45/AA45)</f>
        <v>0.831879123217706</v>
      </c>
      <c r="AK45" s="28" t="n">
        <f aca="false">IF(N(AE45)=0,"",Z45/AE45)</f>
        <v>0.0311904058981704</v>
      </c>
      <c r="AL45" s="39" t="n">
        <f aca="false">IF(N(Z45)=0,"",AA45/Z45)</f>
        <v>1.20209772320287</v>
      </c>
      <c r="AM45" s="29" t="n">
        <f aca="false">IF(N(AC45)=0,"",Z45/AC45)</f>
        <v>0.868666666666667</v>
      </c>
      <c r="AN45" s="28" t="n">
        <f aca="false">IF(N(AD45)=0,"",AC45/AD45)</f>
        <v>0.0108433734939759</v>
      </c>
      <c r="AO45" s="28" t="n">
        <f aca="false">IF(N(AC45)=0,"",AB45/AC45)</f>
        <v>0.0222222222222222</v>
      </c>
      <c r="AP45" s="28" t="n">
        <f aca="false">IF(N(AG45)=0,"",AB45/AG45)</f>
        <v>0.0769230769230769</v>
      </c>
      <c r="AQ45" s="29" t="n">
        <f aca="false">IF(N(AF45)=0,"",AE45/AF45)</f>
        <v>96.4053846153846</v>
      </c>
      <c r="AR45" s="26" t="n">
        <f aca="false">IF(N(26)=0,"",Z45/26)</f>
        <v>1.50346153846154</v>
      </c>
      <c r="AS45" s="39" t="n">
        <f aca="false">IF(N(26)=0,"",AF45/26)</f>
        <v>0.5</v>
      </c>
      <c r="AT45" s="28" t="n">
        <f aca="false">IF(N(AE45)=0,"",AI45/AE45)</f>
        <v>0.140584231650004</v>
      </c>
      <c r="AU45" s="27" t="n">
        <f aca="false">IF(OR(W45="",AR45=""),"",IF(N(W45)=0,"",AR45/W45-1))</f>
        <v>-0.69155545268518</v>
      </c>
      <c r="AV45" s="27" t="n">
        <f aca="false">IF(N(F45)=0,"",(AA45/26)/(F45/30)-1)</f>
        <v>-0.769250411672849</v>
      </c>
      <c r="AW45" s="27" t="n">
        <f aca="false">IF(OR(X45="",AS45=""),"",IF(N(X45)=0,"",AS45/X45-1))</f>
        <v>0.25</v>
      </c>
      <c r="AX45" s="27" t="n">
        <f aca="false">IF(OR(O45="",AJ45=""),"",AJ45-O45)</f>
        <v>0.209544357077348</v>
      </c>
      <c r="AY45" s="27" t="n">
        <f aca="false">IF(OR(P45="",AK45=""),"",AK45-P45)</f>
        <v>-0.094449694455818</v>
      </c>
      <c r="AZ45" s="27" t="n">
        <f aca="false">IF(OR(R45="",AM45=""),"",IF(N(R45)=0,"",AM45/R45-1))</f>
        <v>0.176201873760514</v>
      </c>
      <c r="BA45" s="27" t="n">
        <f aca="false">IF(OR(T45="",AO45=""),"",AO45-T45)</f>
        <v>0.00707070707070707</v>
      </c>
      <c r="BB45" s="27" t="n">
        <f aca="false">IF(OR(V45="",AQ45=""),"",IF(N(V45)=0,"",AQ45/V45-1))</f>
        <v>-0.00602758412841931</v>
      </c>
    </row>
    <row r="46" customFormat="false" ht="15" hidden="false" customHeight="false" outlineLevel="0" collapsed="false">
      <c r="A46" s="18" t="s">
        <v>247</v>
      </c>
      <c r="B46" s="18" t="s">
        <v>130</v>
      </c>
      <c r="C46" s="14" t="s">
        <v>235</v>
      </c>
      <c r="D46" s="18" t="s">
        <v>203</v>
      </c>
      <c r="E46" s="26" t="n">
        <v>158.46</v>
      </c>
      <c r="F46" s="26" t="n">
        <v>944.96</v>
      </c>
      <c r="G46" s="30" t="n">
        <v>16</v>
      </c>
      <c r="H46" s="30" t="n">
        <v>306</v>
      </c>
      <c r="I46" s="30" t="n">
        <v>34626</v>
      </c>
      <c r="J46" s="26" t="n">
        <v>5946.61</v>
      </c>
      <c r="K46" s="30" t="n">
        <v>110</v>
      </c>
      <c r="L46" s="30" t="n">
        <v>104</v>
      </c>
      <c r="M46" s="30" t="n">
        <v>2732</v>
      </c>
      <c r="N46" s="26" t="n">
        <v>3105.69</v>
      </c>
      <c r="O46" s="28" t="n">
        <f aca="false">IF(N(F46)=0,"",E46/F46)</f>
        <v>0.16768963765662</v>
      </c>
      <c r="P46" s="28" t="n">
        <f aca="false">IF(N(J46)=0,"",E46/J46)</f>
        <v>0.0266471149108484</v>
      </c>
      <c r="Q46" s="39" t="n">
        <f aca="false">IF(N(E46)=0,"",F46/E46)</f>
        <v>5.96339770289032</v>
      </c>
      <c r="R46" s="29" t="n">
        <f aca="false">IF(N(H46)=0,"",E46/H46)</f>
        <v>0.517843137254902</v>
      </c>
      <c r="S46" s="28" t="n">
        <f aca="false">IF(N(I46)=0,"",H46/I46)</f>
        <v>0.00883728989776469</v>
      </c>
      <c r="T46" s="28" t="n">
        <f aca="false">IF(N(H46)=0,"",G46/H46)</f>
        <v>0.0522875816993464</v>
      </c>
      <c r="U46" s="28" t="n">
        <f aca="false">IF(N(L46)=0,"",G46/L46)</f>
        <v>0.153846153846154</v>
      </c>
      <c r="V46" s="29" t="n">
        <f aca="false">IF(N(K46)=0,"",J46/K46)</f>
        <v>54.0600909090909</v>
      </c>
      <c r="W46" s="26" t="n">
        <f aca="false">IF(N(30)=0,"",E46/30)</f>
        <v>5.282</v>
      </c>
      <c r="X46" s="39" t="n">
        <f aca="false">IF(N(30)=0,"",K46/30)</f>
        <v>3.66666666666667</v>
      </c>
      <c r="Y46" s="28" t="n">
        <f aca="false">IF(N(J46)=0,"",N46/J46)</f>
        <v>0.522262263709912</v>
      </c>
      <c r="Z46" s="26" t="n">
        <v>25.44</v>
      </c>
      <c r="AA46" s="26" t="n">
        <v>59.75</v>
      </c>
      <c r="AB46" s="30" t="n">
        <v>1</v>
      </c>
      <c r="AC46" s="30" t="n">
        <v>40</v>
      </c>
      <c r="AD46" s="30" t="n">
        <v>4710</v>
      </c>
      <c r="AE46" s="26" t="n">
        <v>9571.2</v>
      </c>
      <c r="AF46" s="30" t="n">
        <v>182</v>
      </c>
      <c r="AG46" s="30" t="n">
        <v>165</v>
      </c>
      <c r="AH46" s="30" t="n">
        <v>1563</v>
      </c>
      <c r="AI46" s="26" t="n">
        <v>906.97</v>
      </c>
      <c r="AJ46" s="28" t="n">
        <f aca="false">IF(N(AA46)=0,"",Z46/AA46)</f>
        <v>0.425774058577406</v>
      </c>
      <c r="AK46" s="28" t="n">
        <f aca="false">IF(N(AE46)=0,"",Z46/AE46)</f>
        <v>0.0026579739217653</v>
      </c>
      <c r="AL46" s="39" t="n">
        <f aca="false">IF(N(Z46)=0,"",AA46/Z46)</f>
        <v>2.34866352201258</v>
      </c>
      <c r="AM46" s="29" t="n">
        <f aca="false">IF(N(AC46)=0,"",Z46/AC46)</f>
        <v>0.636</v>
      </c>
      <c r="AN46" s="28" t="n">
        <f aca="false">IF(N(AD46)=0,"",AC46/AD46)</f>
        <v>0.00849256900212314</v>
      </c>
      <c r="AO46" s="28" t="n">
        <f aca="false">IF(N(AC46)=0,"",AB46/AC46)</f>
        <v>0.025</v>
      </c>
      <c r="AP46" s="28" t="n">
        <f aca="false">IF(N(AG46)=0,"",AB46/AG46)</f>
        <v>0.00606060606060606</v>
      </c>
      <c r="AQ46" s="29" t="n">
        <f aca="false">IF(N(AF46)=0,"",AE46/AF46)</f>
        <v>52.589010989011</v>
      </c>
      <c r="AR46" s="26" t="n">
        <f aca="false">IF(N(26)=0,"",Z46/26)</f>
        <v>0.978461538461539</v>
      </c>
      <c r="AS46" s="39" t="n">
        <f aca="false">IF(N(26)=0,"",AF46/26)</f>
        <v>7</v>
      </c>
      <c r="AT46" s="28" t="n">
        <f aca="false">IF(N(AE46)=0,"",AI46/AE46)</f>
        <v>0.0947603226345704</v>
      </c>
      <c r="AU46" s="27" t="n">
        <f aca="false">IF(OR(W46="",AR46=""),"",IF(N(W46)=0,"",AR46/W46-1))</f>
        <v>-0.814755483062942</v>
      </c>
      <c r="AV46" s="27" t="n">
        <f aca="false">IF(N(F46)=0,"",(AA46/26)/(F46/30)-1)</f>
        <v>-0.927042088879627</v>
      </c>
      <c r="AW46" s="27" t="n">
        <f aca="false">IF(OR(X46="",AS46=""),"",IF(N(X46)=0,"",AS46/X46-1))</f>
        <v>0.909090909090909</v>
      </c>
      <c r="AX46" s="27" t="n">
        <f aca="false">IF(OR(O46="",AJ46=""),"",AJ46-O46)</f>
        <v>0.258084420920785</v>
      </c>
      <c r="AY46" s="27" t="n">
        <f aca="false">IF(OR(P46="",AK46=""),"",AK46-P46)</f>
        <v>-0.0239891409890831</v>
      </c>
      <c r="AZ46" s="27" t="n">
        <f aca="false">IF(OR(R46="",AM46=""),"",IF(N(R46)=0,"",AM46/R46-1))</f>
        <v>0.228171147292692</v>
      </c>
      <c r="BA46" s="27" t="n">
        <f aca="false">IF(OR(T46="",AO46=""),"",AO46-T46)</f>
        <v>-0.0272875816993464</v>
      </c>
      <c r="BB46" s="27" t="n">
        <f aca="false">IF(OR(V46="",AQ46=""),"",IF(N(V46)=0,"",AQ46/V46-1))</f>
        <v>-0.0272119394426051</v>
      </c>
    </row>
    <row r="47" customFormat="false" ht="15" hidden="false" customHeight="false" outlineLevel="0" collapsed="false">
      <c r="A47" s="18" t="s">
        <v>248</v>
      </c>
      <c r="B47" s="18" t="s">
        <v>167</v>
      </c>
      <c r="C47" s="14" t="s">
        <v>222</v>
      </c>
      <c r="D47" s="18" t="s">
        <v>203</v>
      </c>
      <c r="E47" s="26" t="n">
        <v>75.34</v>
      </c>
      <c r="F47" s="26" t="n">
        <v>32.11</v>
      </c>
      <c r="G47" s="30" t="n">
        <v>0</v>
      </c>
      <c r="H47" s="30" t="n">
        <v>7</v>
      </c>
      <c r="I47" s="30" t="n">
        <v>1165</v>
      </c>
      <c r="J47" s="26" t="n">
        <v>2673.32</v>
      </c>
      <c r="K47" s="30" t="n">
        <v>53</v>
      </c>
      <c r="L47" s="30" t="n">
        <v>47</v>
      </c>
      <c r="M47" s="30" t="n">
        <v>1062</v>
      </c>
      <c r="N47" s="26" t="n">
        <v>521.54</v>
      </c>
      <c r="O47" s="28" t="n">
        <f aca="false">IF(N(F47)=0,"",E47/F47)</f>
        <v>2.34630956088446</v>
      </c>
      <c r="P47" s="28" t="n">
        <f aca="false">IF(N(J47)=0,"",E47/J47)</f>
        <v>0.028182185447309</v>
      </c>
      <c r="Q47" s="39" t="n">
        <f aca="false">IF(N(E47)=0,"",F47/E47)</f>
        <v>0.426201221130873</v>
      </c>
      <c r="R47" s="29" t="n">
        <f aca="false">IF(N(H47)=0,"",E47/H47)</f>
        <v>10.7628571428571</v>
      </c>
      <c r="S47" s="28" t="n">
        <f aca="false">IF(N(I47)=0,"",H47/I47)</f>
        <v>0.00600858369098713</v>
      </c>
      <c r="T47" s="28" t="n">
        <f aca="false">IF(N(H47)=0,"",G47/H47)</f>
        <v>0</v>
      </c>
      <c r="U47" s="28" t="n">
        <f aca="false">IF(N(L47)=0,"",G47/L47)</f>
        <v>0</v>
      </c>
      <c r="V47" s="29" t="n">
        <f aca="false">IF(N(K47)=0,"",J47/K47)</f>
        <v>50.44</v>
      </c>
      <c r="W47" s="26" t="n">
        <f aca="false">IF(N(30)=0,"",E47/30)</f>
        <v>2.51133333333333</v>
      </c>
      <c r="X47" s="39" t="n">
        <f aca="false">IF(N(30)=0,"",K47/30)</f>
        <v>1.76666666666667</v>
      </c>
      <c r="Y47" s="28" t="n">
        <f aca="false">IF(N(J47)=0,"",N47/J47)</f>
        <v>0.195090748582287</v>
      </c>
      <c r="Z47" s="26" t="n">
        <v>86.87</v>
      </c>
      <c r="AA47" s="26" t="n">
        <v>61.37</v>
      </c>
      <c r="AB47" s="30" t="n">
        <v>1</v>
      </c>
      <c r="AC47" s="30" t="n">
        <v>35</v>
      </c>
      <c r="AD47" s="30" t="n">
        <v>5238</v>
      </c>
      <c r="AE47" s="26" t="n">
        <v>12417.16</v>
      </c>
      <c r="AF47" s="30" t="n">
        <v>253</v>
      </c>
      <c r="AG47" s="30" t="n">
        <v>190</v>
      </c>
      <c r="AH47" s="30" t="n">
        <v>3124</v>
      </c>
      <c r="AI47" s="26" t="n">
        <v>1845.66</v>
      </c>
      <c r="AJ47" s="28" t="n">
        <f aca="false">IF(N(AA47)=0,"",Z47/AA47)</f>
        <v>1.41551246537396</v>
      </c>
      <c r="AK47" s="28" t="n">
        <f aca="false">IF(N(AE47)=0,"",Z47/AE47)</f>
        <v>0.00699596365030329</v>
      </c>
      <c r="AL47" s="39" t="n">
        <f aca="false">IF(N(Z47)=0,"",AA47/Z47)</f>
        <v>0.706457925636008</v>
      </c>
      <c r="AM47" s="29" t="n">
        <f aca="false">IF(N(AC47)=0,"",Z47/AC47)</f>
        <v>2.482</v>
      </c>
      <c r="AN47" s="28" t="n">
        <f aca="false">IF(N(AD47)=0,"",AC47/AD47)</f>
        <v>0.00668193967163039</v>
      </c>
      <c r="AO47" s="28" t="n">
        <f aca="false">IF(N(AC47)=0,"",AB47/AC47)</f>
        <v>0.0285714285714286</v>
      </c>
      <c r="AP47" s="28" t="n">
        <f aca="false">IF(N(AG47)=0,"",AB47/AG47)</f>
        <v>0.00526315789473684</v>
      </c>
      <c r="AQ47" s="29" t="n">
        <f aca="false">IF(N(AF47)=0,"",AE47/AF47)</f>
        <v>49.0796837944664</v>
      </c>
      <c r="AR47" s="26" t="n">
        <f aca="false">IF(N(26)=0,"",Z47/26)</f>
        <v>3.34115384615385</v>
      </c>
      <c r="AS47" s="39" t="n">
        <f aca="false">IF(N(26)=0,"",AF47/26)</f>
        <v>9.73076923076923</v>
      </c>
      <c r="AT47" s="28" t="n">
        <f aca="false">IF(N(AE47)=0,"",AI47/AE47)</f>
        <v>0.14863785277793</v>
      </c>
      <c r="AU47" s="27" t="n">
        <f aca="false">IF(OR(W47="",AR47=""),"",IF(N(W47)=0,"",AR47/W47-1))</f>
        <v>0.330430254640502</v>
      </c>
      <c r="AV47" s="27" t="n">
        <f aca="false">IF(N(F47)=0,"",(AA47/26)/(F47/30)-1)</f>
        <v>1.20527992717342</v>
      </c>
      <c r="AW47" s="27" t="n">
        <f aca="false">IF(OR(X47="",AS47=""),"",IF(N(X47)=0,"",AS47/X47-1))</f>
        <v>4.50798258345428</v>
      </c>
      <c r="AX47" s="27" t="n">
        <f aca="false">IF(OR(O47="",AJ47=""),"",AJ47-O47)</f>
        <v>-0.930797095510499</v>
      </c>
      <c r="AY47" s="27" t="n">
        <f aca="false">IF(OR(P47="",AK47=""),"",AK47-P47)</f>
        <v>-0.0211862217970057</v>
      </c>
      <c r="AZ47" s="27" t="n">
        <f aca="false">IF(OR(R47="",AM47=""),"",IF(N(R47)=0,"",AM47/R47-1))</f>
        <v>-0.769392089195646</v>
      </c>
      <c r="BA47" s="27" t="n">
        <f aca="false">IF(OR(T47="",AO47=""),"",AO47-T47)</f>
        <v>0.0285714285714286</v>
      </c>
      <c r="BB47" s="27" t="n">
        <f aca="false">IF(OR(V47="",AQ47=""),"",IF(N(V47)=0,"",AQ47/V47-1))</f>
        <v>-0.0269689969376209</v>
      </c>
    </row>
    <row r="48" customFormat="false" ht="15" hidden="false" customHeight="false" outlineLevel="0" collapsed="false">
      <c r="A48" s="18" t="s">
        <v>249</v>
      </c>
      <c r="B48" s="18" t="s">
        <v>67</v>
      </c>
      <c r="C48" s="14" t="s">
        <v>226</v>
      </c>
      <c r="D48" s="18" t="s">
        <v>197</v>
      </c>
      <c r="E48" s="26" t="n">
        <v>99.04</v>
      </c>
      <c r="F48" s="26" t="n">
        <v>302.44</v>
      </c>
      <c r="G48" s="30" t="n">
        <v>8</v>
      </c>
      <c r="H48" s="30" t="n">
        <v>145</v>
      </c>
      <c r="I48" s="30" t="n">
        <v>38569</v>
      </c>
      <c r="J48" s="26" t="n">
        <v>1099.8</v>
      </c>
      <c r="K48" s="30" t="n">
        <v>20</v>
      </c>
      <c r="L48" s="30" t="n">
        <v>20</v>
      </c>
      <c r="M48" s="30" t="n">
        <v>1696</v>
      </c>
      <c r="N48" s="26" t="n">
        <v>481.46</v>
      </c>
      <c r="O48" s="28" t="n">
        <f aca="false">IF(N(F48)=0,"",E48/F48)</f>
        <v>0.327469911387383</v>
      </c>
      <c r="P48" s="28" t="n">
        <f aca="false">IF(N(J48)=0,"",E48/J48)</f>
        <v>0.0900527368612475</v>
      </c>
      <c r="Q48" s="39" t="n">
        <f aca="false">IF(N(E48)=0,"",F48/E48)</f>
        <v>3.05371567043619</v>
      </c>
      <c r="R48" s="29" t="n">
        <f aca="false">IF(N(H48)=0,"",E48/H48)</f>
        <v>0.683034482758621</v>
      </c>
      <c r="S48" s="28" t="n">
        <f aca="false">IF(N(I48)=0,"",H48/I48)</f>
        <v>0.00375949596826467</v>
      </c>
      <c r="T48" s="28" t="n">
        <f aca="false">IF(N(H48)=0,"",G48/H48)</f>
        <v>0.0551724137931035</v>
      </c>
      <c r="U48" s="28" t="n">
        <f aca="false">IF(N(L48)=0,"",G48/L48)</f>
        <v>0.4</v>
      </c>
      <c r="V48" s="29" t="n">
        <f aca="false">IF(N(K48)=0,"",J48/K48)</f>
        <v>54.99</v>
      </c>
      <c r="W48" s="26" t="n">
        <f aca="false">IF(N(30)=0,"",E48/30)</f>
        <v>3.30133333333333</v>
      </c>
      <c r="X48" s="39" t="n">
        <f aca="false">IF(N(30)=0,"",K48/30)</f>
        <v>0.666666666666667</v>
      </c>
      <c r="Y48" s="28" t="n">
        <f aca="false">IF(N(J48)=0,"",N48/J48)</f>
        <v>0.437770503727951</v>
      </c>
      <c r="Z48" s="26" t="n">
        <v>62.59</v>
      </c>
      <c r="AA48" s="26" t="n">
        <v>340.85</v>
      </c>
      <c r="AB48" s="30" t="n">
        <v>7</v>
      </c>
      <c r="AC48" s="30" t="n">
        <v>51</v>
      </c>
      <c r="AD48" s="30" t="n">
        <v>13726</v>
      </c>
      <c r="AE48" s="26" t="n">
        <v>1809.13</v>
      </c>
      <c r="AF48" s="30" t="n">
        <v>38</v>
      </c>
      <c r="AG48" s="30" t="n">
        <v>32</v>
      </c>
      <c r="AH48" s="30" t="n">
        <v>1834</v>
      </c>
      <c r="AI48" s="26" t="n">
        <v>501.69</v>
      </c>
      <c r="AJ48" s="28" t="n">
        <f aca="false">IF(N(AA48)=0,"",Z48/AA48)</f>
        <v>0.183629162388147</v>
      </c>
      <c r="AK48" s="28" t="n">
        <f aca="false">IF(N(AE48)=0,"",Z48/AE48)</f>
        <v>0.03459673986944</v>
      </c>
      <c r="AL48" s="39" t="n">
        <f aca="false">IF(N(Z48)=0,"",AA48/Z48)</f>
        <v>5.44575810832401</v>
      </c>
      <c r="AM48" s="29" t="n">
        <f aca="false">IF(N(AC48)=0,"",Z48/AC48)</f>
        <v>1.22725490196078</v>
      </c>
      <c r="AN48" s="28" t="n">
        <f aca="false">IF(N(AD48)=0,"",AC48/AD48)</f>
        <v>0.00371557627859537</v>
      </c>
      <c r="AO48" s="28" t="n">
        <f aca="false">IF(N(AC48)=0,"",AB48/AC48)</f>
        <v>0.137254901960784</v>
      </c>
      <c r="AP48" s="28" t="n">
        <f aca="false">IF(N(AG48)=0,"",AB48/AG48)</f>
        <v>0.21875</v>
      </c>
      <c r="AQ48" s="29" t="n">
        <f aca="false">IF(N(AF48)=0,"",AE48/AF48)</f>
        <v>47.6086842105263</v>
      </c>
      <c r="AR48" s="26" t="n">
        <f aca="false">IF(N(26)=0,"",Z48/26)</f>
        <v>2.40730769230769</v>
      </c>
      <c r="AS48" s="39" t="n">
        <f aca="false">IF(N(26)=0,"",AF48/26)</f>
        <v>1.46153846153846</v>
      </c>
      <c r="AT48" s="28" t="n">
        <f aca="false">IF(N(AE48)=0,"",AI48/AE48)</f>
        <v>0.277310088274474</v>
      </c>
      <c r="AU48" s="27" t="n">
        <f aca="false">IF(OR(W48="",AR48=""),"",IF(N(W48)=0,"",AR48/W48-1))</f>
        <v>-0.270807443767864</v>
      </c>
      <c r="AV48" s="27" t="n">
        <f aca="false">IF(N(F48)=0,"",(AA48/26)/(F48/30)-1)</f>
        <v>0.300385073199516</v>
      </c>
      <c r="AW48" s="27" t="n">
        <f aca="false">IF(OR(X48="",AS48=""),"",IF(N(X48)=0,"",AS48/X48-1))</f>
        <v>1.19230769230769</v>
      </c>
      <c r="AX48" s="27" t="n">
        <f aca="false">IF(OR(O48="",AJ48=""),"",AJ48-O48)</f>
        <v>-0.143840748999235</v>
      </c>
      <c r="AY48" s="27" t="n">
        <f aca="false">IF(OR(P48="",AK48=""),"",AK48-P48)</f>
        <v>-0.0554559969918075</v>
      </c>
      <c r="AZ48" s="27" t="n">
        <f aca="false">IF(OR(R48="",AM48=""),"",IF(N(R48)=0,"",AM48/R48-1))</f>
        <v>0.796768586271342</v>
      </c>
      <c r="BA48" s="27" t="n">
        <f aca="false">IF(OR(T48="",AO48=""),"",AO48-T48)</f>
        <v>0.0820824881676809</v>
      </c>
      <c r="BB48" s="27" t="n">
        <f aca="false">IF(OR(V48="",AQ48=""),"",IF(N(V48)=0,"",AQ48/V48-1))</f>
        <v>-0.134230147108086</v>
      </c>
    </row>
    <row r="49" customFormat="false" ht="15" hidden="false" customHeight="false" outlineLevel="0" collapsed="false">
      <c r="A49" s="18" t="s">
        <v>250</v>
      </c>
      <c r="B49" s="18" t="s">
        <v>67</v>
      </c>
      <c r="C49" s="14" t="s">
        <v>226</v>
      </c>
      <c r="D49" s="18" t="s">
        <v>209</v>
      </c>
      <c r="E49" s="26" t="n">
        <v>75.32</v>
      </c>
      <c r="F49" s="26" t="n">
        <v>587.87</v>
      </c>
      <c r="G49" s="30" t="n">
        <v>12</v>
      </c>
      <c r="H49" s="30" t="n">
        <v>126</v>
      </c>
      <c r="I49" s="30" t="n">
        <v>17771</v>
      </c>
      <c r="J49" s="26" t="n">
        <v>2834.99</v>
      </c>
      <c r="K49" s="30" t="n">
        <v>54</v>
      </c>
      <c r="L49" s="30" t="n">
        <v>36</v>
      </c>
      <c r="M49" s="30" t="n">
        <v>571</v>
      </c>
      <c r="N49" s="26" t="n">
        <v>913.98</v>
      </c>
      <c r="O49" s="28" t="n">
        <f aca="false">IF(N(F49)=0,"",E49/F49)</f>
        <v>0.1281235647337</v>
      </c>
      <c r="P49" s="28" t="n">
        <f aca="false">IF(N(J49)=0,"",E49/J49)</f>
        <v>0.0265679949488358</v>
      </c>
      <c r="Q49" s="39" t="n">
        <f aca="false">IF(N(E49)=0,"",F49/E49)</f>
        <v>7.80496548061604</v>
      </c>
      <c r="R49" s="29" t="n">
        <f aca="false">IF(N(H49)=0,"",E49/H49)</f>
        <v>0.597777777777778</v>
      </c>
      <c r="S49" s="28" t="n">
        <f aca="false">IF(N(I49)=0,"",H49/I49)</f>
        <v>0.00709020313994711</v>
      </c>
      <c r="T49" s="28" t="n">
        <f aca="false">IF(N(H49)=0,"",G49/H49)</f>
        <v>0.0952380952380952</v>
      </c>
      <c r="U49" s="28" t="n">
        <f aca="false">IF(N(L49)=0,"",G49/L49)</f>
        <v>0.333333333333333</v>
      </c>
      <c r="V49" s="29" t="n">
        <f aca="false">IF(N(K49)=0,"",J49/K49)</f>
        <v>52.4998148148148</v>
      </c>
      <c r="W49" s="26" t="n">
        <f aca="false">IF(N(30)=0,"",E49/30)</f>
        <v>2.51066666666667</v>
      </c>
      <c r="X49" s="39" t="n">
        <f aca="false">IF(N(30)=0,"",K49/30)</f>
        <v>1.8</v>
      </c>
      <c r="Y49" s="28" t="n">
        <f aca="false">IF(N(J49)=0,"",N49/J49)</f>
        <v>0.322392671579089</v>
      </c>
      <c r="Z49" s="26" t="n">
        <v>81.06</v>
      </c>
      <c r="AA49" s="26" t="n">
        <v>1557.73</v>
      </c>
      <c r="AB49" s="30" t="n">
        <v>20</v>
      </c>
      <c r="AC49" s="30" t="n">
        <v>135</v>
      </c>
      <c r="AD49" s="30" t="n">
        <v>22945</v>
      </c>
      <c r="AE49" s="26" t="n">
        <v>2352.52</v>
      </c>
      <c r="AF49" s="30" t="n">
        <v>44</v>
      </c>
      <c r="AG49" s="30" t="n">
        <v>37</v>
      </c>
      <c r="AH49" s="30" t="n">
        <v>678</v>
      </c>
      <c r="AI49" s="26" t="n">
        <v>130.94</v>
      </c>
      <c r="AJ49" s="28" t="n">
        <f aca="false">IF(N(AA49)=0,"",Z49/AA49)</f>
        <v>0.0520372593453294</v>
      </c>
      <c r="AK49" s="28" t="n">
        <f aca="false">IF(N(AE49)=0,"",Z49/AE49)</f>
        <v>0.0344566677435261</v>
      </c>
      <c r="AL49" s="39" t="n">
        <f aca="false">IF(N(Z49)=0,"",AA49/Z49)</f>
        <v>19.2169997532692</v>
      </c>
      <c r="AM49" s="29" t="n">
        <f aca="false">IF(N(AC49)=0,"",Z49/AC49)</f>
        <v>0.600444444444444</v>
      </c>
      <c r="AN49" s="28" t="n">
        <f aca="false">IF(N(AD49)=0,"",AC49/AD49)</f>
        <v>0.00588363477881892</v>
      </c>
      <c r="AO49" s="28" t="n">
        <f aca="false">IF(N(AC49)=0,"",AB49/AC49)</f>
        <v>0.148148148148148</v>
      </c>
      <c r="AP49" s="28" t="n">
        <f aca="false">IF(N(AG49)=0,"",AB49/AG49)</f>
        <v>0.540540540540541</v>
      </c>
      <c r="AQ49" s="29" t="n">
        <f aca="false">IF(N(AF49)=0,"",AE49/AF49)</f>
        <v>53.4663636363636</v>
      </c>
      <c r="AR49" s="26" t="n">
        <f aca="false">IF(N(26)=0,"",Z49/26)</f>
        <v>3.11769230769231</v>
      </c>
      <c r="AS49" s="39" t="n">
        <f aca="false">IF(N(26)=0,"",AF49/26)</f>
        <v>1.69230769230769</v>
      </c>
      <c r="AT49" s="28" t="n">
        <f aca="false">IF(N(AE49)=0,"",AI49/AE49)</f>
        <v>0.0556594630438849</v>
      </c>
      <c r="AU49" s="27" t="n">
        <f aca="false">IF(OR(W49="",AR49=""),"",IF(N(W49)=0,"",AR49/W49-1))</f>
        <v>0.241778667429225</v>
      </c>
      <c r="AV49" s="27" t="n">
        <f aca="false">IF(N(F49)=0,"",(AA49/26)/(F49/30)-1)</f>
        <v>2.05744598164691</v>
      </c>
      <c r="AW49" s="27" t="n">
        <f aca="false">IF(OR(X49="",AS49=""),"",IF(N(X49)=0,"",AS49/X49-1))</f>
        <v>-0.0598290598290598</v>
      </c>
      <c r="AX49" s="27" t="n">
        <f aca="false">IF(OR(O49="",AJ49=""),"",AJ49-O49)</f>
        <v>-0.0760863053883702</v>
      </c>
      <c r="AY49" s="27" t="n">
        <f aca="false">IF(OR(P49="",AK49=""),"",AK49-P49)</f>
        <v>0.00788867279469029</v>
      </c>
      <c r="AZ49" s="27" t="n">
        <f aca="false">IF(OR(R49="",AM49=""),"",IF(N(R49)=0,"",AM49/R49-1))</f>
        <v>0.00446096654275108</v>
      </c>
      <c r="BA49" s="27" t="n">
        <f aca="false">IF(OR(T49="",AO49=""),"",AO49-T49)</f>
        <v>0.0529100529100529</v>
      </c>
      <c r="BB49" s="27" t="n">
        <f aca="false">IF(OR(V49="",AQ49=""),"",IF(N(V49)=0,"",AQ49/V49-1))</f>
        <v>0.0184105186838883</v>
      </c>
    </row>
    <row r="50" customFormat="false" ht="15" hidden="false" customHeight="false" outlineLevel="0" collapsed="false">
      <c r="A50" s="18" t="s">
        <v>251</v>
      </c>
      <c r="B50" s="18" t="s">
        <v>167</v>
      </c>
      <c r="C50" s="14" t="s">
        <v>222</v>
      </c>
      <c r="D50" s="18" t="s">
        <v>201</v>
      </c>
      <c r="E50" s="26" t="n">
        <v>127.42</v>
      </c>
      <c r="F50" s="26" t="n">
        <v>362.42</v>
      </c>
      <c r="G50" s="30" t="n">
        <v>8</v>
      </c>
      <c r="H50" s="30" t="n">
        <v>134</v>
      </c>
      <c r="I50" s="30" t="n">
        <v>12649</v>
      </c>
      <c r="J50" s="26" t="n">
        <v>232.94</v>
      </c>
      <c r="K50" s="30" t="n">
        <v>6</v>
      </c>
      <c r="L50" s="30" t="n">
        <v>6</v>
      </c>
      <c r="M50" s="30" t="n">
        <v>202</v>
      </c>
      <c r="N50" s="26" t="n">
        <v>-135.45</v>
      </c>
      <c r="O50" s="28" t="n">
        <f aca="false">IF(N(F50)=0,"",E50/F50)</f>
        <v>0.35158103857403</v>
      </c>
      <c r="P50" s="28" t="n">
        <f aca="false">IF(N(J50)=0,"",E50/J50)</f>
        <v>0.547007813170774</v>
      </c>
      <c r="Q50" s="39" t="n">
        <f aca="false">IF(N(E50)=0,"",F50/E50)</f>
        <v>2.84429445926856</v>
      </c>
      <c r="R50" s="29" t="n">
        <f aca="false">IF(N(H50)=0,"",E50/H50)</f>
        <v>0.95089552238806</v>
      </c>
      <c r="S50" s="28" t="n">
        <f aca="false">IF(N(I50)=0,"",H50/I50)</f>
        <v>0.0105937228239387</v>
      </c>
      <c r="T50" s="28" t="n">
        <f aca="false">IF(N(H50)=0,"",G50/H50)</f>
        <v>0.0597014925373134</v>
      </c>
      <c r="U50" s="28" t="n">
        <f aca="false">IF(N(L50)=0,"",G50/L50)</f>
        <v>1.33333333333333</v>
      </c>
      <c r="V50" s="29" t="n">
        <f aca="false">IF(N(K50)=0,"",J50/K50)</f>
        <v>38.8233333333333</v>
      </c>
      <c r="W50" s="26" t="n">
        <f aca="false">IF(N(30)=0,"",E50/30)</f>
        <v>4.24733333333333</v>
      </c>
      <c r="X50" s="39" t="n">
        <f aca="false">IF(N(30)=0,"",K50/30)</f>
        <v>0.2</v>
      </c>
      <c r="Y50" s="28" t="n">
        <f aca="false">IF(N(J50)=0,"",N50/J50)</f>
        <v>-0.581480209496008</v>
      </c>
      <c r="Z50" s="26" t="n">
        <v>0.05</v>
      </c>
      <c r="AA50" s="26" t="n">
        <v>0</v>
      </c>
      <c r="AB50" s="30" t="n">
        <v>0</v>
      </c>
      <c r="AC50" s="30" t="n">
        <v>0</v>
      </c>
      <c r="AD50" s="30" t="n">
        <v>0</v>
      </c>
      <c r="AE50" s="26" t="n">
        <v>0</v>
      </c>
      <c r="AF50" s="30" t="n">
        <v>0</v>
      </c>
      <c r="AG50" s="30" t="n">
        <v>0</v>
      </c>
      <c r="AH50" s="30" t="n">
        <v>0</v>
      </c>
      <c r="AI50" s="26" t="n">
        <v>39.17</v>
      </c>
      <c r="AJ50" s="28" t="str">
        <f aca="false">IF(N(AA50)=0,"",Z50/AA50)</f>
        <v/>
      </c>
      <c r="AK50" s="28" t="str">
        <f aca="false">IF(N(AE50)=0,"",Z50/AE50)</f>
        <v/>
      </c>
      <c r="AL50" s="39" t="n">
        <f aca="false">IF(N(Z50)=0,"",AA50/Z50)</f>
        <v>0</v>
      </c>
      <c r="AM50" s="29" t="str">
        <f aca="false">IF(N(AC50)=0,"",Z50/AC50)</f>
        <v/>
      </c>
      <c r="AN50" s="28" t="str">
        <f aca="false">IF(N(AD50)=0,"",AC50/AD50)</f>
        <v/>
      </c>
      <c r="AO50" s="28" t="str">
        <f aca="false">IF(N(AC50)=0,"",AB50/AC50)</f>
        <v/>
      </c>
      <c r="AP50" s="28" t="str">
        <f aca="false">IF(N(AG50)=0,"",AB50/AG50)</f>
        <v/>
      </c>
      <c r="AQ50" s="29" t="str">
        <f aca="false">IF(N(AF50)=0,"",AE50/AF50)</f>
        <v/>
      </c>
      <c r="AR50" s="26" t="n">
        <f aca="false">IF(N(26)=0,"",Z50/26)</f>
        <v>0.00192307692307692</v>
      </c>
      <c r="AS50" s="39" t="n">
        <f aca="false">IF(N(26)=0,"",AF50/26)</f>
        <v>0</v>
      </c>
      <c r="AT50" s="28" t="str">
        <f aca="false">IF(N(AE50)=0,"",AI50/AE50)</f>
        <v/>
      </c>
      <c r="AU50" s="27" t="n">
        <f aca="false">IF(OR(W50="",AR50=""),"",IF(N(W50)=0,"",AR50/W50-1))</f>
        <v>-0.999547227219492</v>
      </c>
      <c r="AV50" s="27" t="n">
        <f aca="false">IF(N(F50)=0,"",(AA50/26)/(F50/30)-1)</f>
        <v>-1</v>
      </c>
      <c r="AW50" s="27" t="n">
        <f aca="false">IF(OR(X50="",AS50=""),"",IF(N(X50)=0,"",AS50/X50-1))</f>
        <v>-1</v>
      </c>
      <c r="AX50" s="27" t="str">
        <f aca="false">IF(OR(O50="",AJ50=""),"",AJ50-O50)</f>
        <v/>
      </c>
      <c r="AY50" s="27" t="str">
        <f aca="false">IF(OR(P50="",AK50=""),"",AK50-P50)</f>
        <v/>
      </c>
      <c r="AZ50" s="27" t="str">
        <f aca="false">IF(OR(R50="",AM50=""),"",IF(N(R50)=0,"",AM50/R50-1))</f>
        <v/>
      </c>
      <c r="BA50" s="27" t="str">
        <f aca="false">IF(OR(T50="",AO50=""),"",AO50-T50)</f>
        <v/>
      </c>
      <c r="BB50" s="27" t="str">
        <f aca="false">IF(OR(V50="",AQ50=""),"",IF(N(V50)=0,"",AQ50/V50-1))</f>
        <v/>
      </c>
    </row>
    <row r="51" customFormat="false" ht="15" hidden="false" customHeight="false" outlineLevel="0" collapsed="false">
      <c r="A51" s="18" t="s">
        <v>252</v>
      </c>
      <c r="B51" s="18" t="s">
        <v>67</v>
      </c>
      <c r="C51" s="14" t="s">
        <v>226</v>
      </c>
      <c r="D51" s="18" t="s">
        <v>201</v>
      </c>
      <c r="E51" s="26" t="n">
        <v>54.12</v>
      </c>
      <c r="F51" s="26" t="n">
        <v>160.56</v>
      </c>
      <c r="G51" s="30" t="n">
        <v>5</v>
      </c>
      <c r="H51" s="30" t="n">
        <v>69</v>
      </c>
      <c r="I51" s="30" t="n">
        <v>15249</v>
      </c>
      <c r="J51" s="26" t="n">
        <v>672.28</v>
      </c>
      <c r="K51" s="30" t="n">
        <v>14</v>
      </c>
      <c r="L51" s="30" t="n">
        <v>8</v>
      </c>
      <c r="M51" s="30" t="n">
        <v>145</v>
      </c>
      <c r="N51" s="26" t="n">
        <v>-1554.1</v>
      </c>
      <c r="O51" s="28" t="n">
        <f aca="false">IF(N(F51)=0,"",E51/F51)</f>
        <v>0.337070254110613</v>
      </c>
      <c r="P51" s="28" t="n">
        <f aca="false">IF(N(J51)=0,"",E51/J51)</f>
        <v>0.0805021717141667</v>
      </c>
      <c r="Q51" s="39" t="n">
        <f aca="false">IF(N(E51)=0,"",F51/E51)</f>
        <v>2.96674057649667</v>
      </c>
      <c r="R51" s="29" t="n">
        <f aca="false">IF(N(H51)=0,"",E51/H51)</f>
        <v>0.784347826086957</v>
      </c>
      <c r="S51" s="28" t="n">
        <f aca="false">IF(N(I51)=0,"",H51/I51)</f>
        <v>0.00452488687782806</v>
      </c>
      <c r="T51" s="28" t="n">
        <f aca="false">IF(N(H51)=0,"",G51/H51)</f>
        <v>0.072463768115942</v>
      </c>
      <c r="U51" s="28" t="n">
        <f aca="false">IF(N(L51)=0,"",G51/L51)</f>
        <v>0.625</v>
      </c>
      <c r="V51" s="29" t="n">
        <f aca="false">IF(N(K51)=0,"",J51/K51)</f>
        <v>48.02</v>
      </c>
      <c r="W51" s="26" t="n">
        <f aca="false">IF(N(30)=0,"",E51/30)</f>
        <v>1.804</v>
      </c>
      <c r="X51" s="39" t="n">
        <f aca="false">IF(N(30)=0,"",K51/30)</f>
        <v>0.466666666666667</v>
      </c>
      <c r="Y51" s="28" t="n">
        <f aca="false">IF(N(J51)=0,"",N51/J51)</f>
        <v>-2.31168560718748</v>
      </c>
      <c r="Z51" s="26" t="n">
        <v>44.39</v>
      </c>
      <c r="AA51" s="26" t="n">
        <v>175.96</v>
      </c>
      <c r="AB51" s="30" t="n">
        <v>4</v>
      </c>
      <c r="AC51" s="30" t="n">
        <v>40</v>
      </c>
      <c r="AD51" s="30" t="n">
        <v>14296</v>
      </c>
      <c r="AE51" s="26" t="n">
        <v>140.09</v>
      </c>
      <c r="AF51" s="30" t="n">
        <v>4</v>
      </c>
      <c r="AG51" s="30" t="n">
        <v>4</v>
      </c>
      <c r="AH51" s="30" t="n">
        <v>119</v>
      </c>
      <c r="AI51" s="26" t="n">
        <v>-30.18</v>
      </c>
      <c r="AJ51" s="28" t="n">
        <f aca="false">IF(N(AA51)=0,"",Z51/AA51)</f>
        <v>0.252273243919073</v>
      </c>
      <c r="AK51" s="28" t="n">
        <f aca="false">IF(N(AE51)=0,"",Z51/AE51)</f>
        <v>0.316867727889214</v>
      </c>
      <c r="AL51" s="39" t="n">
        <f aca="false">IF(N(Z51)=0,"",AA51/Z51)</f>
        <v>3.96395584591124</v>
      </c>
      <c r="AM51" s="29" t="n">
        <f aca="false">IF(N(AC51)=0,"",Z51/AC51)</f>
        <v>1.10975</v>
      </c>
      <c r="AN51" s="28" t="n">
        <f aca="false">IF(N(AD51)=0,"",AC51/AD51)</f>
        <v>0.00279798545047566</v>
      </c>
      <c r="AO51" s="28" t="n">
        <f aca="false">IF(N(AC51)=0,"",AB51/AC51)</f>
        <v>0.1</v>
      </c>
      <c r="AP51" s="28" t="n">
        <f aca="false">IF(N(AG51)=0,"",AB51/AG51)</f>
        <v>1</v>
      </c>
      <c r="AQ51" s="29" t="n">
        <f aca="false">IF(N(AF51)=0,"",AE51/AF51)</f>
        <v>35.0225</v>
      </c>
      <c r="AR51" s="26" t="n">
        <f aca="false">IF(N(26)=0,"",Z51/26)</f>
        <v>1.70730769230769</v>
      </c>
      <c r="AS51" s="39" t="n">
        <f aca="false">IF(N(26)=0,"",AF51/26)</f>
        <v>0.153846153846154</v>
      </c>
      <c r="AT51" s="28" t="n">
        <f aca="false">IF(N(AE51)=0,"",AI51/AE51)</f>
        <v>-0.215432935969734</v>
      </c>
      <c r="AU51" s="27" t="n">
        <f aca="false">IF(OR(W51="",AR51=""),"",IF(N(W51)=0,"",AR51/W51-1))</f>
        <v>-0.0535988401842059</v>
      </c>
      <c r="AV51" s="27" t="n">
        <f aca="false">IF(N(F51)=0,"",(AA51/26)/(F51/30)-1)</f>
        <v>0.264516499942509</v>
      </c>
      <c r="AW51" s="27" t="n">
        <f aca="false">IF(OR(X51="",AS51=""),"",IF(N(X51)=0,"",AS51/X51-1))</f>
        <v>-0.67032967032967</v>
      </c>
      <c r="AX51" s="27" t="n">
        <f aca="false">IF(OR(O51="",AJ51=""),"",AJ51-O51)</f>
        <v>-0.0847970101915403</v>
      </c>
      <c r="AY51" s="27" t="n">
        <f aca="false">IF(OR(P51="",AK51=""),"",AK51-P51)</f>
        <v>0.236365556175047</v>
      </c>
      <c r="AZ51" s="27" t="n">
        <f aca="false">IF(OR(R51="",AM51=""),"",IF(N(R51)=0,"",AM51/R51-1))</f>
        <v>0.414869733924612</v>
      </c>
      <c r="BA51" s="27" t="n">
        <f aca="false">IF(OR(T51="",AO51=""),"",AO51-T51)</f>
        <v>0.027536231884058</v>
      </c>
      <c r="BB51" s="27" t="n">
        <f aca="false">IF(OR(V51="",AQ51=""),"",IF(N(V51)=0,"",AQ51/V51-1))</f>
        <v>-0.270668471470221</v>
      </c>
    </row>
    <row r="52" customFormat="false" ht="15" hidden="false" customHeight="false" outlineLevel="0" collapsed="false">
      <c r="A52" s="18" t="s">
        <v>253</v>
      </c>
      <c r="B52" s="18" t="s">
        <v>179</v>
      </c>
      <c r="C52" s="14" t="s">
        <v>240</v>
      </c>
      <c r="D52" s="18" t="s">
        <v>230</v>
      </c>
      <c r="E52" s="26" t="n">
        <v>76.75</v>
      </c>
      <c r="F52" s="26" t="n">
        <v>233.45</v>
      </c>
      <c r="G52" s="30" t="n">
        <v>7</v>
      </c>
      <c r="H52" s="30" t="n">
        <v>224</v>
      </c>
      <c r="I52" s="30" t="n">
        <v>24495</v>
      </c>
      <c r="J52" s="26" t="n">
        <v>300.15</v>
      </c>
      <c r="K52" s="30" t="n">
        <v>9</v>
      </c>
      <c r="L52" s="30" t="n">
        <v>9</v>
      </c>
      <c r="M52" s="30" t="n">
        <v>311</v>
      </c>
      <c r="N52" s="26" t="n">
        <v>-45.76</v>
      </c>
      <c r="O52" s="28" t="n">
        <f aca="false">IF(N(F52)=0,"",E52/F52)</f>
        <v>0.328764189333905</v>
      </c>
      <c r="P52" s="28" t="n">
        <f aca="false">IF(N(J52)=0,"",E52/J52)</f>
        <v>0.255705480593037</v>
      </c>
      <c r="Q52" s="39" t="n">
        <f aca="false">IF(N(E52)=0,"",F52/E52)</f>
        <v>3.04169381107492</v>
      </c>
      <c r="R52" s="29" t="n">
        <f aca="false">IF(N(H52)=0,"",E52/H52)</f>
        <v>0.342633928571429</v>
      </c>
      <c r="S52" s="28" t="n">
        <f aca="false">IF(N(I52)=0,"",H52/I52)</f>
        <v>0.00914472341294142</v>
      </c>
      <c r="T52" s="28" t="n">
        <f aca="false">IF(N(H52)=0,"",G52/H52)</f>
        <v>0.03125</v>
      </c>
      <c r="U52" s="28" t="n">
        <f aca="false">IF(N(L52)=0,"",G52/L52)</f>
        <v>0.777777777777778</v>
      </c>
      <c r="V52" s="29" t="n">
        <f aca="false">IF(N(K52)=0,"",J52/K52)</f>
        <v>33.35</v>
      </c>
      <c r="W52" s="26" t="n">
        <f aca="false">IF(N(30)=0,"",E52/30)</f>
        <v>2.55833333333333</v>
      </c>
      <c r="X52" s="39" t="n">
        <f aca="false">IF(N(30)=0,"",K52/30)</f>
        <v>0.3</v>
      </c>
      <c r="Y52" s="28" t="n">
        <f aca="false">IF(N(J52)=0,"",N52/J52)</f>
        <v>-0.152457104780943</v>
      </c>
      <c r="Z52" s="26" t="n">
        <v>16.33</v>
      </c>
      <c r="AA52" s="26" t="n">
        <v>32.62</v>
      </c>
      <c r="AB52" s="30" t="n">
        <v>1</v>
      </c>
      <c r="AC52" s="30" t="n">
        <v>47</v>
      </c>
      <c r="AD52" s="30" t="n">
        <v>5966</v>
      </c>
      <c r="AE52" s="26" t="n">
        <v>32.62</v>
      </c>
      <c r="AF52" s="30" t="n">
        <v>1</v>
      </c>
      <c r="AG52" s="30" t="n">
        <v>1</v>
      </c>
      <c r="AH52" s="30" t="n">
        <v>62</v>
      </c>
      <c r="AI52" s="26" t="n">
        <v>24.76</v>
      </c>
      <c r="AJ52" s="28" t="n">
        <f aca="false">IF(N(AA52)=0,"",Z52/AA52)</f>
        <v>0.500613120784795</v>
      </c>
      <c r="AK52" s="28" t="n">
        <f aca="false">IF(N(AE52)=0,"",Z52/AE52)</f>
        <v>0.500613120784795</v>
      </c>
      <c r="AL52" s="39" t="n">
        <f aca="false">IF(N(Z52)=0,"",AA52/Z52)</f>
        <v>1.99755052051439</v>
      </c>
      <c r="AM52" s="29" t="n">
        <f aca="false">IF(N(AC52)=0,"",Z52/AC52)</f>
        <v>0.347446808510638</v>
      </c>
      <c r="AN52" s="28" t="n">
        <f aca="false">IF(N(AD52)=0,"",AC52/AD52)</f>
        <v>0.00787797519275897</v>
      </c>
      <c r="AO52" s="28" t="n">
        <f aca="false">IF(N(AC52)=0,"",AB52/AC52)</f>
        <v>0.0212765957446809</v>
      </c>
      <c r="AP52" s="28" t="n">
        <f aca="false">IF(N(AG52)=0,"",AB52/AG52)</f>
        <v>1</v>
      </c>
      <c r="AQ52" s="29" t="n">
        <f aca="false">IF(N(AF52)=0,"",AE52/AF52)</f>
        <v>32.62</v>
      </c>
      <c r="AR52" s="26" t="n">
        <f aca="false">IF(N(26)=0,"",Z52/26)</f>
        <v>0.628076923076923</v>
      </c>
      <c r="AS52" s="39" t="n">
        <f aca="false">IF(N(26)=0,"",AF52/26)</f>
        <v>0.0384615384615385</v>
      </c>
      <c r="AT52" s="28" t="n">
        <f aca="false">IF(N(AE52)=0,"",AI52/AE52)</f>
        <v>0.759043531575721</v>
      </c>
      <c r="AU52" s="27" t="n">
        <f aca="false">IF(OR(W52="",AR52=""),"",IF(N(W52)=0,"",AR52/W52-1))</f>
        <v>-0.7544976196442</v>
      </c>
      <c r="AV52" s="27" t="n">
        <f aca="false">IF(N(F52)=0,"",(AA52/26)/(F52/30)-1)</f>
        <v>-0.838772921231692</v>
      </c>
      <c r="AW52" s="27" t="n">
        <f aca="false">IF(OR(X52="",AS52=""),"",IF(N(X52)=0,"",AS52/X52-1))</f>
        <v>-0.871794871794872</v>
      </c>
      <c r="AX52" s="27" t="n">
        <f aca="false">IF(OR(O52="",AJ52=""),"",AJ52-O52)</f>
        <v>0.17184893145089</v>
      </c>
      <c r="AY52" s="27" t="n">
        <f aca="false">IF(OR(P52="",AK52=""),"",AK52-P52)</f>
        <v>0.244907640191758</v>
      </c>
      <c r="AZ52" s="27" t="n">
        <f aca="false">IF(OR(R52="",AM52=""),"",IF(N(R52)=0,"",AM52/R52-1))</f>
        <v>0.0140467114838172</v>
      </c>
      <c r="BA52" s="27" t="n">
        <f aca="false">IF(OR(T52="",AO52=""),"",AO52-T52)</f>
        <v>-0.00997340425531915</v>
      </c>
      <c r="BB52" s="27" t="n">
        <f aca="false">IF(OR(V52="",AQ52=""),"",IF(N(V52)=0,"",AQ52/V52-1))</f>
        <v>-0.0218890554722638</v>
      </c>
    </row>
    <row r="53" customFormat="false" ht="15" hidden="false" customHeight="false" outlineLevel="0" collapsed="false">
      <c r="A53" s="18" t="s">
        <v>254</v>
      </c>
      <c r="B53" s="18" t="s">
        <v>183</v>
      </c>
      <c r="C53" s="14" t="s">
        <v>243</v>
      </c>
      <c r="D53" s="18" t="s">
        <v>255</v>
      </c>
      <c r="E53" s="26" t="n">
        <v>0.85</v>
      </c>
      <c r="F53" s="26" t="n">
        <v>0</v>
      </c>
      <c r="G53" s="30" t="n">
        <v>0</v>
      </c>
      <c r="H53" s="30" t="n">
        <v>0</v>
      </c>
      <c r="I53" s="30" t="n">
        <v>760</v>
      </c>
      <c r="J53" s="26" t="n">
        <v>2963.32</v>
      </c>
      <c r="K53" s="30" t="n">
        <v>109</v>
      </c>
      <c r="L53" s="30" t="n">
        <v>99</v>
      </c>
      <c r="M53" s="30" t="n">
        <v>1788</v>
      </c>
      <c r="N53" s="26" t="n">
        <v>620.36</v>
      </c>
      <c r="O53" s="28" t="str">
        <f aca="false">IF(N(F53)=0,"",E53/F53)</f>
        <v/>
      </c>
      <c r="P53" s="28" t="n">
        <f aca="false">IF(N(J53)=0,"",E53/J53)</f>
        <v>0.000286840435727495</v>
      </c>
      <c r="Q53" s="39" t="n">
        <f aca="false">IF(N(E53)=0,"",F53/E53)</f>
        <v>0</v>
      </c>
      <c r="R53" s="29" t="str">
        <f aca="false">IF(N(H53)=0,"",E53/H53)</f>
        <v/>
      </c>
      <c r="S53" s="28" t="n">
        <f aca="false">IF(N(I53)=0,"",H53/I53)</f>
        <v>0</v>
      </c>
      <c r="T53" s="28" t="str">
        <f aca="false">IF(N(H53)=0,"",G53/H53)</f>
        <v/>
      </c>
      <c r="U53" s="28" t="n">
        <f aca="false">IF(N(L53)=0,"",G53/L53)</f>
        <v>0</v>
      </c>
      <c r="V53" s="29" t="n">
        <f aca="false">IF(N(K53)=0,"",J53/K53)</f>
        <v>27.1864220183486</v>
      </c>
      <c r="W53" s="26" t="n">
        <f aca="false">IF(N(30)=0,"",E53/30)</f>
        <v>0.0283333333333333</v>
      </c>
      <c r="X53" s="39" t="n">
        <f aca="false">IF(N(30)=0,"",K53/30)</f>
        <v>3.63333333333333</v>
      </c>
      <c r="Y53" s="28" t="n">
        <f aca="false">IF(N(J53)=0,"",N53/J53)</f>
        <v>0.20934627377401</v>
      </c>
      <c r="Z53" s="26" t="n">
        <v>89.32</v>
      </c>
      <c r="AA53" s="26" t="n">
        <v>242.22</v>
      </c>
      <c r="AB53" s="30" t="n">
        <v>7</v>
      </c>
      <c r="AC53" s="30" t="n">
        <v>194</v>
      </c>
      <c r="AD53" s="30" t="n">
        <v>33955</v>
      </c>
      <c r="AE53" s="26" t="n">
        <v>2329.47</v>
      </c>
      <c r="AF53" s="30" t="n">
        <v>85</v>
      </c>
      <c r="AG53" s="30" t="n">
        <v>76</v>
      </c>
      <c r="AH53" s="30" t="n">
        <v>1904</v>
      </c>
      <c r="AI53" s="26" t="n">
        <v>459.21</v>
      </c>
      <c r="AJ53" s="28" t="n">
        <f aca="false">IF(N(AA53)=0,"",Z53/AA53)</f>
        <v>0.368755676657584</v>
      </c>
      <c r="AK53" s="28" t="n">
        <f aca="false">IF(N(AE53)=0,"",Z53/AE53)</f>
        <v>0.038343485857298</v>
      </c>
      <c r="AL53" s="39" t="n">
        <f aca="false">IF(N(Z53)=0,"",AA53/Z53)</f>
        <v>2.71182266009852</v>
      </c>
      <c r="AM53" s="29" t="n">
        <f aca="false">IF(N(AC53)=0,"",Z53/AC53)</f>
        <v>0.460412371134021</v>
      </c>
      <c r="AN53" s="28" t="n">
        <f aca="false">IF(N(AD53)=0,"",AC53/AD53)</f>
        <v>0.00571344426446768</v>
      </c>
      <c r="AO53" s="28" t="n">
        <f aca="false">IF(N(AC53)=0,"",AB53/AC53)</f>
        <v>0.0360824742268041</v>
      </c>
      <c r="AP53" s="28" t="n">
        <f aca="false">IF(N(AG53)=0,"",AB53/AG53)</f>
        <v>0.0921052631578947</v>
      </c>
      <c r="AQ53" s="29" t="n">
        <f aca="false">IF(N(AF53)=0,"",AE53/AF53)</f>
        <v>27.4055294117647</v>
      </c>
      <c r="AR53" s="26" t="n">
        <f aca="false">IF(N(26)=0,"",Z53/26)</f>
        <v>3.43538461538462</v>
      </c>
      <c r="AS53" s="39" t="n">
        <f aca="false">IF(N(26)=0,"",AF53/26)</f>
        <v>3.26923076923077</v>
      </c>
      <c r="AT53" s="28" t="n">
        <f aca="false">IF(N(AE53)=0,"",AI53/AE53)</f>
        <v>0.197130677793661</v>
      </c>
      <c r="AU53" s="27" t="n">
        <f aca="false">IF(OR(W53="",AR53=""),"",IF(N(W53)=0,"",AR53/W53-1))</f>
        <v>120.248868778281</v>
      </c>
      <c r="AV53" s="27" t="str">
        <f aca="false">IF(N(F53)=0,"",(AA53/26)/(F53/30)-1)</f>
        <v/>
      </c>
      <c r="AW53" s="27" t="n">
        <f aca="false">IF(OR(X53="",AS53=""),"",IF(N(X53)=0,"",AS53/X53-1))</f>
        <v>-0.100211714890614</v>
      </c>
      <c r="AX53" s="27" t="str">
        <f aca="false">IF(OR(O53="",AJ53=""),"",AJ53-O53)</f>
        <v/>
      </c>
      <c r="AY53" s="27" t="n">
        <f aca="false">IF(OR(P53="",AK53=""),"",AK53-P53)</f>
        <v>0.0380566454215705</v>
      </c>
      <c r="AZ53" s="27" t="str">
        <f aca="false">IF(OR(R53="",AM53=""),"",IF(N(R53)=0,"",AM53/R53-1))</f>
        <v/>
      </c>
      <c r="BA53" s="27" t="str">
        <f aca="false">IF(OR(T53="",AO53=""),"",AO53-T53)</f>
        <v/>
      </c>
      <c r="BB53" s="27" t="n">
        <f aca="false">IF(OR(V53="",AQ53=""),"",IF(N(V53)=0,"",AQ53/V53-1))</f>
        <v>0.00805944207252418</v>
      </c>
    </row>
    <row r="54" customFormat="false" ht="15" hidden="false" customHeight="false" outlineLevel="0" collapsed="false">
      <c r="A54" s="18" t="s">
        <v>256</v>
      </c>
      <c r="B54" s="18" t="s">
        <v>84</v>
      </c>
      <c r="C54" s="14" t="s">
        <v>85</v>
      </c>
      <c r="D54" s="18" t="s">
        <v>241</v>
      </c>
      <c r="E54" s="26" t="n">
        <v>44.78</v>
      </c>
      <c r="F54" s="26" t="n">
        <v>108.57</v>
      </c>
      <c r="G54" s="30" t="n">
        <v>1</v>
      </c>
      <c r="H54" s="30" t="n">
        <v>229</v>
      </c>
      <c r="I54" s="30" t="n">
        <v>12303</v>
      </c>
      <c r="J54" s="26" t="n">
        <v>511.82</v>
      </c>
      <c r="K54" s="30" t="n">
        <v>12</v>
      </c>
      <c r="L54" s="30" t="n">
        <v>11</v>
      </c>
      <c r="M54" s="30" t="n">
        <v>708</v>
      </c>
      <c r="N54" s="26" t="n">
        <v>-1419.86</v>
      </c>
      <c r="O54" s="28" t="n">
        <f aca="false">IF(N(F54)=0,"",E54/F54)</f>
        <v>0.412452795431519</v>
      </c>
      <c r="P54" s="28" t="n">
        <f aca="false">IF(N(J54)=0,"",E54/J54)</f>
        <v>0.0874916962994803</v>
      </c>
      <c r="Q54" s="39" t="n">
        <f aca="false">IF(N(E54)=0,"",F54/E54)</f>
        <v>2.42451987494417</v>
      </c>
      <c r="R54" s="29" t="n">
        <f aca="false">IF(N(H54)=0,"",E54/H54)</f>
        <v>0.195545851528384</v>
      </c>
      <c r="S54" s="28" t="n">
        <f aca="false">IF(N(I54)=0,"",H54/I54)</f>
        <v>0.0186133463382915</v>
      </c>
      <c r="T54" s="28" t="n">
        <f aca="false">IF(N(H54)=0,"",G54/H54)</f>
        <v>0.00436681222707424</v>
      </c>
      <c r="U54" s="28" t="n">
        <f aca="false">IF(N(L54)=0,"",G54/L54)</f>
        <v>0.0909090909090909</v>
      </c>
      <c r="V54" s="29" t="n">
        <f aca="false">IF(N(K54)=0,"",J54/K54)</f>
        <v>42.6516666666667</v>
      </c>
      <c r="W54" s="26" t="n">
        <f aca="false">IF(N(30)=0,"",E54/30)</f>
        <v>1.49266666666667</v>
      </c>
      <c r="X54" s="39" t="n">
        <f aca="false">IF(N(30)=0,"",K54/30)</f>
        <v>0.4</v>
      </c>
      <c r="Y54" s="28" t="n">
        <f aca="false">IF(N(J54)=0,"",N54/J54)</f>
        <v>-2.77413934586378</v>
      </c>
      <c r="Z54" s="26" t="n">
        <v>40.45</v>
      </c>
      <c r="AA54" s="26" t="n">
        <v>97.18</v>
      </c>
      <c r="AB54" s="30" t="n">
        <v>2</v>
      </c>
      <c r="AC54" s="30" t="n">
        <v>199</v>
      </c>
      <c r="AD54" s="30" t="n">
        <v>11101</v>
      </c>
      <c r="AE54" s="26" t="n">
        <v>266.36</v>
      </c>
      <c r="AF54" s="30" t="n">
        <v>6</v>
      </c>
      <c r="AG54" s="30" t="n">
        <v>6</v>
      </c>
      <c r="AH54" s="30" t="n">
        <v>547</v>
      </c>
      <c r="AI54" s="26" t="n">
        <v>-1443.37</v>
      </c>
      <c r="AJ54" s="28" t="n">
        <f aca="false">IF(N(AA54)=0,"",Z54/AA54)</f>
        <v>0.416237909034781</v>
      </c>
      <c r="AK54" s="28" t="n">
        <f aca="false">IF(N(AE54)=0,"",Z54/AE54)</f>
        <v>0.151862141462682</v>
      </c>
      <c r="AL54" s="39" t="n">
        <f aca="false">IF(N(Z54)=0,"",AA54/Z54)</f>
        <v>2.40247218788628</v>
      </c>
      <c r="AM54" s="29" t="n">
        <f aca="false">IF(N(AC54)=0,"",Z54/AC54)</f>
        <v>0.203266331658291</v>
      </c>
      <c r="AN54" s="28" t="n">
        <f aca="false">IF(N(AD54)=0,"",AC54/AD54)</f>
        <v>0.0179263129447798</v>
      </c>
      <c r="AO54" s="28" t="n">
        <f aca="false">IF(N(AC54)=0,"",AB54/AC54)</f>
        <v>0.0100502512562814</v>
      </c>
      <c r="AP54" s="28" t="n">
        <f aca="false">IF(N(AG54)=0,"",AB54/AG54)</f>
        <v>0.333333333333333</v>
      </c>
      <c r="AQ54" s="29" t="n">
        <f aca="false">IF(N(AF54)=0,"",AE54/AF54)</f>
        <v>44.3933333333333</v>
      </c>
      <c r="AR54" s="26" t="n">
        <f aca="false">IF(N(26)=0,"",Z54/26)</f>
        <v>1.55576923076923</v>
      </c>
      <c r="AS54" s="39" t="n">
        <f aca="false">IF(N(26)=0,"",AF54/26)</f>
        <v>0.230769230769231</v>
      </c>
      <c r="AT54" s="28" t="n">
        <f aca="false">IF(N(AE54)=0,"",AI54/AE54)</f>
        <v>-5.41886919957952</v>
      </c>
      <c r="AU54" s="27" t="n">
        <f aca="false">IF(OR(W54="",AR54=""),"",IF(N(W54)=0,"",AR54/W54-1))</f>
        <v>0.0422750541106949</v>
      </c>
      <c r="AV54" s="27" t="n">
        <f aca="false">IF(N(F54)=0,"",(AA54/26)/(F54/30)-1)</f>
        <v>0.032796990243799</v>
      </c>
      <c r="AW54" s="27" t="n">
        <f aca="false">IF(OR(X54="",AS54=""),"",IF(N(X54)=0,"",AS54/X54-1))</f>
        <v>-0.423076923076923</v>
      </c>
      <c r="AX54" s="27" t="n">
        <f aca="false">IF(OR(O54="",AJ54=""),"",AJ54-O54)</f>
        <v>0.00378511360326195</v>
      </c>
      <c r="AY54" s="27" t="n">
        <f aca="false">IF(OR(P54="",AK54=""),"",AK54-P54)</f>
        <v>0.0643704451632018</v>
      </c>
      <c r="AZ54" s="27" t="n">
        <f aca="false">IF(OR(R54="",AM54=""),"",IF(N(R54)=0,"",AM54/R54-1))</f>
        <v>0.039481687131504</v>
      </c>
      <c r="BA54" s="27" t="n">
        <f aca="false">IF(OR(T54="",AO54=""),"",AO54-T54)</f>
        <v>0.00568343902920717</v>
      </c>
      <c r="BB54" s="27" t="n">
        <f aca="false">IF(OR(V54="",AQ54=""),"",IF(N(V54)=0,"",AQ54/V54-1))</f>
        <v>0.0408346684381229</v>
      </c>
    </row>
    <row r="55" customFormat="false" ht="15" hidden="false" customHeight="false" outlineLevel="0" collapsed="false">
      <c r="A55" s="18" t="s">
        <v>257</v>
      </c>
      <c r="B55" s="18" t="s">
        <v>104</v>
      </c>
      <c r="C55" s="14" t="s">
        <v>126</v>
      </c>
      <c r="D55" s="18" t="s">
        <v>209</v>
      </c>
      <c r="E55" s="26" t="n">
        <v>33.55</v>
      </c>
      <c r="F55" s="26" t="n">
        <v>164.44</v>
      </c>
      <c r="G55" s="30" t="n">
        <v>4</v>
      </c>
      <c r="H55" s="30" t="n">
        <v>77</v>
      </c>
      <c r="I55" s="30" t="n">
        <v>7210</v>
      </c>
      <c r="J55" s="26" t="n">
        <v>1130.9</v>
      </c>
      <c r="K55" s="30" t="n">
        <v>27</v>
      </c>
      <c r="L55" s="30" t="n">
        <v>19</v>
      </c>
      <c r="M55" s="30" t="n">
        <v>222</v>
      </c>
      <c r="N55" s="26" t="n">
        <v>-103.32</v>
      </c>
      <c r="O55" s="28" t="n">
        <f aca="false">IF(N(F55)=0,"",E55/F55)</f>
        <v>0.204025784480662</v>
      </c>
      <c r="P55" s="28" t="n">
        <f aca="false">IF(N(J55)=0,"",E55/J55)</f>
        <v>0.0296666371916173</v>
      </c>
      <c r="Q55" s="39" t="n">
        <f aca="false">IF(N(E55)=0,"",F55/E55)</f>
        <v>4.90134128166915</v>
      </c>
      <c r="R55" s="29" t="n">
        <f aca="false">IF(N(H55)=0,"",E55/H55)</f>
        <v>0.435714285714286</v>
      </c>
      <c r="S55" s="28" t="n">
        <f aca="false">IF(N(I55)=0,"",H55/I55)</f>
        <v>0.0106796116504854</v>
      </c>
      <c r="T55" s="28" t="n">
        <f aca="false">IF(N(H55)=0,"",G55/H55)</f>
        <v>0.051948051948052</v>
      </c>
      <c r="U55" s="28" t="n">
        <f aca="false">IF(N(L55)=0,"",G55/L55)</f>
        <v>0.210526315789474</v>
      </c>
      <c r="V55" s="29" t="n">
        <f aca="false">IF(N(K55)=0,"",J55/K55)</f>
        <v>41.8851851851852</v>
      </c>
      <c r="W55" s="26" t="n">
        <f aca="false">IF(N(30)=0,"",E55/30)</f>
        <v>1.11833333333333</v>
      </c>
      <c r="X55" s="39" t="n">
        <f aca="false">IF(N(30)=0,"",K55/30)</f>
        <v>0.9</v>
      </c>
      <c r="Y55" s="28" t="n">
        <f aca="false">IF(N(J55)=0,"",N55/J55)</f>
        <v>-0.0913608630294456</v>
      </c>
      <c r="Z55" s="26" t="n">
        <v>33.07</v>
      </c>
      <c r="AA55" s="26" t="n">
        <v>185.2</v>
      </c>
      <c r="AB55" s="30" t="n">
        <v>4</v>
      </c>
      <c r="AC55" s="30" t="n">
        <v>73</v>
      </c>
      <c r="AD55" s="30" t="n">
        <v>7337</v>
      </c>
      <c r="AE55" s="26" t="n">
        <v>708.23</v>
      </c>
      <c r="AF55" s="30" t="n">
        <v>17</v>
      </c>
      <c r="AG55" s="30" t="n">
        <v>17</v>
      </c>
      <c r="AH55" s="30" t="n">
        <v>205</v>
      </c>
      <c r="AI55" s="26" t="n">
        <v>202.02</v>
      </c>
      <c r="AJ55" s="28" t="n">
        <f aca="false">IF(N(AA55)=0,"",Z55/AA55)</f>
        <v>0.178563714902808</v>
      </c>
      <c r="AK55" s="28" t="n">
        <f aca="false">IF(N(AE55)=0,"",Z55/AE55)</f>
        <v>0.0466938706352456</v>
      </c>
      <c r="AL55" s="39" t="n">
        <f aca="false">IF(N(Z55)=0,"",AA55/Z55)</f>
        <v>5.60024191109767</v>
      </c>
      <c r="AM55" s="29" t="n">
        <f aca="false">IF(N(AC55)=0,"",Z55/AC55)</f>
        <v>0.453013698630137</v>
      </c>
      <c r="AN55" s="28" t="n">
        <f aca="false">IF(N(AD55)=0,"",AC55/AD55)</f>
        <v>0.00994957066921085</v>
      </c>
      <c r="AO55" s="28" t="n">
        <f aca="false">IF(N(AC55)=0,"",AB55/AC55)</f>
        <v>0.0547945205479452</v>
      </c>
      <c r="AP55" s="28" t="n">
        <f aca="false">IF(N(AG55)=0,"",AB55/AG55)</f>
        <v>0.235294117647059</v>
      </c>
      <c r="AQ55" s="29" t="n">
        <f aca="false">IF(N(AF55)=0,"",AE55/AF55)</f>
        <v>41.6605882352941</v>
      </c>
      <c r="AR55" s="26" t="n">
        <f aca="false">IF(N(26)=0,"",Z55/26)</f>
        <v>1.27192307692308</v>
      </c>
      <c r="AS55" s="39" t="n">
        <f aca="false">IF(N(26)=0,"",AF55/26)</f>
        <v>0.653846153846154</v>
      </c>
      <c r="AT55" s="28" t="n">
        <f aca="false">IF(N(AE55)=0,"",AI55/AE55)</f>
        <v>0.285246318286432</v>
      </c>
      <c r="AU55" s="27" t="n">
        <f aca="false">IF(OR(W55="",AR55=""),"",IF(N(W55)=0,"",AR55/W55-1))</f>
        <v>0.137338071764301</v>
      </c>
      <c r="AV55" s="27" t="n">
        <f aca="false">IF(N(F55)=0,"",(AA55/26)/(F55/30)-1)</f>
        <v>0.299515371517317</v>
      </c>
      <c r="AW55" s="27" t="n">
        <f aca="false">IF(OR(X55="",AS55=""),"",IF(N(X55)=0,"",AS55/X55-1))</f>
        <v>-0.273504273504274</v>
      </c>
      <c r="AX55" s="27" t="n">
        <f aca="false">IF(OR(O55="",AJ55=""),"",AJ55-O55)</f>
        <v>-0.0254620695778539</v>
      </c>
      <c r="AY55" s="27" t="n">
        <f aca="false">IF(OR(P55="",AK55=""),"",AK55-P55)</f>
        <v>0.0170272334436283</v>
      </c>
      <c r="AZ55" s="27" t="n">
        <f aca="false">IF(OR(R55="",AM55=""),"",IF(N(R55)=0,"",AM55/R55-1))</f>
        <v>0.0397035706265441</v>
      </c>
      <c r="BA55" s="27" t="n">
        <f aca="false">IF(OR(T55="",AO55=""),"",AO55-T55)</f>
        <v>0.00284646859989325</v>
      </c>
      <c r="BB55" s="27" t="n">
        <f aca="false">IF(OR(V55="",AQ55=""),"",IF(N(V55)=0,"",AQ55/V55-1))</f>
        <v>-0.00536220501110507</v>
      </c>
    </row>
    <row r="56" customFormat="false" ht="15" hidden="false" customHeight="false" outlineLevel="0" collapsed="false">
      <c r="A56" s="18" t="s">
        <v>258</v>
      </c>
      <c r="B56" s="18" t="s">
        <v>167</v>
      </c>
      <c r="C56" s="14" t="s">
        <v>194</v>
      </c>
      <c r="D56" s="18" t="s">
        <v>233</v>
      </c>
      <c r="E56" s="26" t="n">
        <v>45.26</v>
      </c>
      <c r="F56" s="26" t="n">
        <v>83.97</v>
      </c>
      <c r="G56" s="30" t="n">
        <v>3</v>
      </c>
      <c r="H56" s="30" t="n">
        <v>80</v>
      </c>
      <c r="I56" s="30" t="n">
        <v>10674</v>
      </c>
      <c r="J56" s="26" t="n">
        <v>195.93</v>
      </c>
      <c r="K56" s="30" t="n">
        <v>7</v>
      </c>
      <c r="L56" s="30" t="n">
        <v>7</v>
      </c>
      <c r="M56" s="30" t="n">
        <v>183</v>
      </c>
      <c r="N56" s="26" t="n">
        <v>-75.61</v>
      </c>
      <c r="O56" s="28" t="n">
        <f aca="false">IF(N(F56)=0,"",E56/F56)</f>
        <v>0.539002024532571</v>
      </c>
      <c r="P56" s="28" t="n">
        <f aca="false">IF(N(J56)=0,"",E56/J56)</f>
        <v>0.231000867656816</v>
      </c>
      <c r="Q56" s="39" t="n">
        <f aca="false">IF(N(E56)=0,"",F56/E56)</f>
        <v>1.85528060097216</v>
      </c>
      <c r="R56" s="29" t="n">
        <f aca="false">IF(N(H56)=0,"",E56/H56)</f>
        <v>0.56575</v>
      </c>
      <c r="S56" s="28" t="n">
        <f aca="false">IF(N(I56)=0,"",H56/I56)</f>
        <v>0.00749484729248642</v>
      </c>
      <c r="T56" s="28" t="n">
        <f aca="false">IF(N(H56)=0,"",G56/H56)</f>
        <v>0.0375</v>
      </c>
      <c r="U56" s="28" t="n">
        <f aca="false">IF(N(L56)=0,"",G56/L56)</f>
        <v>0.428571428571429</v>
      </c>
      <c r="V56" s="29" t="n">
        <f aca="false">IF(N(K56)=0,"",J56/K56)</f>
        <v>27.99</v>
      </c>
      <c r="W56" s="26" t="n">
        <f aca="false">IF(N(30)=0,"",E56/30)</f>
        <v>1.50866666666667</v>
      </c>
      <c r="X56" s="39" t="n">
        <f aca="false">IF(N(30)=0,"",K56/30)</f>
        <v>0.233333333333333</v>
      </c>
      <c r="Y56" s="28" t="n">
        <f aca="false">IF(N(J56)=0,"",N56/J56)</f>
        <v>-0.385903128668402</v>
      </c>
      <c r="Z56" s="26" t="n">
        <v>20.1</v>
      </c>
      <c r="AA56" s="26" t="n">
        <v>55.98</v>
      </c>
      <c r="AB56" s="30" t="n">
        <v>2</v>
      </c>
      <c r="AC56" s="30" t="n">
        <v>35</v>
      </c>
      <c r="AD56" s="30" t="n">
        <v>3072</v>
      </c>
      <c r="AE56" s="26" t="n">
        <v>55.98</v>
      </c>
      <c r="AF56" s="30" t="n">
        <v>2</v>
      </c>
      <c r="AG56" s="30" t="n">
        <v>2</v>
      </c>
      <c r="AH56" s="30" t="n">
        <v>63</v>
      </c>
      <c r="AI56" s="26" t="n">
        <v>34.58</v>
      </c>
      <c r="AJ56" s="28" t="n">
        <f aca="false">IF(N(AA56)=0,"",Z56/AA56)</f>
        <v>0.359056806002144</v>
      </c>
      <c r="AK56" s="28" t="n">
        <f aca="false">IF(N(AE56)=0,"",Z56/AE56)</f>
        <v>0.359056806002144</v>
      </c>
      <c r="AL56" s="39" t="n">
        <f aca="false">IF(N(Z56)=0,"",AA56/Z56)</f>
        <v>2.78507462686567</v>
      </c>
      <c r="AM56" s="29" t="n">
        <f aca="false">IF(N(AC56)=0,"",Z56/AC56)</f>
        <v>0.574285714285714</v>
      </c>
      <c r="AN56" s="28" t="n">
        <f aca="false">IF(N(AD56)=0,"",AC56/AD56)</f>
        <v>0.0113932291666667</v>
      </c>
      <c r="AO56" s="28" t="n">
        <f aca="false">IF(N(AC56)=0,"",AB56/AC56)</f>
        <v>0.0571428571428571</v>
      </c>
      <c r="AP56" s="28" t="n">
        <f aca="false">IF(N(AG56)=0,"",AB56/AG56)</f>
        <v>1</v>
      </c>
      <c r="AQ56" s="29" t="n">
        <f aca="false">IF(N(AF56)=0,"",AE56/AF56)</f>
        <v>27.99</v>
      </c>
      <c r="AR56" s="26" t="n">
        <f aca="false">IF(N(26)=0,"",Z56/26)</f>
        <v>0.773076923076923</v>
      </c>
      <c r="AS56" s="39" t="n">
        <f aca="false">IF(N(26)=0,"",AF56/26)</f>
        <v>0.0769230769230769</v>
      </c>
      <c r="AT56" s="28" t="n">
        <f aca="false">IF(N(AE56)=0,"",AI56/AE56)</f>
        <v>0.617720614505181</v>
      </c>
      <c r="AU56" s="27" t="n">
        <f aca="false">IF(OR(W56="",AR56=""),"",IF(N(W56)=0,"",AR56/W56-1))</f>
        <v>-0.487576056290153</v>
      </c>
      <c r="AV56" s="27" t="n">
        <f aca="false">IF(N(F56)=0,"",(AA56/26)/(F56/30)-1)</f>
        <v>-0.230769230769231</v>
      </c>
      <c r="AW56" s="27" t="n">
        <f aca="false">IF(OR(X56="",AS56=""),"",IF(N(X56)=0,"",AS56/X56-1))</f>
        <v>-0.67032967032967</v>
      </c>
      <c r="AX56" s="27" t="n">
        <f aca="false">IF(OR(O56="",AJ56=""),"",AJ56-O56)</f>
        <v>-0.179945218530428</v>
      </c>
      <c r="AY56" s="27" t="n">
        <f aca="false">IF(OR(P56="",AK56=""),"",AK56-P56)</f>
        <v>0.128055938345328</v>
      </c>
      <c r="AZ56" s="27" t="n">
        <f aca="false">IF(OR(R56="",AM56=""),"",IF(N(R56)=0,"",AM56/R56-1))</f>
        <v>0.015087431349031</v>
      </c>
      <c r="BA56" s="27" t="n">
        <f aca="false">IF(OR(T56="",AO56=""),"",AO56-T56)</f>
        <v>0.0196428571428571</v>
      </c>
      <c r="BB56" s="27" t="n">
        <f aca="false">IF(OR(V56="",AQ56=""),"",IF(N(V56)=0,"",AQ56/V56-1))</f>
        <v>0</v>
      </c>
    </row>
    <row r="57" customFormat="false" ht="15" hidden="false" customHeight="false" outlineLevel="0" collapsed="false">
      <c r="A57" s="18" t="s">
        <v>259</v>
      </c>
      <c r="B57" s="18" t="s">
        <v>179</v>
      </c>
      <c r="C57" s="14" t="s">
        <v>240</v>
      </c>
      <c r="D57" s="18" t="s">
        <v>201</v>
      </c>
      <c r="E57" s="26" t="n">
        <v>11.96</v>
      </c>
      <c r="F57" s="26" t="n">
        <v>29.99</v>
      </c>
      <c r="G57" s="30" t="n">
        <v>1</v>
      </c>
      <c r="H57" s="30" t="n">
        <v>20</v>
      </c>
      <c r="I57" s="30" t="n">
        <v>1630</v>
      </c>
      <c r="J57" s="26" t="n">
        <v>29.99</v>
      </c>
      <c r="K57" s="30" t="n">
        <v>1</v>
      </c>
      <c r="L57" s="30" t="n">
        <v>1</v>
      </c>
      <c r="M57" s="30" t="n">
        <v>40</v>
      </c>
      <c r="N57" s="26" t="n">
        <v>-5.68</v>
      </c>
      <c r="O57" s="28" t="n">
        <f aca="false">IF(N(F57)=0,"",E57/F57)</f>
        <v>0.398799599866622</v>
      </c>
      <c r="P57" s="28" t="n">
        <f aca="false">IF(N(J57)=0,"",E57/J57)</f>
        <v>0.398799599866622</v>
      </c>
      <c r="Q57" s="39" t="n">
        <f aca="false">IF(N(E57)=0,"",F57/E57)</f>
        <v>2.50752508361204</v>
      </c>
      <c r="R57" s="29" t="n">
        <f aca="false">IF(N(H57)=0,"",E57/H57)</f>
        <v>0.598</v>
      </c>
      <c r="S57" s="28" t="n">
        <f aca="false">IF(N(I57)=0,"",H57/I57)</f>
        <v>0.0122699386503067</v>
      </c>
      <c r="T57" s="28" t="n">
        <f aca="false">IF(N(H57)=0,"",G57/H57)</f>
        <v>0.05</v>
      </c>
      <c r="U57" s="28" t="n">
        <f aca="false">IF(N(L57)=0,"",G57/L57)</f>
        <v>1</v>
      </c>
      <c r="V57" s="29" t="n">
        <f aca="false">IF(N(K57)=0,"",J57/K57)</f>
        <v>29.99</v>
      </c>
      <c r="W57" s="26" t="n">
        <f aca="false">IF(N(30)=0,"",E57/30)</f>
        <v>0.398666666666667</v>
      </c>
      <c r="X57" s="39" t="n">
        <f aca="false">IF(N(30)=0,"",K57/30)</f>
        <v>0.0333333333333333</v>
      </c>
      <c r="Y57" s="28" t="n">
        <f aca="false">IF(N(J57)=0,"",N57/J57)</f>
        <v>-0.189396465488496</v>
      </c>
      <c r="Z57" s="26" t="n">
        <v>49.27</v>
      </c>
      <c r="AA57" s="26" t="n">
        <v>0</v>
      </c>
      <c r="AB57" s="30" t="n">
        <v>0</v>
      </c>
      <c r="AC57" s="30" t="n">
        <v>38</v>
      </c>
      <c r="AD57" s="30" t="n">
        <v>5842</v>
      </c>
      <c r="AE57" s="26" t="n">
        <v>29.99</v>
      </c>
      <c r="AF57" s="30" t="n">
        <v>1</v>
      </c>
      <c r="AG57" s="30" t="n">
        <v>1</v>
      </c>
      <c r="AH57" s="30" t="n">
        <v>100</v>
      </c>
      <c r="AI57" s="26" t="n">
        <v>2.12</v>
      </c>
      <c r="AJ57" s="28" t="str">
        <f aca="false">IF(N(AA57)=0,"",Z57/AA57)</f>
        <v/>
      </c>
      <c r="AK57" s="28" t="n">
        <f aca="false">IF(N(AE57)=0,"",Z57/AE57)</f>
        <v>1.64288096032011</v>
      </c>
      <c r="AL57" s="39" t="n">
        <f aca="false">IF(N(Z57)=0,"",AA57/Z57)</f>
        <v>0</v>
      </c>
      <c r="AM57" s="29" t="n">
        <f aca="false">IF(N(AC57)=0,"",Z57/AC57)</f>
        <v>1.29657894736842</v>
      </c>
      <c r="AN57" s="28" t="n">
        <f aca="false">IF(N(AD57)=0,"",AC57/AD57)</f>
        <v>0.00650462170489558</v>
      </c>
      <c r="AO57" s="28" t="n">
        <f aca="false">IF(N(AC57)=0,"",AB57/AC57)</f>
        <v>0</v>
      </c>
      <c r="AP57" s="28" t="n">
        <f aca="false">IF(N(AG57)=0,"",AB57/AG57)</f>
        <v>0</v>
      </c>
      <c r="AQ57" s="29" t="n">
        <f aca="false">IF(N(AF57)=0,"",AE57/AF57)</f>
        <v>29.99</v>
      </c>
      <c r="AR57" s="26" t="n">
        <f aca="false">IF(N(26)=0,"",Z57/26)</f>
        <v>1.895</v>
      </c>
      <c r="AS57" s="39" t="n">
        <f aca="false">IF(N(26)=0,"",AF57/26)</f>
        <v>0.0384615384615385</v>
      </c>
      <c r="AT57" s="28" t="n">
        <f aca="false">IF(N(AE57)=0,"",AI57/AE57)</f>
        <v>0.0706902300766922</v>
      </c>
      <c r="AU57" s="27" t="n">
        <f aca="false">IF(OR(W57="",AR57=""),"",IF(N(W57)=0,"",AR57/W57-1))</f>
        <v>3.75334448160535</v>
      </c>
      <c r="AV57" s="27" t="n">
        <f aca="false">IF(N(F57)=0,"",(AA57/26)/(F57/30)-1)</f>
        <v>-1</v>
      </c>
      <c r="AW57" s="27" t="n">
        <f aca="false">IF(OR(X57="",AS57=""),"",IF(N(X57)=0,"",AS57/X57-1))</f>
        <v>0.153846153846154</v>
      </c>
      <c r="AX57" s="27" t="str">
        <f aca="false">IF(OR(O57="",AJ57=""),"",AJ57-O57)</f>
        <v/>
      </c>
      <c r="AY57" s="27" t="n">
        <f aca="false">IF(OR(P57="",AK57=""),"",AK57-P57)</f>
        <v>1.24408136045348</v>
      </c>
      <c r="AZ57" s="27" t="n">
        <f aca="false">IF(OR(R57="",AM57=""),"",IF(N(R57)=0,"",AM57/R57-1))</f>
        <v>1.16819221967963</v>
      </c>
      <c r="BA57" s="27" t="n">
        <f aca="false">IF(OR(T57="",AO57=""),"",AO57-T57)</f>
        <v>-0.05</v>
      </c>
      <c r="BB57" s="27" t="n">
        <f aca="false">IF(OR(V57="",AQ57=""),"",IF(N(V57)=0,"",AQ57/V57-1))</f>
        <v>0</v>
      </c>
    </row>
    <row r="58" customFormat="false" ht="15" hidden="false" customHeight="false" outlineLevel="0" collapsed="false">
      <c r="A58" s="18" t="s">
        <v>260</v>
      </c>
      <c r="B58" s="18" t="s">
        <v>109</v>
      </c>
      <c r="C58" s="14" t="s">
        <v>110</v>
      </c>
      <c r="D58" s="18" t="s">
        <v>261</v>
      </c>
      <c r="E58" s="26" t="n">
        <v>57.58</v>
      </c>
      <c r="F58" s="26" t="n">
        <v>28.38</v>
      </c>
      <c r="G58" s="30" t="n">
        <v>1</v>
      </c>
      <c r="H58" s="30" t="n">
        <v>165</v>
      </c>
      <c r="I58" s="30" t="n">
        <v>23051</v>
      </c>
      <c r="J58" s="26" t="n">
        <v>308.61</v>
      </c>
      <c r="K58" s="30" t="n">
        <v>14</v>
      </c>
      <c r="L58" s="30" t="n">
        <v>12</v>
      </c>
      <c r="M58" s="30" t="n">
        <v>812</v>
      </c>
      <c r="N58" s="26" t="n">
        <v>-43.03</v>
      </c>
      <c r="O58" s="28" t="n">
        <f aca="false">IF(N(F58)=0,"",E58/F58)</f>
        <v>2.02889358703312</v>
      </c>
      <c r="P58" s="28" t="n">
        <f aca="false">IF(N(J58)=0,"",E58/J58)</f>
        <v>0.18657852953566</v>
      </c>
      <c r="Q58" s="39" t="n">
        <f aca="false">IF(N(E58)=0,"",F58/E58)</f>
        <v>0.492879472038902</v>
      </c>
      <c r="R58" s="29" t="n">
        <f aca="false">IF(N(H58)=0,"",E58/H58)</f>
        <v>0.348969696969697</v>
      </c>
      <c r="S58" s="28" t="n">
        <f aca="false">IF(N(I58)=0,"",H58/I58)</f>
        <v>0.00715804086590603</v>
      </c>
      <c r="T58" s="28" t="n">
        <f aca="false">IF(N(H58)=0,"",G58/H58)</f>
        <v>0.00606060606060606</v>
      </c>
      <c r="U58" s="28" t="n">
        <f aca="false">IF(N(L58)=0,"",G58/L58)</f>
        <v>0.0833333333333333</v>
      </c>
      <c r="V58" s="29" t="n">
        <f aca="false">IF(N(K58)=0,"",J58/K58)</f>
        <v>22.0435714285714</v>
      </c>
      <c r="W58" s="26" t="n">
        <f aca="false">IF(N(30)=0,"",E58/30)</f>
        <v>1.91933333333333</v>
      </c>
      <c r="X58" s="39" t="n">
        <f aca="false">IF(N(30)=0,"",K58/30)</f>
        <v>0.466666666666667</v>
      </c>
      <c r="Y58" s="28" t="n">
        <f aca="false">IF(N(J58)=0,"",N58/J58)</f>
        <v>-0.139431645118434</v>
      </c>
      <c r="Z58" s="26" t="n">
        <v>0.05</v>
      </c>
      <c r="AA58" s="26" t="n">
        <v>0.04</v>
      </c>
      <c r="AB58" s="30" t="n">
        <v>0</v>
      </c>
      <c r="AC58" s="30" t="n">
        <v>0</v>
      </c>
      <c r="AD58" s="30" t="n">
        <v>320</v>
      </c>
      <c r="AE58" s="26" t="n">
        <v>363.25</v>
      </c>
      <c r="AF58" s="30" t="n">
        <v>18</v>
      </c>
      <c r="AG58" s="30" t="n">
        <v>16</v>
      </c>
      <c r="AH58" s="30" t="n">
        <v>469</v>
      </c>
      <c r="AI58" s="26" t="n">
        <v>8.93</v>
      </c>
      <c r="AJ58" s="28" t="n">
        <f aca="false">IF(N(AA58)=0,"",Z58/AA58)</f>
        <v>1.25</v>
      </c>
      <c r="AK58" s="28" t="n">
        <f aca="false">IF(N(AE58)=0,"",Z58/AE58)</f>
        <v>0.000137646249139711</v>
      </c>
      <c r="AL58" s="39" t="n">
        <f aca="false">IF(N(Z58)=0,"",AA58/Z58)</f>
        <v>0.8</v>
      </c>
      <c r="AM58" s="29" t="str">
        <f aca="false">IF(N(AC58)=0,"",Z58/AC58)</f>
        <v/>
      </c>
      <c r="AN58" s="28" t="n">
        <f aca="false">IF(N(AD58)=0,"",AC58/AD58)</f>
        <v>0</v>
      </c>
      <c r="AO58" s="28" t="str">
        <f aca="false">IF(N(AC58)=0,"",AB58/AC58)</f>
        <v/>
      </c>
      <c r="AP58" s="28" t="n">
        <f aca="false">IF(N(AG58)=0,"",AB58/AG58)</f>
        <v>0</v>
      </c>
      <c r="AQ58" s="29" t="n">
        <f aca="false">IF(N(AF58)=0,"",AE58/AF58)</f>
        <v>20.1805555555556</v>
      </c>
      <c r="AR58" s="26" t="n">
        <f aca="false">IF(N(26)=0,"",Z58/26)</f>
        <v>0.00192307692307692</v>
      </c>
      <c r="AS58" s="39" t="n">
        <f aca="false">IF(N(26)=0,"",AF58/26)</f>
        <v>0.692307692307692</v>
      </c>
      <c r="AT58" s="28" t="n">
        <f aca="false">IF(N(AE58)=0,"",AI58/AE58)</f>
        <v>0.0245836200963524</v>
      </c>
      <c r="AU58" s="27" t="n">
        <f aca="false">IF(OR(W58="",AR58=""),"",IF(N(W58)=0,"",AR58/W58-1))</f>
        <v>-0.998998049536431</v>
      </c>
      <c r="AV58" s="27" t="n">
        <f aca="false">IF(N(F58)=0,"",(AA58/26)/(F58/30)-1)</f>
        <v>-0.998373719303952</v>
      </c>
      <c r="AW58" s="27" t="n">
        <f aca="false">IF(OR(X58="",AS58=""),"",IF(N(X58)=0,"",AS58/X58-1))</f>
        <v>0.483516483516483</v>
      </c>
      <c r="AX58" s="27" t="n">
        <f aca="false">IF(OR(O58="",AJ58=""),"",AJ58-O58)</f>
        <v>-0.778893587033122</v>
      </c>
      <c r="AY58" s="27" t="n">
        <f aca="false">IF(OR(P58="",AK58=""),"",AK58-P58)</f>
        <v>-0.18644088328652</v>
      </c>
      <c r="AZ58" s="27" t="str">
        <f aca="false">IF(OR(R58="",AM58=""),"",IF(N(R58)=0,"",AM58/R58-1))</f>
        <v/>
      </c>
      <c r="BA58" s="27" t="str">
        <f aca="false">IF(OR(T58="",AO58=""),"",AO58-T58)</f>
        <v/>
      </c>
      <c r="BB58" s="27" t="n">
        <f aca="false">IF(OR(V58="",AQ58=""),"",IF(N(V58)=0,"",AQ58/V58-1))</f>
        <v>-0.0845151557701377</v>
      </c>
    </row>
    <row r="59" customFormat="false" ht="15" hidden="false" customHeight="false" outlineLevel="0" collapsed="false">
      <c r="A59" s="18" t="s">
        <v>262</v>
      </c>
      <c r="B59" s="18" t="s">
        <v>104</v>
      </c>
      <c r="C59" s="14" t="s">
        <v>126</v>
      </c>
      <c r="D59" s="18" t="s">
        <v>209</v>
      </c>
      <c r="E59" s="26" t="n">
        <v>20.83</v>
      </c>
      <c r="F59" s="26" t="n">
        <v>95.64</v>
      </c>
      <c r="G59" s="30" t="n">
        <v>1</v>
      </c>
      <c r="H59" s="30" t="n">
        <v>46</v>
      </c>
      <c r="I59" s="30" t="n">
        <v>5640</v>
      </c>
      <c r="J59" s="26" t="n">
        <v>1292.79</v>
      </c>
      <c r="K59" s="30" t="n">
        <v>24</v>
      </c>
      <c r="L59" s="30" t="n">
        <v>21</v>
      </c>
      <c r="M59" s="30" t="n">
        <v>361</v>
      </c>
      <c r="N59" s="26" t="n">
        <v>311.38</v>
      </c>
      <c r="O59" s="28" t="n">
        <f aca="false">IF(N(F59)=0,"",E59/F59)</f>
        <v>0.217795901296529</v>
      </c>
      <c r="P59" s="28" t="n">
        <f aca="false">IF(N(J59)=0,"",E59/J59)</f>
        <v>0.0161124389885442</v>
      </c>
      <c r="Q59" s="39" t="n">
        <f aca="false">IF(N(E59)=0,"",F59/E59)</f>
        <v>4.59145463274124</v>
      </c>
      <c r="R59" s="29" t="n">
        <f aca="false">IF(N(H59)=0,"",E59/H59)</f>
        <v>0.452826086956522</v>
      </c>
      <c r="S59" s="28" t="n">
        <f aca="false">IF(N(I59)=0,"",H59/I59)</f>
        <v>0.00815602836879433</v>
      </c>
      <c r="T59" s="28" t="n">
        <f aca="false">IF(N(H59)=0,"",G59/H59)</f>
        <v>0.0217391304347826</v>
      </c>
      <c r="U59" s="28" t="n">
        <f aca="false">IF(N(L59)=0,"",G59/L59)</f>
        <v>0.0476190476190476</v>
      </c>
      <c r="V59" s="29" t="n">
        <f aca="false">IF(N(K59)=0,"",J59/K59)</f>
        <v>53.86625</v>
      </c>
      <c r="W59" s="26" t="n">
        <f aca="false">IF(N(30)=0,"",E59/30)</f>
        <v>0.694333333333333</v>
      </c>
      <c r="X59" s="39" t="n">
        <f aca="false">IF(N(30)=0,"",K59/30)</f>
        <v>0.8</v>
      </c>
      <c r="Y59" s="28" t="n">
        <f aca="false">IF(N(J59)=0,"",N59/J59)</f>
        <v>0.240858917534944</v>
      </c>
      <c r="Z59" s="26" t="n">
        <v>27.45</v>
      </c>
      <c r="AA59" s="26" t="n">
        <v>0</v>
      </c>
      <c r="AB59" s="30" t="n">
        <v>0</v>
      </c>
      <c r="AC59" s="30" t="n">
        <v>55</v>
      </c>
      <c r="AD59" s="30" t="n">
        <v>8706</v>
      </c>
      <c r="AE59" s="26" t="n">
        <v>1438.41</v>
      </c>
      <c r="AF59" s="30" t="n">
        <v>26</v>
      </c>
      <c r="AG59" s="30" t="n">
        <v>20</v>
      </c>
      <c r="AH59" s="30" t="n">
        <v>399</v>
      </c>
      <c r="AI59" s="26" t="n">
        <v>61.11</v>
      </c>
      <c r="AJ59" s="28" t="str">
        <f aca="false">IF(N(AA59)=0,"",Z59/AA59)</f>
        <v/>
      </c>
      <c r="AK59" s="28" t="n">
        <f aca="false">IF(N(AE59)=0,"",Z59/AE59)</f>
        <v>0.0190835714434688</v>
      </c>
      <c r="AL59" s="39" t="n">
        <f aca="false">IF(N(Z59)=0,"",AA59/Z59)</f>
        <v>0</v>
      </c>
      <c r="AM59" s="29" t="n">
        <f aca="false">IF(N(AC59)=0,"",Z59/AC59)</f>
        <v>0.499090909090909</v>
      </c>
      <c r="AN59" s="28" t="n">
        <f aca="false">IF(N(AD59)=0,"",AC59/AD59)</f>
        <v>0.00631748219618654</v>
      </c>
      <c r="AO59" s="28" t="n">
        <f aca="false">IF(N(AC59)=0,"",AB59/AC59)</f>
        <v>0</v>
      </c>
      <c r="AP59" s="28" t="n">
        <f aca="false">IF(N(AG59)=0,"",AB59/AG59)</f>
        <v>0</v>
      </c>
      <c r="AQ59" s="29" t="n">
        <f aca="false">IF(N(AF59)=0,"",AE59/AF59)</f>
        <v>55.3234615384615</v>
      </c>
      <c r="AR59" s="26" t="n">
        <f aca="false">IF(N(26)=0,"",Z59/26)</f>
        <v>1.05576923076923</v>
      </c>
      <c r="AS59" s="39" t="n">
        <f aca="false">IF(N(26)=0,"",AF59/26)</f>
        <v>1</v>
      </c>
      <c r="AT59" s="28" t="n">
        <f aca="false">IF(N(AE59)=0,"",AI59/AE59)</f>
        <v>0.0424844098692306</v>
      </c>
      <c r="AU59" s="27" t="n">
        <f aca="false">IF(OR(W59="",AR59=""),"",IF(N(W59)=0,"",AR59/W59-1))</f>
        <v>0.520550980464567</v>
      </c>
      <c r="AV59" s="27" t="n">
        <f aca="false">IF(N(F59)=0,"",(AA59/26)/(F59/30)-1)</f>
        <v>-1</v>
      </c>
      <c r="AW59" s="27" t="n">
        <f aca="false">IF(OR(X59="",AS59=""),"",IF(N(X59)=0,"",AS59/X59-1))</f>
        <v>0.25</v>
      </c>
      <c r="AX59" s="27" t="str">
        <f aca="false">IF(OR(O59="",AJ59=""),"",AJ59-O59)</f>
        <v/>
      </c>
      <c r="AY59" s="27" t="n">
        <f aca="false">IF(OR(P59="",AK59=""),"",AK59-P59)</f>
        <v>0.00297113245492467</v>
      </c>
      <c r="AZ59" s="27" t="n">
        <f aca="false">IF(OR(R59="",AM59=""),"",IF(N(R59)=0,"",AM59/R59-1))</f>
        <v>0.102169074324619</v>
      </c>
      <c r="BA59" s="27" t="n">
        <f aca="false">IF(OR(T59="",AO59=""),"",AO59-T59)</f>
        <v>-0.0217391304347826</v>
      </c>
      <c r="BB59" s="27" t="n">
        <f aca="false">IF(OR(V59="",AQ59=""),"",IF(N(V59)=0,"",AQ59/V59-1))</f>
        <v>0.0270524036564925</v>
      </c>
    </row>
    <row r="60" customFormat="false" ht="15" hidden="false" customHeight="false" outlineLevel="0" collapsed="false">
      <c r="A60" s="18" t="s">
        <v>263</v>
      </c>
      <c r="B60" s="18" t="s">
        <v>167</v>
      </c>
      <c r="C60" s="14" t="s">
        <v>222</v>
      </c>
      <c r="D60" s="18" t="s">
        <v>264</v>
      </c>
      <c r="E60" s="26" t="n">
        <v>18.73</v>
      </c>
      <c r="F60" s="26" t="n">
        <v>39.99</v>
      </c>
      <c r="G60" s="30" t="n">
        <v>1</v>
      </c>
      <c r="H60" s="30" t="n">
        <v>30</v>
      </c>
      <c r="I60" s="30" t="n">
        <v>4417</v>
      </c>
      <c r="J60" s="26" t="n">
        <v>263.02</v>
      </c>
      <c r="K60" s="30" t="n">
        <v>5</v>
      </c>
      <c r="L60" s="30" t="n">
        <v>4</v>
      </c>
      <c r="M60" s="30" t="n">
        <v>183</v>
      </c>
      <c r="N60" s="26" t="n">
        <v>248.97</v>
      </c>
      <c r="O60" s="28" t="n">
        <f aca="false">IF(N(F60)=0,"",E60/F60)</f>
        <v>0.468367091772943</v>
      </c>
      <c r="P60" s="28" t="n">
        <f aca="false">IF(N(J60)=0,"",E60/J60)</f>
        <v>0.071211314728918</v>
      </c>
      <c r="Q60" s="39" t="n">
        <f aca="false">IF(N(E60)=0,"",F60/E60)</f>
        <v>2.1350774159103</v>
      </c>
      <c r="R60" s="29" t="n">
        <f aca="false">IF(N(H60)=0,"",E60/H60)</f>
        <v>0.624333333333333</v>
      </c>
      <c r="S60" s="28" t="n">
        <f aca="false">IF(N(I60)=0,"",H60/I60)</f>
        <v>0.00679194023092597</v>
      </c>
      <c r="T60" s="28" t="n">
        <f aca="false">IF(N(H60)=0,"",G60/H60)</f>
        <v>0.0333333333333333</v>
      </c>
      <c r="U60" s="28" t="n">
        <f aca="false">IF(N(L60)=0,"",G60/L60)</f>
        <v>0.25</v>
      </c>
      <c r="V60" s="29" t="n">
        <f aca="false">IF(N(K60)=0,"",J60/K60)</f>
        <v>52.604</v>
      </c>
      <c r="W60" s="26" t="n">
        <f aca="false">IF(N(30)=0,"",E60/30)</f>
        <v>0.624333333333333</v>
      </c>
      <c r="X60" s="39" t="n">
        <f aca="false">IF(N(30)=0,"",K60/30)</f>
        <v>0.166666666666667</v>
      </c>
      <c r="Y60" s="28" t="n">
        <f aca="false">IF(N(J60)=0,"",N60/J60)</f>
        <v>0.946582008972702</v>
      </c>
      <c r="Z60" s="26" t="n">
        <v>9.66</v>
      </c>
      <c r="AA60" s="26" t="n">
        <v>138.68</v>
      </c>
      <c r="AB60" s="30" t="n">
        <v>3</v>
      </c>
      <c r="AC60" s="30" t="n">
        <v>20</v>
      </c>
      <c r="AD60" s="30" t="n">
        <v>472</v>
      </c>
      <c r="AE60" s="26" t="n">
        <v>1032.72</v>
      </c>
      <c r="AF60" s="30" t="n">
        <v>22</v>
      </c>
      <c r="AG60" s="30" t="n">
        <v>19</v>
      </c>
      <c r="AH60" s="30" t="n">
        <v>199</v>
      </c>
      <c r="AI60" s="26" t="n">
        <v>257.49</v>
      </c>
      <c r="AJ60" s="28" t="n">
        <f aca="false">IF(N(AA60)=0,"",Z60/AA60)</f>
        <v>0.0696567637727142</v>
      </c>
      <c r="AK60" s="28" t="n">
        <f aca="false">IF(N(AE60)=0,"",Z60/AE60)</f>
        <v>0.00935393911224727</v>
      </c>
      <c r="AL60" s="39" t="n">
        <f aca="false">IF(N(Z60)=0,"",AA60/Z60)</f>
        <v>14.3561076604555</v>
      </c>
      <c r="AM60" s="29" t="n">
        <f aca="false">IF(N(AC60)=0,"",Z60/AC60)</f>
        <v>0.483</v>
      </c>
      <c r="AN60" s="28" t="n">
        <f aca="false">IF(N(AD60)=0,"",AC60/AD60)</f>
        <v>0.0423728813559322</v>
      </c>
      <c r="AO60" s="28" t="n">
        <f aca="false">IF(N(AC60)=0,"",AB60/AC60)</f>
        <v>0.15</v>
      </c>
      <c r="AP60" s="28" t="n">
        <f aca="false">IF(N(AG60)=0,"",AB60/AG60)</f>
        <v>0.157894736842105</v>
      </c>
      <c r="AQ60" s="29" t="n">
        <f aca="false">IF(N(AF60)=0,"",AE60/AF60)</f>
        <v>46.9418181818182</v>
      </c>
      <c r="AR60" s="26" t="n">
        <f aca="false">IF(N(26)=0,"",Z60/26)</f>
        <v>0.371538461538462</v>
      </c>
      <c r="AS60" s="39" t="n">
        <f aca="false">IF(N(26)=0,"",AF60/26)</f>
        <v>0.846153846153846</v>
      </c>
      <c r="AT60" s="28" t="n">
        <f aca="false">IF(N(AE60)=0,"",AI60/AE60)</f>
        <v>0.249331861491982</v>
      </c>
      <c r="AU60" s="27" t="n">
        <f aca="false">IF(OR(W60="",AR60=""),"",IF(N(W60)=0,"",AR60/W60-1))</f>
        <v>-0.404903692143415</v>
      </c>
      <c r="AV60" s="27" t="n">
        <f aca="false">IF(N(F60)=0,"",(AA60/26)/(F60/30)-1)</f>
        <v>3.00138496162502</v>
      </c>
      <c r="AW60" s="27" t="n">
        <f aca="false">IF(OR(X60="",AS60=""),"",IF(N(X60)=0,"",AS60/X60-1))</f>
        <v>4.07692307692308</v>
      </c>
      <c r="AX60" s="27" t="n">
        <f aca="false">IF(OR(O60="",AJ60=""),"",AJ60-O60)</f>
        <v>-0.398710328000229</v>
      </c>
      <c r="AY60" s="27" t="n">
        <f aca="false">IF(OR(P60="",AK60=""),"",AK60-P60)</f>
        <v>-0.0618573756166707</v>
      </c>
      <c r="AZ60" s="27" t="n">
        <f aca="false">IF(OR(R60="",AM60=""),"",IF(N(R60)=0,"",AM60/R60-1))</f>
        <v>-0.226374799786439</v>
      </c>
      <c r="BA60" s="27" t="n">
        <f aca="false">IF(OR(T60="",AO60=""),"",AO60-T60)</f>
        <v>0.116666666666667</v>
      </c>
      <c r="BB60" s="27" t="n">
        <f aca="false">IF(OR(V60="",AQ60=""),"",IF(N(V60)=0,"",AQ60/V60-1))</f>
        <v>-0.107637856782408</v>
      </c>
    </row>
    <row r="61" customFormat="false" ht="15" hidden="false" customHeight="false" outlineLevel="0" collapsed="false">
      <c r="A61" s="18" t="s">
        <v>265</v>
      </c>
      <c r="B61" s="18" t="s">
        <v>181</v>
      </c>
      <c r="C61" s="14" t="s">
        <v>232</v>
      </c>
      <c r="D61" s="18" t="s">
        <v>241</v>
      </c>
      <c r="E61" s="26" t="n">
        <v>12.67</v>
      </c>
      <c r="F61" s="26" t="n">
        <v>35.48</v>
      </c>
      <c r="G61" s="30" t="n">
        <v>1</v>
      </c>
      <c r="H61" s="30" t="n">
        <v>38</v>
      </c>
      <c r="I61" s="30" t="n">
        <v>3582</v>
      </c>
      <c r="J61" s="26" t="n">
        <v>362.82</v>
      </c>
      <c r="K61" s="30" t="n">
        <v>11</v>
      </c>
      <c r="L61" s="30" t="n">
        <v>10</v>
      </c>
      <c r="M61" s="30" t="n">
        <v>418</v>
      </c>
      <c r="N61" s="26" t="n">
        <v>-1338.5</v>
      </c>
      <c r="O61" s="28" t="n">
        <f aca="false">IF(N(F61)=0,"",E61/F61)</f>
        <v>0.357102593010147</v>
      </c>
      <c r="P61" s="28" t="n">
        <f aca="false">IF(N(J61)=0,"",E61/J61)</f>
        <v>0.034920897414696</v>
      </c>
      <c r="Q61" s="39" t="n">
        <f aca="false">IF(N(E61)=0,"",F61/E61)</f>
        <v>2.80031570639305</v>
      </c>
      <c r="R61" s="29" t="n">
        <f aca="false">IF(N(H61)=0,"",E61/H61)</f>
        <v>0.333421052631579</v>
      </c>
      <c r="S61" s="28" t="n">
        <f aca="false">IF(N(I61)=0,"",H61/I61)</f>
        <v>0.010608598548297</v>
      </c>
      <c r="T61" s="28" t="n">
        <f aca="false">IF(N(H61)=0,"",G61/H61)</f>
        <v>0.0263157894736842</v>
      </c>
      <c r="U61" s="28" t="n">
        <f aca="false">IF(N(L61)=0,"",G61/L61)</f>
        <v>0.1</v>
      </c>
      <c r="V61" s="29" t="n">
        <f aca="false">IF(N(K61)=0,"",J61/K61)</f>
        <v>32.9836363636364</v>
      </c>
      <c r="W61" s="26" t="n">
        <f aca="false">IF(N(30)=0,"",E61/30)</f>
        <v>0.422333333333333</v>
      </c>
      <c r="X61" s="39" t="n">
        <f aca="false">IF(N(30)=0,"",K61/30)</f>
        <v>0.366666666666667</v>
      </c>
      <c r="Y61" s="28" t="n">
        <f aca="false">IF(N(J61)=0,"",N61/J61)</f>
        <v>-3.6891571578193</v>
      </c>
      <c r="Z61" s="26" t="n">
        <v>0.01</v>
      </c>
      <c r="AA61" s="26" t="n">
        <v>0</v>
      </c>
      <c r="AB61" s="30" t="n">
        <v>0</v>
      </c>
      <c r="AC61" s="30" t="n">
        <v>0</v>
      </c>
      <c r="AD61" s="30" t="n">
        <v>0</v>
      </c>
      <c r="AE61" s="26" t="n">
        <v>89.97</v>
      </c>
      <c r="AF61" s="30" t="n">
        <v>3</v>
      </c>
      <c r="AG61" s="30" t="n">
        <v>3</v>
      </c>
      <c r="AH61" s="30" t="n">
        <v>140</v>
      </c>
      <c r="AI61" s="26" t="n">
        <v>-12.35</v>
      </c>
      <c r="AJ61" s="28" t="str">
        <f aca="false">IF(N(AA61)=0,"",Z61/AA61)</f>
        <v/>
      </c>
      <c r="AK61" s="28" t="n">
        <f aca="false">IF(N(AE61)=0,"",Z61/AE61)</f>
        <v>0.000111148160497944</v>
      </c>
      <c r="AL61" s="39" t="n">
        <f aca="false">IF(N(Z61)=0,"",AA61/Z61)</f>
        <v>0</v>
      </c>
      <c r="AM61" s="29" t="str">
        <f aca="false">IF(N(AC61)=0,"",Z61/AC61)</f>
        <v/>
      </c>
      <c r="AN61" s="28" t="str">
        <f aca="false">IF(N(AD61)=0,"",AC61/AD61)</f>
        <v/>
      </c>
      <c r="AO61" s="28" t="str">
        <f aca="false">IF(N(AC61)=0,"",AB61/AC61)</f>
        <v/>
      </c>
      <c r="AP61" s="28" t="n">
        <f aca="false">IF(N(AG61)=0,"",AB61/AG61)</f>
        <v>0</v>
      </c>
      <c r="AQ61" s="29" t="n">
        <f aca="false">IF(N(AF61)=0,"",AE61/AF61)</f>
        <v>29.99</v>
      </c>
      <c r="AR61" s="26" t="n">
        <f aca="false">IF(N(26)=0,"",Z61/26)</f>
        <v>0.000384615384615385</v>
      </c>
      <c r="AS61" s="39" t="n">
        <f aca="false">IF(N(26)=0,"",AF61/26)</f>
        <v>0.115384615384615</v>
      </c>
      <c r="AT61" s="28" t="n">
        <f aca="false">IF(N(AE61)=0,"",AI61/AE61)</f>
        <v>-0.137267978214961</v>
      </c>
      <c r="AU61" s="27" t="n">
        <f aca="false">IF(OR(W61="",AR61=""),"",IF(N(W61)=0,"",AR61/W61-1))</f>
        <v>-0.999089308481574</v>
      </c>
      <c r="AV61" s="27" t="n">
        <f aca="false">IF(N(F61)=0,"",(AA61/26)/(F61/30)-1)</f>
        <v>-1</v>
      </c>
      <c r="AW61" s="27" t="n">
        <f aca="false">IF(OR(X61="",AS61=""),"",IF(N(X61)=0,"",AS61/X61-1))</f>
        <v>-0.685314685314685</v>
      </c>
      <c r="AX61" s="27" t="str">
        <f aca="false">IF(OR(O61="",AJ61=""),"",AJ61-O61)</f>
        <v/>
      </c>
      <c r="AY61" s="27" t="n">
        <f aca="false">IF(OR(P61="",AK61=""),"",AK61-P61)</f>
        <v>-0.034809749254198</v>
      </c>
      <c r="AZ61" s="27" t="str">
        <f aca="false">IF(OR(R61="",AM61=""),"",IF(N(R61)=0,"",AM61/R61-1))</f>
        <v/>
      </c>
      <c r="BA61" s="27" t="str">
        <f aca="false">IF(OR(T61="",AO61=""),"",AO61-T61)</f>
        <v/>
      </c>
      <c r="BB61" s="27" t="n">
        <f aca="false">IF(OR(V61="",AQ61=""),"",IF(N(V61)=0,"",AQ61/V61-1))</f>
        <v>-0.0907612590265146</v>
      </c>
    </row>
    <row r="62" customFormat="false" ht="15" hidden="false" customHeight="false" outlineLevel="0" collapsed="false">
      <c r="A62" s="18" t="s">
        <v>266</v>
      </c>
      <c r="B62" s="18" t="s">
        <v>130</v>
      </c>
      <c r="C62" s="14" t="s">
        <v>131</v>
      </c>
      <c r="D62" s="18" t="s">
        <v>233</v>
      </c>
      <c r="E62" s="26" t="n">
        <v>7.2</v>
      </c>
      <c r="F62" s="26" t="n">
        <v>0</v>
      </c>
      <c r="G62" s="30" t="n">
        <v>0</v>
      </c>
      <c r="H62" s="30" t="n">
        <v>24</v>
      </c>
      <c r="I62" s="30" t="n">
        <v>2310</v>
      </c>
      <c r="J62" s="26" t="n">
        <v>32.99</v>
      </c>
      <c r="K62" s="30" t="n">
        <v>1</v>
      </c>
      <c r="L62" s="30" t="n">
        <v>1</v>
      </c>
      <c r="M62" s="30" t="n">
        <v>42</v>
      </c>
      <c r="N62" s="26" t="n">
        <v>61.63</v>
      </c>
      <c r="O62" s="28" t="str">
        <f aca="false">IF(N(F62)=0,"",E62/F62)</f>
        <v/>
      </c>
      <c r="P62" s="28" t="n">
        <f aca="false">IF(N(J62)=0,"",E62/J62)</f>
        <v>0.218247953925432</v>
      </c>
      <c r="Q62" s="39" t="n">
        <f aca="false">IF(N(E62)=0,"",F62/E62)</f>
        <v>0</v>
      </c>
      <c r="R62" s="29" t="n">
        <f aca="false">IF(N(H62)=0,"",E62/H62)</f>
        <v>0.3</v>
      </c>
      <c r="S62" s="28" t="n">
        <f aca="false">IF(N(I62)=0,"",H62/I62)</f>
        <v>0.0103896103896104</v>
      </c>
      <c r="T62" s="28" t="n">
        <f aca="false">IF(N(H62)=0,"",G62/H62)</f>
        <v>0</v>
      </c>
      <c r="U62" s="28" t="n">
        <f aca="false">IF(N(L62)=0,"",G62/L62)</f>
        <v>0</v>
      </c>
      <c r="V62" s="29" t="n">
        <f aca="false">IF(N(K62)=0,"",J62/K62)</f>
        <v>32.99</v>
      </c>
      <c r="W62" s="26" t="n">
        <f aca="false">IF(N(30)=0,"",E62/30)</f>
        <v>0.24</v>
      </c>
      <c r="X62" s="39" t="n">
        <f aca="false">IF(N(30)=0,"",K62/30)</f>
        <v>0.0333333333333333</v>
      </c>
      <c r="Y62" s="28" t="n">
        <f aca="false">IF(N(J62)=0,"",N62/J62)</f>
        <v>1.86814186117005</v>
      </c>
      <c r="Z62" s="26" t="n">
        <v>0</v>
      </c>
      <c r="AA62" s="26" t="n">
        <v>0</v>
      </c>
      <c r="AB62" s="30" t="n">
        <v>0</v>
      </c>
      <c r="AC62" s="30" t="n">
        <v>0</v>
      </c>
      <c r="AD62" s="30" t="n">
        <v>0</v>
      </c>
      <c r="AE62" s="26" t="n">
        <v>0</v>
      </c>
      <c r="AF62" s="30" t="n">
        <v>0</v>
      </c>
      <c r="AG62" s="30" t="n">
        <v>0</v>
      </c>
      <c r="AH62" s="30" t="n">
        <v>0</v>
      </c>
      <c r="AI62" s="26" t="n">
        <v>61.66</v>
      </c>
      <c r="AJ62" s="28" t="str">
        <f aca="false">IF(N(AA62)=0,"",Z62/AA62)</f>
        <v/>
      </c>
      <c r="AK62" s="28" t="str">
        <f aca="false">IF(N(AE62)=0,"",Z62/AE62)</f>
        <v/>
      </c>
      <c r="AL62" s="39" t="str">
        <f aca="false">IF(N(Z62)=0,"",AA62/Z62)</f>
        <v/>
      </c>
      <c r="AM62" s="29" t="str">
        <f aca="false">IF(N(AC62)=0,"",Z62/AC62)</f>
        <v/>
      </c>
      <c r="AN62" s="28" t="str">
        <f aca="false">IF(N(AD62)=0,"",AC62/AD62)</f>
        <v/>
      </c>
      <c r="AO62" s="28" t="str">
        <f aca="false">IF(N(AC62)=0,"",AB62/AC62)</f>
        <v/>
      </c>
      <c r="AP62" s="28" t="str">
        <f aca="false">IF(N(AG62)=0,"",AB62/AG62)</f>
        <v/>
      </c>
      <c r="AQ62" s="29" t="str">
        <f aca="false">IF(N(AF62)=0,"",AE62/AF62)</f>
        <v/>
      </c>
      <c r="AR62" s="26" t="n">
        <f aca="false">IF(N(26)=0,"",Z62/26)</f>
        <v>0</v>
      </c>
      <c r="AS62" s="39" t="n">
        <f aca="false">IF(N(26)=0,"",AF62/26)</f>
        <v>0</v>
      </c>
      <c r="AT62" s="28" t="str">
        <f aca="false">IF(N(AE62)=0,"",AI62/AE62)</f>
        <v/>
      </c>
      <c r="AU62" s="27" t="n">
        <f aca="false">IF(OR(W62="",AR62=""),"",IF(N(W62)=0,"",AR62/W62-1))</f>
        <v>-1</v>
      </c>
      <c r="AV62" s="27" t="str">
        <f aca="false">IF(N(F62)=0,"",(AA62/26)/(F62/30)-1)</f>
        <v/>
      </c>
      <c r="AW62" s="27" t="n">
        <f aca="false">IF(OR(X62="",AS62=""),"",IF(N(X62)=0,"",AS62/X62-1))</f>
        <v>-1</v>
      </c>
      <c r="AX62" s="27" t="str">
        <f aca="false">IF(OR(O62="",AJ62=""),"",AJ62-O62)</f>
        <v/>
      </c>
      <c r="AY62" s="27" t="str">
        <f aca="false">IF(OR(P62="",AK62=""),"",AK62-P62)</f>
        <v/>
      </c>
      <c r="AZ62" s="27" t="str">
        <f aca="false">IF(OR(R62="",AM62=""),"",IF(N(R62)=0,"",AM62/R62-1))</f>
        <v/>
      </c>
      <c r="BA62" s="27" t="str">
        <f aca="false">IF(OR(T62="",AO62=""),"",AO62-T62)</f>
        <v/>
      </c>
      <c r="BB62" s="27" t="str">
        <f aca="false">IF(OR(V62="",AQ62=""),"",IF(N(V62)=0,"",AQ62/V62-1))</f>
        <v/>
      </c>
    </row>
    <row r="63" customFormat="false" ht="15" hidden="false" customHeight="false" outlineLevel="0" collapsed="false">
      <c r="A63" s="18" t="s">
        <v>267</v>
      </c>
      <c r="B63" s="18" t="s">
        <v>181</v>
      </c>
      <c r="C63" s="14" t="s">
        <v>232</v>
      </c>
      <c r="D63" s="18" t="s">
        <v>230</v>
      </c>
      <c r="E63" s="26" t="n">
        <v>6.28</v>
      </c>
      <c r="F63" s="26" t="n">
        <v>0</v>
      </c>
      <c r="G63" s="30" t="n">
        <v>0</v>
      </c>
      <c r="H63" s="30" t="n">
        <v>19</v>
      </c>
      <c r="I63" s="30" t="n">
        <v>1308</v>
      </c>
      <c r="J63" s="26" t="n">
        <v>66.7</v>
      </c>
      <c r="K63" s="30" t="n">
        <v>2</v>
      </c>
      <c r="L63" s="30" t="n">
        <v>2</v>
      </c>
      <c r="M63" s="30" t="n">
        <v>44</v>
      </c>
      <c r="N63" s="26" t="n">
        <v>58.72</v>
      </c>
      <c r="O63" s="28" t="str">
        <f aca="false">IF(N(F63)=0,"",E63/F63)</f>
        <v/>
      </c>
      <c r="P63" s="28" t="n">
        <f aca="false">IF(N(J63)=0,"",E63/J63)</f>
        <v>0.0941529235382309</v>
      </c>
      <c r="Q63" s="39" t="n">
        <f aca="false">IF(N(E63)=0,"",F63/E63)</f>
        <v>0</v>
      </c>
      <c r="R63" s="29" t="n">
        <f aca="false">IF(N(H63)=0,"",E63/H63)</f>
        <v>0.330526315789474</v>
      </c>
      <c r="S63" s="28" t="n">
        <f aca="false">IF(N(I63)=0,"",H63/I63)</f>
        <v>0.0145259938837921</v>
      </c>
      <c r="T63" s="28" t="n">
        <f aca="false">IF(N(H63)=0,"",G63/H63)</f>
        <v>0</v>
      </c>
      <c r="U63" s="28" t="n">
        <f aca="false">IF(N(L63)=0,"",G63/L63)</f>
        <v>0</v>
      </c>
      <c r="V63" s="29" t="n">
        <f aca="false">IF(N(K63)=0,"",J63/K63)</f>
        <v>33.35</v>
      </c>
      <c r="W63" s="26" t="n">
        <f aca="false">IF(N(30)=0,"",E63/30)</f>
        <v>0.209333333333333</v>
      </c>
      <c r="X63" s="39" t="n">
        <f aca="false">IF(N(30)=0,"",K63/30)</f>
        <v>0.0666666666666667</v>
      </c>
      <c r="Y63" s="28" t="n">
        <f aca="false">IF(N(J63)=0,"",N63/J63)</f>
        <v>0.880359820089955</v>
      </c>
      <c r="Z63" s="26" t="n">
        <v>0</v>
      </c>
      <c r="AA63" s="26" t="n">
        <v>0</v>
      </c>
      <c r="AB63" s="30" t="n">
        <v>0</v>
      </c>
      <c r="AC63" s="30" t="n">
        <v>0</v>
      </c>
      <c r="AD63" s="30" t="n">
        <v>0</v>
      </c>
      <c r="AE63" s="26" t="n">
        <v>0</v>
      </c>
      <c r="AF63" s="30" t="n">
        <v>0</v>
      </c>
      <c r="AG63" s="30" t="n">
        <v>0</v>
      </c>
      <c r="AH63" s="30" t="n">
        <v>0</v>
      </c>
      <c r="AI63" s="26" t="n">
        <v>-19.35</v>
      </c>
      <c r="AJ63" s="28" t="str">
        <f aca="false">IF(N(AA63)=0,"",Z63/AA63)</f>
        <v/>
      </c>
      <c r="AK63" s="28" t="str">
        <f aca="false">IF(N(AE63)=0,"",Z63/AE63)</f>
        <v/>
      </c>
      <c r="AL63" s="39" t="str">
        <f aca="false">IF(N(Z63)=0,"",AA63/Z63)</f>
        <v/>
      </c>
      <c r="AM63" s="29" t="str">
        <f aca="false">IF(N(AC63)=0,"",Z63/AC63)</f>
        <v/>
      </c>
      <c r="AN63" s="28" t="str">
        <f aca="false">IF(N(AD63)=0,"",AC63/AD63)</f>
        <v/>
      </c>
      <c r="AO63" s="28" t="str">
        <f aca="false">IF(N(AC63)=0,"",AB63/AC63)</f>
        <v/>
      </c>
      <c r="AP63" s="28" t="str">
        <f aca="false">IF(N(AG63)=0,"",AB63/AG63)</f>
        <v/>
      </c>
      <c r="AQ63" s="29" t="str">
        <f aca="false">IF(N(AF63)=0,"",AE63/AF63)</f>
        <v/>
      </c>
      <c r="AR63" s="26" t="n">
        <f aca="false">IF(N(26)=0,"",Z63/26)</f>
        <v>0</v>
      </c>
      <c r="AS63" s="39" t="n">
        <f aca="false">IF(N(26)=0,"",AF63/26)</f>
        <v>0</v>
      </c>
      <c r="AT63" s="28" t="str">
        <f aca="false">IF(N(AE63)=0,"",AI63/AE63)</f>
        <v/>
      </c>
      <c r="AU63" s="27" t="n">
        <f aca="false">IF(OR(W63="",AR63=""),"",IF(N(W63)=0,"",AR63/W63-1))</f>
        <v>-1</v>
      </c>
      <c r="AV63" s="27" t="str">
        <f aca="false">IF(N(F63)=0,"",(AA63/26)/(F63/30)-1)</f>
        <v/>
      </c>
      <c r="AW63" s="27" t="n">
        <f aca="false">IF(OR(X63="",AS63=""),"",IF(N(X63)=0,"",AS63/X63-1))</f>
        <v>-1</v>
      </c>
      <c r="AX63" s="27" t="str">
        <f aca="false">IF(OR(O63="",AJ63=""),"",AJ63-O63)</f>
        <v/>
      </c>
      <c r="AY63" s="27" t="str">
        <f aca="false">IF(OR(P63="",AK63=""),"",AK63-P63)</f>
        <v/>
      </c>
      <c r="AZ63" s="27" t="str">
        <f aca="false">IF(OR(R63="",AM63=""),"",IF(N(R63)=0,"",AM63/R63-1))</f>
        <v/>
      </c>
      <c r="BA63" s="27" t="str">
        <f aca="false">IF(OR(T63="",AO63=""),"",AO63-T63)</f>
        <v/>
      </c>
      <c r="BB63" s="27" t="str">
        <f aca="false">IF(OR(V63="",AQ63=""),"",IF(N(V63)=0,"",AQ63/V63-1))</f>
        <v/>
      </c>
    </row>
    <row r="64" customFormat="false" ht="15" hidden="false" customHeight="false" outlineLevel="0" collapsed="false">
      <c r="A64" s="18" t="s">
        <v>268</v>
      </c>
      <c r="B64" s="18" t="s">
        <v>185</v>
      </c>
      <c r="C64" s="14" t="s">
        <v>269</v>
      </c>
      <c r="D64" s="18" t="s">
        <v>233</v>
      </c>
      <c r="E64" s="26" t="n">
        <v>0</v>
      </c>
      <c r="F64" s="26" t="n">
        <v>0</v>
      </c>
      <c r="G64" s="30" t="n">
        <v>0</v>
      </c>
      <c r="H64" s="30" t="n">
        <v>0</v>
      </c>
      <c r="I64" s="30" t="n">
        <v>174</v>
      </c>
      <c r="J64" s="26" t="n">
        <v>0</v>
      </c>
      <c r="K64" s="30" t="n">
        <v>0</v>
      </c>
      <c r="L64" s="30" t="n">
        <v>0</v>
      </c>
      <c r="M64" s="30" t="n">
        <v>4</v>
      </c>
      <c r="N64" s="26" t="n">
        <v>-10.31</v>
      </c>
      <c r="O64" s="28" t="str">
        <f aca="false">IF(N(F64)=0,"",E64/F64)</f>
        <v/>
      </c>
      <c r="P64" s="28" t="str">
        <f aca="false">IF(N(J64)=0,"",E64/J64)</f>
        <v/>
      </c>
      <c r="Q64" s="39" t="str">
        <f aca="false">IF(N(E64)=0,"",F64/E64)</f>
        <v/>
      </c>
      <c r="R64" s="29" t="str">
        <f aca="false">IF(N(H64)=0,"",E64/H64)</f>
        <v/>
      </c>
      <c r="S64" s="28" t="n">
        <f aca="false">IF(N(I64)=0,"",H64/I64)</f>
        <v>0</v>
      </c>
      <c r="T64" s="28" t="str">
        <f aca="false">IF(N(H64)=0,"",G64/H64)</f>
        <v/>
      </c>
      <c r="U64" s="28" t="str">
        <f aca="false">IF(N(L64)=0,"",G64/L64)</f>
        <v/>
      </c>
      <c r="V64" s="29" t="str">
        <f aca="false">IF(N(K64)=0,"",J64/K64)</f>
        <v/>
      </c>
      <c r="W64" s="26" t="n">
        <f aca="false">IF(N(30)=0,"",E64/30)</f>
        <v>0</v>
      </c>
      <c r="X64" s="39" t="n">
        <f aca="false">IF(N(30)=0,"",K64/30)</f>
        <v>0</v>
      </c>
      <c r="Y64" s="28" t="str">
        <f aca="false">IF(N(J64)=0,"",N64/J64)</f>
        <v/>
      </c>
      <c r="Z64" s="26" t="n">
        <v>2.79</v>
      </c>
      <c r="AA64" s="26" t="n">
        <v>59.99</v>
      </c>
      <c r="AB64" s="30" t="n">
        <v>1</v>
      </c>
      <c r="AC64" s="30" t="n">
        <v>10</v>
      </c>
      <c r="AD64" s="30" t="n">
        <v>951</v>
      </c>
      <c r="AE64" s="26" t="n">
        <v>299.95</v>
      </c>
      <c r="AF64" s="30" t="n">
        <v>5</v>
      </c>
      <c r="AG64" s="30" t="n">
        <v>5</v>
      </c>
      <c r="AH64" s="30" t="n">
        <v>26</v>
      </c>
      <c r="AI64" s="26" t="n">
        <v>8.57</v>
      </c>
      <c r="AJ64" s="28" t="n">
        <f aca="false">IF(N(AA64)=0,"",Z64/AA64)</f>
        <v>0.046507751291882</v>
      </c>
      <c r="AK64" s="28" t="n">
        <f aca="false">IF(N(AE64)=0,"",Z64/AE64)</f>
        <v>0.0093015502583764</v>
      </c>
      <c r="AL64" s="39" t="n">
        <f aca="false">IF(N(Z64)=0,"",AA64/Z64)</f>
        <v>21.5017921146953</v>
      </c>
      <c r="AM64" s="29" t="n">
        <f aca="false">IF(N(AC64)=0,"",Z64/AC64)</f>
        <v>0.279</v>
      </c>
      <c r="AN64" s="28" t="n">
        <f aca="false">IF(N(AD64)=0,"",AC64/AD64)</f>
        <v>0.010515247108307</v>
      </c>
      <c r="AO64" s="28" t="n">
        <f aca="false">IF(N(AC64)=0,"",AB64/AC64)</f>
        <v>0.1</v>
      </c>
      <c r="AP64" s="28" t="n">
        <f aca="false">IF(N(AG64)=0,"",AB64/AG64)</f>
        <v>0.2</v>
      </c>
      <c r="AQ64" s="29" t="n">
        <f aca="false">IF(N(AF64)=0,"",AE64/AF64)</f>
        <v>59.99</v>
      </c>
      <c r="AR64" s="26" t="n">
        <f aca="false">IF(N(26)=0,"",Z64/26)</f>
        <v>0.107307692307692</v>
      </c>
      <c r="AS64" s="39" t="n">
        <f aca="false">IF(N(26)=0,"",AF64/26)</f>
        <v>0.192307692307692</v>
      </c>
      <c r="AT64" s="28" t="n">
        <f aca="false">IF(N(AE64)=0,"",AI64/AE64)</f>
        <v>0.0285714285714286</v>
      </c>
      <c r="AU64" s="27" t="str">
        <f aca="false">IF(OR(W64="",AR64=""),"",IF(N(W64)=0,"",AR64/W64-1))</f>
        <v/>
      </c>
      <c r="AV64" s="27" t="str">
        <f aca="false">IF(N(F64)=0,"",(AA64/26)/(F64/30)-1)</f>
        <v/>
      </c>
      <c r="AW64" s="27" t="str">
        <f aca="false">IF(OR(X64="",AS64=""),"",IF(N(X64)=0,"",AS64/X64-1))</f>
        <v/>
      </c>
      <c r="AX64" s="27" t="str">
        <f aca="false">IF(OR(O64="",AJ64=""),"",AJ64-O64)</f>
        <v/>
      </c>
      <c r="AY64" s="27" t="str">
        <f aca="false">IF(OR(P64="",AK64=""),"",AK64-P64)</f>
        <v/>
      </c>
      <c r="AZ64" s="27" t="str">
        <f aca="false">IF(OR(R64="",AM64=""),"",IF(N(R64)=0,"",AM64/R64-1))</f>
        <v/>
      </c>
      <c r="BA64" s="27" t="str">
        <f aca="false">IF(OR(T64="",AO64=""),"",AO64-T64)</f>
        <v/>
      </c>
      <c r="BB64" s="27" t="str">
        <f aca="false">IF(OR(V64="",AQ64=""),"",IF(N(V64)=0,"",AQ64/V64-1))</f>
        <v/>
      </c>
    </row>
    <row r="65" customFormat="false" ht="15" hidden="false" customHeight="false" outlineLevel="0" collapsed="false">
      <c r="A65" s="18" t="s">
        <v>270</v>
      </c>
      <c r="B65" s="18" t="s">
        <v>181</v>
      </c>
      <c r="C65" s="14" t="s">
        <v>271</v>
      </c>
      <c r="D65" s="18" t="s">
        <v>209</v>
      </c>
      <c r="E65" s="26" t="n">
        <v>0.07</v>
      </c>
      <c r="F65" s="26" t="n">
        <v>0</v>
      </c>
      <c r="G65" s="30" t="n">
        <v>0</v>
      </c>
      <c r="H65" s="30" t="n">
        <v>0</v>
      </c>
      <c r="I65" s="30" t="n">
        <v>0</v>
      </c>
      <c r="J65" s="26" t="n">
        <v>282.9</v>
      </c>
      <c r="K65" s="30" t="n">
        <v>10</v>
      </c>
      <c r="L65" s="30" t="n">
        <v>9</v>
      </c>
      <c r="M65" s="30" t="n">
        <v>144</v>
      </c>
      <c r="N65" s="26" t="n">
        <v>-137.87</v>
      </c>
      <c r="O65" s="28" t="str">
        <f aca="false">IF(N(F65)=0,"",E65/F65)</f>
        <v/>
      </c>
      <c r="P65" s="28" t="n">
        <f aca="false">IF(N(J65)=0,"",E65/J65)</f>
        <v>0.000247437256981266</v>
      </c>
      <c r="Q65" s="39" t="n">
        <f aca="false">IF(N(E65)=0,"",F65/E65)</f>
        <v>0</v>
      </c>
      <c r="R65" s="29" t="str">
        <f aca="false">IF(N(H65)=0,"",E65/H65)</f>
        <v/>
      </c>
      <c r="S65" s="28" t="str">
        <f aca="false">IF(N(I65)=0,"",H65/I65)</f>
        <v/>
      </c>
      <c r="T65" s="28" t="str">
        <f aca="false">IF(N(H65)=0,"",G65/H65)</f>
        <v/>
      </c>
      <c r="U65" s="28" t="n">
        <f aca="false">IF(N(L65)=0,"",G65/L65)</f>
        <v>0</v>
      </c>
      <c r="V65" s="29" t="n">
        <f aca="false">IF(N(K65)=0,"",J65/K65)</f>
        <v>28.29</v>
      </c>
      <c r="W65" s="26" t="n">
        <f aca="false">IF(N(30)=0,"",E65/30)</f>
        <v>0.00233333333333333</v>
      </c>
      <c r="X65" s="39" t="n">
        <f aca="false">IF(N(30)=0,"",K65/30)</f>
        <v>0.333333333333333</v>
      </c>
      <c r="Y65" s="28" t="n">
        <f aca="false">IF(N(J65)=0,"",N65/J65)</f>
        <v>-0.487345351714387</v>
      </c>
      <c r="Z65" s="26" t="n">
        <v>0</v>
      </c>
      <c r="AA65" s="26" t="n">
        <v>0</v>
      </c>
      <c r="AB65" s="30" t="n">
        <v>0</v>
      </c>
      <c r="AC65" s="30" t="n">
        <v>0</v>
      </c>
      <c r="AD65" s="30" t="n">
        <v>0</v>
      </c>
      <c r="AE65" s="26" t="n">
        <v>121.6</v>
      </c>
      <c r="AF65" s="30" t="n">
        <v>5</v>
      </c>
      <c r="AG65" s="30" t="n">
        <v>5</v>
      </c>
      <c r="AH65" s="30" t="n">
        <v>132</v>
      </c>
      <c r="AI65" s="26" t="n">
        <v>-64.44</v>
      </c>
      <c r="AJ65" s="28" t="str">
        <f aca="false">IF(N(AA65)=0,"",Z65/AA65)</f>
        <v/>
      </c>
      <c r="AK65" s="28" t="n">
        <f aca="false">IF(N(AE65)=0,"",Z65/AE65)</f>
        <v>0</v>
      </c>
      <c r="AL65" s="39" t="str">
        <f aca="false">IF(N(Z65)=0,"",AA65/Z65)</f>
        <v/>
      </c>
      <c r="AM65" s="29" t="str">
        <f aca="false">IF(N(AC65)=0,"",Z65/AC65)</f>
        <v/>
      </c>
      <c r="AN65" s="28" t="str">
        <f aca="false">IF(N(AD65)=0,"",AC65/AD65)</f>
        <v/>
      </c>
      <c r="AO65" s="28" t="str">
        <f aca="false">IF(N(AC65)=0,"",AB65/AC65)</f>
        <v/>
      </c>
      <c r="AP65" s="28" t="n">
        <f aca="false">IF(N(AG65)=0,"",AB65/AG65)</f>
        <v>0</v>
      </c>
      <c r="AQ65" s="29" t="n">
        <f aca="false">IF(N(AF65)=0,"",AE65/AF65)</f>
        <v>24.32</v>
      </c>
      <c r="AR65" s="26" t="n">
        <f aca="false">IF(N(26)=0,"",Z65/26)</f>
        <v>0</v>
      </c>
      <c r="AS65" s="39" t="n">
        <f aca="false">IF(N(26)=0,"",AF65/26)</f>
        <v>0.192307692307692</v>
      </c>
      <c r="AT65" s="28" t="n">
        <f aca="false">IF(N(AE65)=0,"",AI65/AE65)</f>
        <v>-0.529934210526316</v>
      </c>
      <c r="AU65" s="27" t="n">
        <f aca="false">IF(OR(W65="",AR65=""),"",IF(N(W65)=0,"",AR65/W65-1))</f>
        <v>-1</v>
      </c>
      <c r="AV65" s="27" t="str">
        <f aca="false">IF(N(F65)=0,"",(AA65/26)/(F65/30)-1)</f>
        <v/>
      </c>
      <c r="AW65" s="27" t="n">
        <f aca="false">IF(OR(X65="",AS65=""),"",IF(N(X65)=0,"",AS65/X65-1))</f>
        <v>-0.423076923076923</v>
      </c>
      <c r="AX65" s="27" t="str">
        <f aca="false">IF(OR(O65="",AJ65=""),"",AJ65-O65)</f>
        <v/>
      </c>
      <c r="AY65" s="27" t="n">
        <f aca="false">IF(OR(P65="",AK65=""),"",AK65-P65)</f>
        <v>-0.000247437256981266</v>
      </c>
      <c r="AZ65" s="27" t="str">
        <f aca="false">IF(OR(R65="",AM65=""),"",IF(N(R65)=0,"",AM65/R65-1))</f>
        <v/>
      </c>
      <c r="BA65" s="27" t="str">
        <f aca="false">IF(OR(T65="",AO65=""),"",AO65-T65)</f>
        <v/>
      </c>
      <c r="BB65" s="27" t="n">
        <f aca="false">IF(OR(V65="",AQ65=""),"",IF(N(V65)=0,"",AQ65/V65-1))</f>
        <v>-0.140332272887946</v>
      </c>
    </row>
    <row r="66" customFormat="false" ht="15" hidden="false" customHeight="false" outlineLevel="0" collapsed="false">
      <c r="A66" s="18" t="s">
        <v>272</v>
      </c>
      <c r="B66" s="18" t="s">
        <v>179</v>
      </c>
      <c r="C66" s="14" t="s">
        <v>238</v>
      </c>
      <c r="D66" s="18" t="s">
        <v>209</v>
      </c>
      <c r="E66" s="26" t="n">
        <v>0</v>
      </c>
      <c r="F66" s="26" t="n">
        <v>0</v>
      </c>
      <c r="G66" s="30" t="n">
        <v>0</v>
      </c>
      <c r="H66" s="30" t="n">
        <v>0</v>
      </c>
      <c r="I66" s="30" t="n">
        <v>0</v>
      </c>
      <c r="J66" s="26" t="n">
        <v>132.22</v>
      </c>
      <c r="K66" s="30" t="n">
        <v>4</v>
      </c>
      <c r="L66" s="30" t="n">
        <v>4</v>
      </c>
      <c r="M66" s="30" t="n">
        <v>86</v>
      </c>
      <c r="N66" s="26" t="n">
        <v>-45.71</v>
      </c>
      <c r="O66" s="28" t="str">
        <f aca="false">IF(N(F66)=0,"",E66/F66)</f>
        <v/>
      </c>
      <c r="P66" s="28" t="n">
        <f aca="false">IF(N(J66)=0,"",E66/J66)</f>
        <v>0</v>
      </c>
      <c r="Q66" s="39" t="str">
        <f aca="false">IF(N(E66)=0,"",F66/E66)</f>
        <v/>
      </c>
      <c r="R66" s="29" t="str">
        <f aca="false">IF(N(H66)=0,"",E66/H66)</f>
        <v/>
      </c>
      <c r="S66" s="28" t="str">
        <f aca="false">IF(N(I66)=0,"",H66/I66)</f>
        <v/>
      </c>
      <c r="T66" s="28" t="str">
        <f aca="false">IF(N(H66)=0,"",G66/H66)</f>
        <v/>
      </c>
      <c r="U66" s="28" t="n">
        <f aca="false">IF(N(L66)=0,"",G66/L66)</f>
        <v>0</v>
      </c>
      <c r="V66" s="29" t="n">
        <f aca="false">IF(N(K66)=0,"",J66/K66)</f>
        <v>33.055</v>
      </c>
      <c r="W66" s="26" t="n">
        <f aca="false">IF(N(30)=0,"",E66/30)</f>
        <v>0</v>
      </c>
      <c r="X66" s="39" t="n">
        <f aca="false">IF(N(30)=0,"",K66/30)</f>
        <v>0.133333333333333</v>
      </c>
      <c r="Y66" s="28" t="n">
        <f aca="false">IF(N(J66)=0,"",N66/J66)</f>
        <v>-0.34571169263349</v>
      </c>
      <c r="Z66" s="26" t="n">
        <v>0.01</v>
      </c>
      <c r="AA66" s="26" t="n">
        <v>0</v>
      </c>
      <c r="AB66" s="30" t="n">
        <v>0</v>
      </c>
      <c r="AC66" s="30" t="n">
        <v>0</v>
      </c>
      <c r="AD66" s="30" t="n">
        <v>0</v>
      </c>
      <c r="AE66" s="26" t="n">
        <v>270.69</v>
      </c>
      <c r="AF66" s="30" t="n">
        <v>10</v>
      </c>
      <c r="AG66" s="30" t="n">
        <v>9</v>
      </c>
      <c r="AH66" s="30" t="n">
        <v>98</v>
      </c>
      <c r="AI66" s="26" t="n">
        <v>-66.34</v>
      </c>
      <c r="AJ66" s="28" t="str">
        <f aca="false">IF(N(AA66)=0,"",Z66/AA66)</f>
        <v/>
      </c>
      <c r="AK66" s="28" t="n">
        <f aca="false">IF(N(AE66)=0,"",Z66/AE66)</f>
        <v>3.69426280985629E-005</v>
      </c>
      <c r="AL66" s="39" t="n">
        <f aca="false">IF(N(Z66)=0,"",AA66/Z66)</f>
        <v>0</v>
      </c>
      <c r="AM66" s="29" t="str">
        <f aca="false">IF(N(AC66)=0,"",Z66/AC66)</f>
        <v/>
      </c>
      <c r="AN66" s="28" t="str">
        <f aca="false">IF(N(AD66)=0,"",AC66/AD66)</f>
        <v/>
      </c>
      <c r="AO66" s="28" t="str">
        <f aca="false">IF(N(AC66)=0,"",AB66/AC66)</f>
        <v/>
      </c>
      <c r="AP66" s="28" t="n">
        <f aca="false">IF(N(AG66)=0,"",AB66/AG66)</f>
        <v>0</v>
      </c>
      <c r="AQ66" s="29" t="n">
        <f aca="false">IF(N(AF66)=0,"",AE66/AF66)</f>
        <v>27.069</v>
      </c>
      <c r="AR66" s="26" t="n">
        <f aca="false">IF(N(26)=0,"",Z66/26)</f>
        <v>0.000384615384615385</v>
      </c>
      <c r="AS66" s="39" t="n">
        <f aca="false">IF(N(26)=0,"",AF66/26)</f>
        <v>0.384615384615385</v>
      </c>
      <c r="AT66" s="28" t="n">
        <f aca="false">IF(N(AE66)=0,"",AI66/AE66)</f>
        <v>-0.245077394805867</v>
      </c>
      <c r="AU66" s="27" t="str">
        <f aca="false">IF(OR(W66="",AR66=""),"",IF(N(W66)=0,"",AR66/W66-1))</f>
        <v/>
      </c>
      <c r="AV66" s="27" t="str">
        <f aca="false">IF(N(F66)=0,"",(AA66/26)/(F66/30)-1)</f>
        <v/>
      </c>
      <c r="AW66" s="27" t="n">
        <f aca="false">IF(OR(X66="",AS66=""),"",IF(N(X66)=0,"",AS66/X66-1))</f>
        <v>1.88461538461539</v>
      </c>
      <c r="AX66" s="27" t="str">
        <f aca="false">IF(OR(O66="",AJ66=""),"",AJ66-O66)</f>
        <v/>
      </c>
      <c r="AY66" s="27" t="n">
        <f aca="false">IF(OR(P66="",AK66=""),"",AK66-P66)</f>
        <v>3.69426280985629E-005</v>
      </c>
      <c r="AZ66" s="27" t="str">
        <f aca="false">IF(OR(R66="",AM66=""),"",IF(N(R66)=0,"",AM66/R66-1))</f>
        <v/>
      </c>
      <c r="BA66" s="27" t="str">
        <f aca="false">IF(OR(T66="",AO66=""),"",AO66-T66)</f>
        <v/>
      </c>
      <c r="BB66" s="27" t="n">
        <f aca="false">IF(OR(V66="",AQ66=""),"",IF(N(V66)=0,"",AQ66/V66-1))</f>
        <v>-0.181092119195281</v>
      </c>
    </row>
    <row r="67" customFormat="false" ht="15" hidden="false" customHeight="false" outlineLevel="0" collapsed="false">
      <c r="A67" s="18" t="s">
        <v>273</v>
      </c>
      <c r="B67" s="18" t="s">
        <v>185</v>
      </c>
      <c r="C67" s="14" t="s">
        <v>269</v>
      </c>
      <c r="D67" s="18"/>
      <c r="E67" s="26" t="n">
        <v>0</v>
      </c>
      <c r="F67" s="26" t="n">
        <v>0</v>
      </c>
      <c r="G67" s="30" t="n">
        <v>0</v>
      </c>
      <c r="H67" s="30" t="n">
        <v>0</v>
      </c>
      <c r="I67" s="30" t="n">
        <v>0</v>
      </c>
      <c r="J67" s="26" t="n">
        <v>0</v>
      </c>
      <c r="K67" s="30" t="n">
        <v>0</v>
      </c>
      <c r="L67" s="30" t="n">
        <v>0</v>
      </c>
      <c r="M67" s="30" t="n">
        <v>0</v>
      </c>
      <c r="N67" s="26" t="n">
        <v>-5132.39</v>
      </c>
      <c r="O67" s="28" t="str">
        <f aca="false">IF(N(F67)=0,"",E67/F67)</f>
        <v/>
      </c>
      <c r="P67" s="28" t="str">
        <f aca="false">IF(N(J67)=0,"",E67/J67)</f>
        <v/>
      </c>
      <c r="Q67" s="39" t="str">
        <f aca="false">IF(N(E67)=0,"",F67/E67)</f>
        <v/>
      </c>
      <c r="R67" s="29" t="str">
        <f aca="false">IF(N(H67)=0,"",E67/H67)</f>
        <v/>
      </c>
      <c r="S67" s="28" t="str">
        <f aca="false">IF(N(I67)=0,"",H67/I67)</f>
        <v/>
      </c>
      <c r="T67" s="28" t="str">
        <f aca="false">IF(N(H67)=0,"",G67/H67)</f>
        <v/>
      </c>
      <c r="U67" s="28" t="str">
        <f aca="false">IF(N(L67)=0,"",G67/L67)</f>
        <v/>
      </c>
      <c r="V67" s="29" t="str">
        <f aca="false">IF(N(K67)=0,"",J67/K67)</f>
        <v/>
      </c>
      <c r="W67" s="26" t="n">
        <f aca="false">IF(N(30)=0,"",E67/30)</f>
        <v>0</v>
      </c>
      <c r="X67" s="39" t="n">
        <f aca="false">IF(N(30)=0,"",K67/30)</f>
        <v>0</v>
      </c>
      <c r="Y67" s="28" t="str">
        <f aca="false">IF(N(J67)=0,"",N67/J67)</f>
        <v/>
      </c>
      <c r="Z67" s="26" t="n">
        <v>0</v>
      </c>
      <c r="AA67" s="26" t="n">
        <v>0</v>
      </c>
      <c r="AB67" s="30" t="n">
        <v>0</v>
      </c>
      <c r="AC67" s="30" t="n">
        <v>0</v>
      </c>
      <c r="AD67" s="30" t="n">
        <v>0</v>
      </c>
      <c r="AE67" s="26" t="n">
        <v>0</v>
      </c>
      <c r="AF67" s="30" t="n">
        <v>0</v>
      </c>
      <c r="AG67" s="30" t="n">
        <v>0</v>
      </c>
      <c r="AH67" s="30" t="n">
        <v>0</v>
      </c>
      <c r="AI67" s="26" t="n">
        <v>-50.86</v>
      </c>
      <c r="AJ67" s="28" t="str">
        <f aca="false">IF(N(AA67)=0,"",Z67/AA67)</f>
        <v/>
      </c>
      <c r="AK67" s="28" t="str">
        <f aca="false">IF(N(AE67)=0,"",Z67/AE67)</f>
        <v/>
      </c>
      <c r="AL67" s="39" t="str">
        <f aca="false">IF(N(Z67)=0,"",AA67/Z67)</f>
        <v/>
      </c>
      <c r="AM67" s="29" t="str">
        <f aca="false">IF(N(AC67)=0,"",Z67/AC67)</f>
        <v/>
      </c>
      <c r="AN67" s="28" t="str">
        <f aca="false">IF(N(AD67)=0,"",AC67/AD67)</f>
        <v/>
      </c>
      <c r="AO67" s="28" t="str">
        <f aca="false">IF(N(AC67)=0,"",AB67/AC67)</f>
        <v/>
      </c>
      <c r="AP67" s="28" t="str">
        <f aca="false">IF(N(AG67)=0,"",AB67/AG67)</f>
        <v/>
      </c>
      <c r="AQ67" s="29" t="str">
        <f aca="false">IF(N(AF67)=0,"",AE67/AF67)</f>
        <v/>
      </c>
      <c r="AR67" s="26" t="n">
        <f aca="false">IF(N(26)=0,"",Z67/26)</f>
        <v>0</v>
      </c>
      <c r="AS67" s="39" t="n">
        <f aca="false">IF(N(26)=0,"",AF67/26)</f>
        <v>0</v>
      </c>
      <c r="AT67" s="28" t="str">
        <f aca="false">IF(N(AE67)=0,"",AI67/AE67)</f>
        <v/>
      </c>
      <c r="AU67" s="27" t="str">
        <f aca="false">IF(OR(W67="",AR67=""),"",IF(N(W67)=0,"",AR67/W67-1))</f>
        <v/>
      </c>
      <c r="AV67" s="27" t="str">
        <f aca="false">IF(N(F67)=0,"",(AA67/26)/(F67/30)-1)</f>
        <v/>
      </c>
      <c r="AW67" s="27" t="str">
        <f aca="false">IF(OR(X67="",AS67=""),"",IF(N(X67)=0,"",AS67/X67-1))</f>
        <v/>
      </c>
      <c r="AX67" s="27" t="str">
        <f aca="false">IF(OR(O67="",AJ67=""),"",AJ67-O67)</f>
        <v/>
      </c>
      <c r="AY67" s="27" t="str">
        <f aca="false">IF(OR(P67="",AK67=""),"",AK67-P67)</f>
        <v/>
      </c>
      <c r="AZ67" s="27" t="str">
        <f aca="false">IF(OR(R67="",AM67=""),"",IF(N(R67)=0,"",AM67/R67-1))</f>
        <v/>
      </c>
      <c r="BA67" s="27" t="str">
        <f aca="false">IF(OR(T67="",AO67=""),"",AO67-T67)</f>
        <v/>
      </c>
      <c r="BB67" s="27" t="str">
        <f aca="false">IF(OR(V67="",AQ67=""),"",IF(N(V67)=0,"",AQ67/V67-1))</f>
        <v/>
      </c>
    </row>
    <row r="68" customFormat="false" ht="15" hidden="false" customHeight="false" outlineLevel="0" collapsed="false">
      <c r="A68" s="18" t="s">
        <v>274</v>
      </c>
      <c r="B68" s="18" t="s">
        <v>67</v>
      </c>
      <c r="C68" s="14" t="s">
        <v>226</v>
      </c>
      <c r="D68" s="18"/>
      <c r="E68" s="26" t="n">
        <v>0</v>
      </c>
      <c r="F68" s="26" t="n">
        <v>0</v>
      </c>
      <c r="G68" s="30" t="n">
        <v>0</v>
      </c>
      <c r="H68" s="30" t="n">
        <v>0</v>
      </c>
      <c r="I68" s="30" t="n">
        <v>0</v>
      </c>
      <c r="J68" s="26" t="n">
        <v>0</v>
      </c>
      <c r="K68" s="30" t="n">
        <v>0</v>
      </c>
      <c r="L68" s="30" t="n">
        <v>0</v>
      </c>
      <c r="M68" s="30" t="n">
        <v>0</v>
      </c>
      <c r="N68" s="26" t="n">
        <v>0</v>
      </c>
      <c r="O68" s="28" t="str">
        <f aca="false">IF(N(F68)=0,"",E68/F68)</f>
        <v/>
      </c>
      <c r="P68" s="28" t="str">
        <f aca="false">IF(N(J68)=0,"",E68/J68)</f>
        <v/>
      </c>
      <c r="Q68" s="39" t="str">
        <f aca="false">IF(N(E68)=0,"",F68/E68)</f>
        <v/>
      </c>
      <c r="R68" s="29" t="str">
        <f aca="false">IF(N(H68)=0,"",E68/H68)</f>
        <v/>
      </c>
      <c r="S68" s="28" t="str">
        <f aca="false">IF(N(I68)=0,"",H68/I68)</f>
        <v/>
      </c>
      <c r="T68" s="28" t="str">
        <f aca="false">IF(N(H68)=0,"",G68/H68)</f>
        <v/>
      </c>
      <c r="U68" s="28" t="str">
        <f aca="false">IF(N(L68)=0,"",G68/L68)</f>
        <v/>
      </c>
      <c r="V68" s="29" t="str">
        <f aca="false">IF(N(K68)=0,"",J68/K68)</f>
        <v/>
      </c>
      <c r="W68" s="26" t="n">
        <f aca="false">IF(N(30)=0,"",E68/30)</f>
        <v>0</v>
      </c>
      <c r="X68" s="39" t="n">
        <f aca="false">IF(N(30)=0,"",K68/30)</f>
        <v>0</v>
      </c>
      <c r="Y68" s="28" t="str">
        <f aca="false">IF(N(J68)=0,"",N68/J68)</f>
        <v/>
      </c>
      <c r="Z68" s="26" t="n">
        <v>0</v>
      </c>
      <c r="AA68" s="26" t="n">
        <v>0</v>
      </c>
      <c r="AB68" s="30" t="n">
        <v>0</v>
      </c>
      <c r="AC68" s="30" t="n">
        <v>0</v>
      </c>
      <c r="AD68" s="30" t="n">
        <v>0</v>
      </c>
      <c r="AE68" s="26" t="n">
        <v>0</v>
      </c>
      <c r="AF68" s="30" t="n">
        <v>0</v>
      </c>
      <c r="AG68" s="30" t="n">
        <v>0</v>
      </c>
      <c r="AH68" s="30" t="n">
        <v>0</v>
      </c>
      <c r="AI68" s="26" t="n">
        <v>-510.13</v>
      </c>
      <c r="AJ68" s="28" t="str">
        <f aca="false">IF(N(AA68)=0,"",Z68/AA68)</f>
        <v/>
      </c>
      <c r="AK68" s="28" t="str">
        <f aca="false">IF(N(AE68)=0,"",Z68/AE68)</f>
        <v/>
      </c>
      <c r="AL68" s="39" t="str">
        <f aca="false">IF(N(Z68)=0,"",AA68/Z68)</f>
        <v/>
      </c>
      <c r="AM68" s="29" t="str">
        <f aca="false">IF(N(AC68)=0,"",Z68/AC68)</f>
        <v/>
      </c>
      <c r="AN68" s="28" t="str">
        <f aca="false">IF(N(AD68)=0,"",AC68/AD68)</f>
        <v/>
      </c>
      <c r="AO68" s="28" t="str">
        <f aca="false">IF(N(AC68)=0,"",AB68/AC68)</f>
        <v/>
      </c>
      <c r="AP68" s="28" t="str">
        <f aca="false">IF(N(AG68)=0,"",AB68/AG68)</f>
        <v/>
      </c>
      <c r="AQ68" s="29" t="str">
        <f aca="false">IF(N(AF68)=0,"",AE68/AF68)</f>
        <v/>
      </c>
      <c r="AR68" s="26" t="n">
        <f aca="false">IF(N(26)=0,"",Z68/26)</f>
        <v>0</v>
      </c>
      <c r="AS68" s="39" t="n">
        <f aca="false">IF(N(26)=0,"",AF68/26)</f>
        <v>0</v>
      </c>
      <c r="AT68" s="28" t="str">
        <f aca="false">IF(N(AE68)=0,"",AI68/AE68)</f>
        <v/>
      </c>
      <c r="AU68" s="27" t="str">
        <f aca="false">IF(OR(W68="",AR68=""),"",IF(N(W68)=0,"",AR68/W68-1))</f>
        <v/>
      </c>
      <c r="AV68" s="27" t="str">
        <f aca="false">IF(N(F68)=0,"",(AA68/26)/(F68/30)-1)</f>
        <v/>
      </c>
      <c r="AW68" s="27" t="str">
        <f aca="false">IF(OR(X68="",AS68=""),"",IF(N(X68)=0,"",AS68/X68-1))</f>
        <v/>
      </c>
      <c r="AX68" s="27" t="str">
        <f aca="false">IF(OR(O68="",AJ68=""),"",AJ68-O68)</f>
        <v/>
      </c>
      <c r="AY68" s="27" t="str">
        <f aca="false">IF(OR(P68="",AK68=""),"",AK68-P68)</f>
        <v/>
      </c>
      <c r="AZ68" s="27" t="str">
        <f aca="false">IF(OR(R68="",AM68=""),"",IF(N(R68)=0,"",AM68/R68-1))</f>
        <v/>
      </c>
      <c r="BA68" s="27" t="str">
        <f aca="false">IF(OR(T68="",AO68=""),"",AO68-T68)</f>
        <v/>
      </c>
      <c r="BB68" s="27" t="str">
        <f aca="false">IF(OR(V68="",AQ68=""),"",IF(N(V68)=0,"",AQ68/V68-1))</f>
        <v/>
      </c>
    </row>
    <row r="69" customFormat="false" ht="15" hidden="false" customHeight="false" outlineLevel="0" collapsed="false">
      <c r="A69" s="18" t="s">
        <v>275</v>
      </c>
      <c r="B69" s="18" t="s">
        <v>130</v>
      </c>
      <c r="C69" s="14" t="s">
        <v>235</v>
      </c>
      <c r="D69" s="18" t="s">
        <v>209</v>
      </c>
      <c r="E69" s="26" t="n">
        <v>0</v>
      </c>
      <c r="F69" s="26" t="n">
        <v>0</v>
      </c>
      <c r="G69" s="30" t="n">
        <v>0</v>
      </c>
      <c r="H69" s="30" t="n">
        <v>0</v>
      </c>
      <c r="I69" s="30" t="n">
        <v>0</v>
      </c>
      <c r="J69" s="26" t="n">
        <v>182.37</v>
      </c>
      <c r="K69" s="30" t="n">
        <v>3</v>
      </c>
      <c r="L69" s="30" t="n">
        <v>3</v>
      </c>
      <c r="M69" s="30" t="n">
        <v>195</v>
      </c>
      <c r="N69" s="26" t="n">
        <v>-400.3</v>
      </c>
      <c r="O69" s="28" t="str">
        <f aca="false">IF(N(F69)=0,"",E69/F69)</f>
        <v/>
      </c>
      <c r="P69" s="28" t="n">
        <f aca="false">IF(N(J69)=0,"",E69/J69)</f>
        <v>0</v>
      </c>
      <c r="Q69" s="39" t="str">
        <f aca="false">IF(N(E69)=0,"",F69/E69)</f>
        <v/>
      </c>
      <c r="R69" s="29" t="str">
        <f aca="false">IF(N(H69)=0,"",E69/H69)</f>
        <v/>
      </c>
      <c r="S69" s="28" t="str">
        <f aca="false">IF(N(I69)=0,"",H69/I69)</f>
        <v/>
      </c>
      <c r="T69" s="28" t="str">
        <f aca="false">IF(N(H69)=0,"",G69/H69)</f>
        <v/>
      </c>
      <c r="U69" s="28" t="n">
        <f aca="false">IF(N(L69)=0,"",G69/L69)</f>
        <v>0</v>
      </c>
      <c r="V69" s="29" t="n">
        <f aca="false">IF(N(K69)=0,"",J69/K69)</f>
        <v>60.79</v>
      </c>
      <c r="W69" s="26" t="n">
        <f aca="false">IF(N(30)=0,"",E69/30)</f>
        <v>0</v>
      </c>
      <c r="X69" s="39" t="n">
        <f aca="false">IF(N(30)=0,"",K69/30)</f>
        <v>0.1</v>
      </c>
      <c r="Y69" s="28" t="n">
        <f aca="false">IF(N(J69)=0,"",N69/J69)</f>
        <v>-2.19498821078028</v>
      </c>
      <c r="Z69" s="26" t="n">
        <v>0</v>
      </c>
      <c r="AA69" s="26" t="n">
        <v>0</v>
      </c>
      <c r="AB69" s="30" t="n">
        <v>0</v>
      </c>
      <c r="AC69" s="30" t="n">
        <v>0</v>
      </c>
      <c r="AD69" s="30" t="n">
        <v>0</v>
      </c>
      <c r="AE69" s="26" t="n">
        <v>0</v>
      </c>
      <c r="AF69" s="30" t="n">
        <v>0</v>
      </c>
      <c r="AG69" s="30" t="n">
        <v>0</v>
      </c>
      <c r="AH69" s="30" t="n">
        <v>139</v>
      </c>
      <c r="AI69" s="26" t="n">
        <v>-602.06</v>
      </c>
      <c r="AJ69" s="28" t="str">
        <f aca="false">IF(N(AA69)=0,"",Z69/AA69)</f>
        <v/>
      </c>
      <c r="AK69" s="28" t="str">
        <f aca="false">IF(N(AE69)=0,"",Z69/AE69)</f>
        <v/>
      </c>
      <c r="AL69" s="39" t="str">
        <f aca="false">IF(N(Z69)=0,"",AA69/Z69)</f>
        <v/>
      </c>
      <c r="AM69" s="29" t="str">
        <f aca="false">IF(N(AC69)=0,"",Z69/AC69)</f>
        <v/>
      </c>
      <c r="AN69" s="28" t="str">
        <f aca="false">IF(N(AD69)=0,"",AC69/AD69)</f>
        <v/>
      </c>
      <c r="AO69" s="28" t="str">
        <f aca="false">IF(N(AC69)=0,"",AB69/AC69)</f>
        <v/>
      </c>
      <c r="AP69" s="28" t="str">
        <f aca="false">IF(N(AG69)=0,"",AB69/AG69)</f>
        <v/>
      </c>
      <c r="AQ69" s="29" t="str">
        <f aca="false">IF(N(AF69)=0,"",AE69/AF69)</f>
        <v/>
      </c>
      <c r="AR69" s="26" t="n">
        <f aca="false">IF(N(26)=0,"",Z69/26)</f>
        <v>0</v>
      </c>
      <c r="AS69" s="39" t="n">
        <f aca="false">IF(N(26)=0,"",AF69/26)</f>
        <v>0</v>
      </c>
      <c r="AT69" s="28" t="str">
        <f aca="false">IF(N(AE69)=0,"",AI69/AE69)</f>
        <v/>
      </c>
      <c r="AU69" s="27" t="str">
        <f aca="false">IF(OR(W69="",AR69=""),"",IF(N(W69)=0,"",AR69/W69-1))</f>
        <v/>
      </c>
      <c r="AV69" s="27" t="str">
        <f aca="false">IF(N(F69)=0,"",(AA69/26)/(F69/30)-1)</f>
        <v/>
      </c>
      <c r="AW69" s="27" t="n">
        <f aca="false">IF(OR(X69="",AS69=""),"",IF(N(X69)=0,"",AS69/X69-1))</f>
        <v>-1</v>
      </c>
      <c r="AX69" s="27" t="str">
        <f aca="false">IF(OR(O69="",AJ69=""),"",AJ69-O69)</f>
        <v/>
      </c>
      <c r="AY69" s="27" t="str">
        <f aca="false">IF(OR(P69="",AK69=""),"",AK69-P69)</f>
        <v/>
      </c>
      <c r="AZ69" s="27" t="str">
        <f aca="false">IF(OR(R69="",AM69=""),"",IF(N(R69)=0,"",AM69/R69-1))</f>
        <v/>
      </c>
      <c r="BA69" s="27" t="str">
        <f aca="false">IF(OR(T69="",AO69=""),"",AO69-T69)</f>
        <v/>
      </c>
      <c r="BB69" s="27" t="str">
        <f aca="false">IF(OR(V69="",AQ69=""),"",IF(N(V69)=0,"",AQ69/V69-1))</f>
        <v/>
      </c>
    </row>
    <row r="70" customFormat="false" ht="15" hidden="false" customHeight="false" outlineLevel="0" collapsed="false">
      <c r="A70" s="18" t="s">
        <v>276</v>
      </c>
      <c r="B70" s="18" t="s">
        <v>167</v>
      </c>
      <c r="C70" s="14" t="s">
        <v>194</v>
      </c>
      <c r="D70" s="18"/>
      <c r="E70" s="26" t="n">
        <v>0</v>
      </c>
      <c r="F70" s="26" t="n">
        <v>0</v>
      </c>
      <c r="G70" s="30" t="n">
        <v>0</v>
      </c>
      <c r="H70" s="30" t="n">
        <v>0</v>
      </c>
      <c r="I70" s="30" t="n">
        <v>0</v>
      </c>
      <c r="J70" s="26" t="n">
        <v>0</v>
      </c>
      <c r="K70" s="30" t="n">
        <v>0</v>
      </c>
      <c r="L70" s="30" t="n">
        <v>0</v>
      </c>
      <c r="M70" s="30" t="n">
        <v>8</v>
      </c>
      <c r="N70" s="26" t="n">
        <v>5.39</v>
      </c>
      <c r="O70" s="28" t="str">
        <f aca="false">IF(N(F70)=0,"",E70/F70)</f>
        <v/>
      </c>
      <c r="P70" s="28" t="str">
        <f aca="false">IF(N(J70)=0,"",E70/J70)</f>
        <v/>
      </c>
      <c r="Q70" s="39" t="str">
        <f aca="false">IF(N(E70)=0,"",F70/E70)</f>
        <v/>
      </c>
      <c r="R70" s="29" t="str">
        <f aca="false">IF(N(H70)=0,"",E70/H70)</f>
        <v/>
      </c>
      <c r="S70" s="28" t="str">
        <f aca="false">IF(N(I70)=0,"",H70/I70)</f>
        <v/>
      </c>
      <c r="T70" s="28" t="str">
        <f aca="false">IF(N(H70)=0,"",G70/H70)</f>
        <v/>
      </c>
      <c r="U70" s="28" t="str">
        <f aca="false">IF(N(L70)=0,"",G70/L70)</f>
        <v/>
      </c>
      <c r="V70" s="29" t="str">
        <f aca="false">IF(N(K70)=0,"",J70/K70)</f>
        <v/>
      </c>
      <c r="W70" s="26" t="n">
        <f aca="false">IF(N(30)=0,"",E70/30)</f>
        <v>0</v>
      </c>
      <c r="X70" s="39" t="n">
        <f aca="false">IF(N(30)=0,"",K70/30)</f>
        <v>0</v>
      </c>
      <c r="Y70" s="28" t="str">
        <f aca="false">IF(N(J70)=0,"",N70/J70)</f>
        <v/>
      </c>
      <c r="Z70" s="26" t="n">
        <v>0</v>
      </c>
      <c r="AA70" s="26" t="n">
        <v>0</v>
      </c>
      <c r="AB70" s="30" t="n">
        <v>0</v>
      </c>
      <c r="AC70" s="30" t="n">
        <v>0</v>
      </c>
      <c r="AD70" s="30" t="n">
        <v>0</v>
      </c>
      <c r="AE70" s="26" t="n">
        <v>0</v>
      </c>
      <c r="AF70" s="30" t="n">
        <v>0</v>
      </c>
      <c r="AG70" s="30" t="n">
        <v>0</v>
      </c>
      <c r="AH70" s="30" t="n">
        <v>0</v>
      </c>
      <c r="AI70" s="26" t="n">
        <v>0</v>
      </c>
      <c r="AJ70" s="28" t="str">
        <f aca="false">IF(N(AA70)=0,"",Z70/AA70)</f>
        <v/>
      </c>
      <c r="AK70" s="28" t="str">
        <f aca="false">IF(N(AE70)=0,"",Z70/AE70)</f>
        <v/>
      </c>
      <c r="AL70" s="39" t="str">
        <f aca="false">IF(N(Z70)=0,"",AA70/Z70)</f>
        <v/>
      </c>
      <c r="AM70" s="29" t="str">
        <f aca="false">IF(N(AC70)=0,"",Z70/AC70)</f>
        <v/>
      </c>
      <c r="AN70" s="28" t="str">
        <f aca="false">IF(N(AD70)=0,"",AC70/AD70)</f>
        <v/>
      </c>
      <c r="AO70" s="28" t="str">
        <f aca="false">IF(N(AC70)=0,"",AB70/AC70)</f>
        <v/>
      </c>
      <c r="AP70" s="28" t="str">
        <f aca="false">IF(N(AG70)=0,"",AB70/AG70)</f>
        <v/>
      </c>
      <c r="AQ70" s="29" t="str">
        <f aca="false">IF(N(AF70)=0,"",AE70/AF70)</f>
        <v/>
      </c>
      <c r="AR70" s="26" t="n">
        <f aca="false">IF(N(26)=0,"",Z70/26)</f>
        <v>0</v>
      </c>
      <c r="AS70" s="39" t="n">
        <f aca="false">IF(N(26)=0,"",AF70/26)</f>
        <v>0</v>
      </c>
      <c r="AT70" s="28" t="str">
        <f aca="false">IF(N(AE70)=0,"",AI70/AE70)</f>
        <v/>
      </c>
      <c r="AU70" s="27" t="str">
        <f aca="false">IF(OR(W70="",AR70=""),"",IF(N(W70)=0,"",AR70/W70-1))</f>
        <v/>
      </c>
      <c r="AV70" s="27" t="str">
        <f aca="false">IF(N(F70)=0,"",(AA70/26)/(F70/30)-1)</f>
        <v/>
      </c>
      <c r="AW70" s="27" t="str">
        <f aca="false">IF(OR(X70="",AS70=""),"",IF(N(X70)=0,"",AS70/X70-1))</f>
        <v/>
      </c>
      <c r="AX70" s="27" t="str">
        <f aca="false">IF(OR(O70="",AJ70=""),"",AJ70-O70)</f>
        <v/>
      </c>
      <c r="AY70" s="27" t="str">
        <f aca="false">IF(OR(P70="",AK70=""),"",AK70-P70)</f>
        <v/>
      </c>
      <c r="AZ70" s="27" t="str">
        <f aca="false">IF(OR(R70="",AM70=""),"",IF(N(R70)=0,"",AM70/R70-1))</f>
        <v/>
      </c>
      <c r="BA70" s="27" t="str">
        <f aca="false">IF(OR(T70="",AO70=""),"",AO70-T70)</f>
        <v/>
      </c>
      <c r="BB70" s="27" t="str">
        <f aca="false">IF(OR(V70="",AQ70=""),"",IF(N(V70)=0,"",AQ70/V70-1))</f>
        <v/>
      </c>
    </row>
    <row r="71" customFormat="false" ht="15" hidden="false" customHeight="false" outlineLevel="0" collapsed="false">
      <c r="A71" s="18" t="s">
        <v>277</v>
      </c>
      <c r="B71" s="18" t="s">
        <v>185</v>
      </c>
      <c r="C71" s="14" t="s">
        <v>269</v>
      </c>
      <c r="D71" s="18"/>
      <c r="E71" s="26" t="n">
        <v>0</v>
      </c>
      <c r="F71" s="26" t="n">
        <v>0</v>
      </c>
      <c r="G71" s="30" t="n">
        <v>0</v>
      </c>
      <c r="H71" s="30" t="n">
        <v>0</v>
      </c>
      <c r="I71" s="30" t="n">
        <v>0</v>
      </c>
      <c r="J71" s="26" t="n">
        <v>0</v>
      </c>
      <c r="K71" s="30" t="n">
        <v>0</v>
      </c>
      <c r="L71" s="30" t="n">
        <v>0</v>
      </c>
      <c r="M71" s="30" t="n">
        <v>0</v>
      </c>
      <c r="N71" s="26" t="n">
        <v>-58.14</v>
      </c>
      <c r="O71" s="28" t="str">
        <f aca="false">IF(N(F71)=0,"",E71/F71)</f>
        <v/>
      </c>
      <c r="P71" s="28" t="str">
        <f aca="false">IF(N(J71)=0,"",E71/J71)</f>
        <v/>
      </c>
      <c r="Q71" s="39" t="str">
        <f aca="false">IF(N(E71)=0,"",F71/E71)</f>
        <v/>
      </c>
      <c r="R71" s="29" t="str">
        <f aca="false">IF(N(H71)=0,"",E71/H71)</f>
        <v/>
      </c>
      <c r="S71" s="28" t="str">
        <f aca="false">IF(N(I71)=0,"",H71/I71)</f>
        <v/>
      </c>
      <c r="T71" s="28" t="str">
        <f aca="false">IF(N(H71)=0,"",G71/H71)</f>
        <v/>
      </c>
      <c r="U71" s="28" t="str">
        <f aca="false">IF(N(L71)=0,"",G71/L71)</f>
        <v/>
      </c>
      <c r="V71" s="29" t="str">
        <f aca="false">IF(N(K71)=0,"",J71/K71)</f>
        <v/>
      </c>
      <c r="W71" s="26" t="n">
        <f aca="false">IF(N(30)=0,"",E71/30)</f>
        <v>0</v>
      </c>
      <c r="X71" s="39" t="n">
        <f aca="false">IF(N(30)=0,"",K71/30)</f>
        <v>0</v>
      </c>
      <c r="Y71" s="28" t="str">
        <f aca="false">IF(N(J71)=0,"",N71/J71)</f>
        <v/>
      </c>
      <c r="Z71" s="26" t="n">
        <v>0</v>
      </c>
      <c r="AA71" s="26" t="n">
        <v>0</v>
      </c>
      <c r="AB71" s="30" t="n">
        <v>0</v>
      </c>
      <c r="AC71" s="30" t="n">
        <v>0</v>
      </c>
      <c r="AD71" s="30" t="n">
        <v>0</v>
      </c>
      <c r="AE71" s="26" t="n">
        <v>0</v>
      </c>
      <c r="AF71" s="30" t="n">
        <v>0</v>
      </c>
      <c r="AG71" s="30" t="n">
        <v>0</v>
      </c>
      <c r="AH71" s="30" t="n">
        <v>0</v>
      </c>
      <c r="AI71" s="26" t="n">
        <v>-119.91</v>
      </c>
      <c r="AJ71" s="28" t="str">
        <f aca="false">IF(N(AA71)=0,"",Z71/AA71)</f>
        <v/>
      </c>
      <c r="AK71" s="28" t="str">
        <f aca="false">IF(N(AE71)=0,"",Z71/AE71)</f>
        <v/>
      </c>
      <c r="AL71" s="39" t="str">
        <f aca="false">IF(N(Z71)=0,"",AA71/Z71)</f>
        <v/>
      </c>
      <c r="AM71" s="29" t="str">
        <f aca="false">IF(N(AC71)=0,"",Z71/AC71)</f>
        <v/>
      </c>
      <c r="AN71" s="28" t="str">
        <f aca="false">IF(N(AD71)=0,"",AC71/AD71)</f>
        <v/>
      </c>
      <c r="AO71" s="28" t="str">
        <f aca="false">IF(N(AC71)=0,"",AB71/AC71)</f>
        <v/>
      </c>
      <c r="AP71" s="28" t="str">
        <f aca="false">IF(N(AG71)=0,"",AB71/AG71)</f>
        <v/>
      </c>
      <c r="AQ71" s="29" t="str">
        <f aca="false">IF(N(AF71)=0,"",AE71/AF71)</f>
        <v/>
      </c>
      <c r="AR71" s="26" t="n">
        <f aca="false">IF(N(26)=0,"",Z71/26)</f>
        <v>0</v>
      </c>
      <c r="AS71" s="39" t="n">
        <f aca="false">IF(N(26)=0,"",AF71/26)</f>
        <v>0</v>
      </c>
      <c r="AT71" s="28" t="str">
        <f aca="false">IF(N(AE71)=0,"",AI71/AE71)</f>
        <v/>
      </c>
      <c r="AU71" s="27" t="str">
        <f aca="false">IF(OR(W71="",AR71=""),"",IF(N(W71)=0,"",AR71/W71-1))</f>
        <v/>
      </c>
      <c r="AV71" s="27" t="str">
        <f aca="false">IF(N(F71)=0,"",(AA71/26)/(F71/30)-1)</f>
        <v/>
      </c>
      <c r="AW71" s="27" t="str">
        <f aca="false">IF(OR(X71="",AS71=""),"",IF(N(X71)=0,"",AS71/X71-1))</f>
        <v/>
      </c>
      <c r="AX71" s="27" t="str">
        <f aca="false">IF(OR(O71="",AJ71=""),"",AJ71-O71)</f>
        <v/>
      </c>
      <c r="AY71" s="27" t="str">
        <f aca="false">IF(OR(P71="",AK71=""),"",AK71-P71)</f>
        <v/>
      </c>
      <c r="AZ71" s="27" t="str">
        <f aca="false">IF(OR(R71="",AM71=""),"",IF(N(R71)=0,"",AM71/R71-1))</f>
        <v/>
      </c>
      <c r="BA71" s="27" t="str">
        <f aca="false">IF(OR(T71="",AO71=""),"",AO71-T71)</f>
        <v/>
      </c>
      <c r="BB71" s="27" t="str">
        <f aca="false">IF(OR(V71="",AQ71=""),"",IF(N(V71)=0,"",AQ71/V71-1))</f>
        <v/>
      </c>
    </row>
    <row r="72" customFormat="false" ht="15" hidden="false" customHeight="false" outlineLevel="0" collapsed="false">
      <c r="A72" s="18" t="s">
        <v>278</v>
      </c>
      <c r="B72" s="18" t="s">
        <v>181</v>
      </c>
      <c r="C72" s="14" t="s">
        <v>271</v>
      </c>
      <c r="D72" s="18"/>
      <c r="E72" s="26" t="n">
        <v>0</v>
      </c>
      <c r="F72" s="26" t="n">
        <v>0</v>
      </c>
      <c r="G72" s="30" t="n">
        <v>0</v>
      </c>
      <c r="H72" s="30" t="n">
        <v>0</v>
      </c>
      <c r="I72" s="30" t="n">
        <v>0</v>
      </c>
      <c r="J72" s="26" t="n">
        <v>0</v>
      </c>
      <c r="K72" s="30" t="n">
        <v>0</v>
      </c>
      <c r="L72" s="30" t="n">
        <v>0</v>
      </c>
      <c r="M72" s="30" t="n">
        <v>0</v>
      </c>
      <c r="N72" s="26" t="n">
        <v>47.13</v>
      </c>
      <c r="O72" s="28" t="str">
        <f aca="false">IF(N(F72)=0,"",E72/F72)</f>
        <v/>
      </c>
      <c r="P72" s="28" t="str">
        <f aca="false">IF(N(J72)=0,"",E72/J72)</f>
        <v/>
      </c>
      <c r="Q72" s="39" t="str">
        <f aca="false">IF(N(E72)=0,"",F72/E72)</f>
        <v/>
      </c>
      <c r="R72" s="29" t="str">
        <f aca="false">IF(N(H72)=0,"",E72/H72)</f>
        <v/>
      </c>
      <c r="S72" s="28" t="str">
        <f aca="false">IF(N(I72)=0,"",H72/I72)</f>
        <v/>
      </c>
      <c r="T72" s="28" t="str">
        <f aca="false">IF(N(H72)=0,"",G72/H72)</f>
        <v/>
      </c>
      <c r="U72" s="28" t="str">
        <f aca="false">IF(N(L72)=0,"",G72/L72)</f>
        <v/>
      </c>
      <c r="V72" s="29" t="str">
        <f aca="false">IF(N(K72)=0,"",J72/K72)</f>
        <v/>
      </c>
      <c r="W72" s="26" t="n">
        <f aca="false">IF(N(30)=0,"",E72/30)</f>
        <v>0</v>
      </c>
      <c r="X72" s="39" t="n">
        <f aca="false">IF(N(30)=0,"",K72/30)</f>
        <v>0</v>
      </c>
      <c r="Y72" s="28" t="str">
        <f aca="false">IF(N(J72)=0,"",N72/J72)</f>
        <v/>
      </c>
      <c r="Z72" s="26" t="n">
        <v>0</v>
      </c>
      <c r="AA72" s="26" t="n">
        <v>0</v>
      </c>
      <c r="AB72" s="30" t="n">
        <v>0</v>
      </c>
      <c r="AC72" s="30" t="n">
        <v>0</v>
      </c>
      <c r="AD72" s="30" t="n">
        <v>0</v>
      </c>
      <c r="AE72" s="26" t="n">
        <v>0</v>
      </c>
      <c r="AF72" s="30" t="n">
        <v>0</v>
      </c>
      <c r="AG72" s="30" t="n">
        <v>0</v>
      </c>
      <c r="AH72" s="30" t="n">
        <v>0</v>
      </c>
      <c r="AI72" s="26" t="n">
        <v>2.43</v>
      </c>
      <c r="AJ72" s="28" t="str">
        <f aca="false">IF(N(AA72)=0,"",Z72/AA72)</f>
        <v/>
      </c>
      <c r="AK72" s="28" t="str">
        <f aca="false">IF(N(AE72)=0,"",Z72/AE72)</f>
        <v/>
      </c>
      <c r="AL72" s="39" t="str">
        <f aca="false">IF(N(Z72)=0,"",AA72/Z72)</f>
        <v/>
      </c>
      <c r="AM72" s="29" t="str">
        <f aca="false">IF(N(AC72)=0,"",Z72/AC72)</f>
        <v/>
      </c>
      <c r="AN72" s="28" t="str">
        <f aca="false">IF(N(AD72)=0,"",AC72/AD72)</f>
        <v/>
      </c>
      <c r="AO72" s="28" t="str">
        <f aca="false">IF(N(AC72)=0,"",AB72/AC72)</f>
        <v/>
      </c>
      <c r="AP72" s="28" t="str">
        <f aca="false">IF(N(AG72)=0,"",AB72/AG72)</f>
        <v/>
      </c>
      <c r="AQ72" s="29" t="str">
        <f aca="false">IF(N(AF72)=0,"",AE72/AF72)</f>
        <v/>
      </c>
      <c r="AR72" s="26" t="n">
        <f aca="false">IF(N(26)=0,"",Z72/26)</f>
        <v>0</v>
      </c>
      <c r="AS72" s="39" t="n">
        <f aca="false">IF(N(26)=0,"",AF72/26)</f>
        <v>0</v>
      </c>
      <c r="AT72" s="28" t="str">
        <f aca="false">IF(N(AE72)=0,"",AI72/AE72)</f>
        <v/>
      </c>
      <c r="AU72" s="27" t="str">
        <f aca="false">IF(OR(W72="",AR72=""),"",IF(N(W72)=0,"",AR72/W72-1))</f>
        <v/>
      </c>
      <c r="AV72" s="27" t="str">
        <f aca="false">IF(N(F72)=0,"",(AA72/26)/(F72/30)-1)</f>
        <v/>
      </c>
      <c r="AW72" s="27" t="str">
        <f aca="false">IF(OR(X72="",AS72=""),"",IF(N(X72)=0,"",AS72/X72-1))</f>
        <v/>
      </c>
      <c r="AX72" s="27" t="str">
        <f aca="false">IF(OR(O72="",AJ72=""),"",AJ72-O72)</f>
        <v/>
      </c>
      <c r="AY72" s="27" t="str">
        <f aca="false">IF(OR(P72="",AK72=""),"",AK72-P72)</f>
        <v/>
      </c>
      <c r="AZ72" s="27" t="str">
        <f aca="false">IF(OR(R72="",AM72=""),"",IF(N(R72)=0,"",AM72/R72-1))</f>
        <v/>
      </c>
      <c r="BA72" s="27" t="str">
        <f aca="false">IF(OR(T72="",AO72=""),"",AO72-T72)</f>
        <v/>
      </c>
      <c r="BB72" s="27" t="str">
        <f aca="false">IF(OR(V72="",AQ72=""),"",IF(N(V72)=0,"",AQ72/V72-1))</f>
        <v/>
      </c>
    </row>
    <row r="73" customFormat="false" ht="15" hidden="false" customHeight="false" outlineLevel="0" collapsed="false">
      <c r="A73" s="18" t="s">
        <v>279</v>
      </c>
      <c r="B73" s="18" t="s">
        <v>179</v>
      </c>
      <c r="C73" s="14" t="s">
        <v>238</v>
      </c>
      <c r="D73" s="18"/>
      <c r="E73" s="26" t="n">
        <v>0</v>
      </c>
      <c r="F73" s="26" t="n">
        <v>0</v>
      </c>
      <c r="G73" s="30" t="n">
        <v>0</v>
      </c>
      <c r="H73" s="30" t="n">
        <v>0</v>
      </c>
      <c r="I73" s="30" t="n">
        <v>0</v>
      </c>
      <c r="J73" s="26" t="n">
        <v>0</v>
      </c>
      <c r="K73" s="30" t="n">
        <v>0</v>
      </c>
      <c r="L73" s="30" t="n">
        <v>0</v>
      </c>
      <c r="M73" s="30" t="n">
        <v>0</v>
      </c>
      <c r="N73" s="26" t="n">
        <v>8.04</v>
      </c>
      <c r="O73" s="28" t="str">
        <f aca="false">IF(N(F73)=0,"",E73/F73)</f>
        <v/>
      </c>
      <c r="P73" s="28" t="str">
        <f aca="false">IF(N(J73)=0,"",E73/J73)</f>
        <v/>
      </c>
      <c r="Q73" s="39" t="str">
        <f aca="false">IF(N(E73)=0,"",F73/E73)</f>
        <v/>
      </c>
      <c r="R73" s="29" t="str">
        <f aca="false">IF(N(H73)=0,"",E73/H73)</f>
        <v/>
      </c>
      <c r="S73" s="28" t="str">
        <f aca="false">IF(N(I73)=0,"",H73/I73)</f>
        <v/>
      </c>
      <c r="T73" s="28" t="str">
        <f aca="false">IF(N(H73)=0,"",G73/H73)</f>
        <v/>
      </c>
      <c r="U73" s="28" t="str">
        <f aca="false">IF(N(L73)=0,"",G73/L73)</f>
        <v/>
      </c>
      <c r="V73" s="29" t="str">
        <f aca="false">IF(N(K73)=0,"",J73/K73)</f>
        <v/>
      </c>
      <c r="W73" s="26" t="n">
        <f aca="false">IF(N(30)=0,"",E73/30)</f>
        <v>0</v>
      </c>
      <c r="X73" s="39" t="n">
        <f aca="false">IF(N(30)=0,"",K73/30)</f>
        <v>0</v>
      </c>
      <c r="Y73" s="28" t="str">
        <f aca="false">IF(N(J73)=0,"",N73/J73)</f>
        <v/>
      </c>
      <c r="Z73" s="26" t="n">
        <v>0</v>
      </c>
      <c r="AA73" s="26" t="n">
        <v>0</v>
      </c>
      <c r="AB73" s="30" t="n">
        <v>0</v>
      </c>
      <c r="AC73" s="30" t="n">
        <v>0</v>
      </c>
      <c r="AD73" s="30" t="n">
        <v>0</v>
      </c>
      <c r="AE73" s="26" t="n">
        <v>0</v>
      </c>
      <c r="AF73" s="30" t="n">
        <v>0</v>
      </c>
      <c r="AG73" s="30" t="n">
        <v>0</v>
      </c>
      <c r="AH73" s="30" t="n">
        <v>0</v>
      </c>
      <c r="AI73" s="26" t="n">
        <v>0</v>
      </c>
      <c r="AJ73" s="28" t="str">
        <f aca="false">IF(N(AA73)=0,"",Z73/AA73)</f>
        <v/>
      </c>
      <c r="AK73" s="28" t="str">
        <f aca="false">IF(N(AE73)=0,"",Z73/AE73)</f>
        <v/>
      </c>
      <c r="AL73" s="39" t="str">
        <f aca="false">IF(N(Z73)=0,"",AA73/Z73)</f>
        <v/>
      </c>
      <c r="AM73" s="29" t="str">
        <f aca="false">IF(N(AC73)=0,"",Z73/AC73)</f>
        <v/>
      </c>
      <c r="AN73" s="28" t="str">
        <f aca="false">IF(N(AD73)=0,"",AC73/AD73)</f>
        <v/>
      </c>
      <c r="AO73" s="28" t="str">
        <f aca="false">IF(N(AC73)=0,"",AB73/AC73)</f>
        <v/>
      </c>
      <c r="AP73" s="28" t="str">
        <f aca="false">IF(N(AG73)=0,"",AB73/AG73)</f>
        <v/>
      </c>
      <c r="AQ73" s="29" t="str">
        <f aca="false">IF(N(AF73)=0,"",AE73/AF73)</f>
        <v/>
      </c>
      <c r="AR73" s="26" t="n">
        <f aca="false">IF(N(26)=0,"",Z73/26)</f>
        <v>0</v>
      </c>
      <c r="AS73" s="39" t="n">
        <f aca="false">IF(N(26)=0,"",AF73/26)</f>
        <v>0</v>
      </c>
      <c r="AT73" s="28" t="str">
        <f aca="false">IF(N(AE73)=0,"",AI73/AE73)</f>
        <v/>
      </c>
      <c r="AU73" s="27" t="str">
        <f aca="false">IF(OR(W73="",AR73=""),"",IF(N(W73)=0,"",AR73/W73-1))</f>
        <v/>
      </c>
      <c r="AV73" s="27" t="str">
        <f aca="false">IF(N(F73)=0,"",(AA73/26)/(F73/30)-1)</f>
        <v/>
      </c>
      <c r="AW73" s="27" t="str">
        <f aca="false">IF(OR(X73="",AS73=""),"",IF(N(X73)=0,"",AS73/X73-1))</f>
        <v/>
      </c>
      <c r="AX73" s="27" t="str">
        <f aca="false">IF(OR(O73="",AJ73=""),"",AJ73-O73)</f>
        <v/>
      </c>
      <c r="AY73" s="27" t="str">
        <f aca="false">IF(OR(P73="",AK73=""),"",AK73-P73)</f>
        <v/>
      </c>
      <c r="AZ73" s="27" t="str">
        <f aca="false">IF(OR(R73="",AM73=""),"",IF(N(R73)=0,"",AM73/R73-1))</f>
        <v/>
      </c>
      <c r="BA73" s="27" t="str">
        <f aca="false">IF(OR(T73="",AO73=""),"",AO73-T73)</f>
        <v/>
      </c>
      <c r="BB73" s="27" t="str">
        <f aca="false">IF(OR(V73="",AQ73=""),"",IF(N(V73)=0,"",AQ73/V73-1))</f>
        <v/>
      </c>
    </row>
    <row r="74" customFormat="false" ht="15" hidden="false" customHeight="false" outlineLevel="0" collapsed="false">
      <c r="A74" s="18" t="s">
        <v>280</v>
      </c>
      <c r="B74" s="18" t="s">
        <v>187</v>
      </c>
      <c r="C74" s="14" t="s">
        <v>281</v>
      </c>
      <c r="D74" s="18"/>
      <c r="E74" s="26" t="n">
        <v>0</v>
      </c>
      <c r="F74" s="26" t="n">
        <v>0</v>
      </c>
      <c r="G74" s="30" t="n">
        <v>0</v>
      </c>
      <c r="H74" s="30" t="n">
        <v>0</v>
      </c>
      <c r="I74" s="30" t="n">
        <v>0</v>
      </c>
      <c r="J74" s="26" t="n">
        <v>0</v>
      </c>
      <c r="K74" s="30" t="n">
        <v>0</v>
      </c>
      <c r="L74" s="30" t="n">
        <v>0</v>
      </c>
      <c r="M74" s="30" t="n">
        <v>78</v>
      </c>
      <c r="N74" s="26" t="n">
        <v>11.93</v>
      </c>
      <c r="O74" s="28" t="str">
        <f aca="false">IF(N(F74)=0,"",E74/F74)</f>
        <v/>
      </c>
      <c r="P74" s="28" t="str">
        <f aca="false">IF(N(J74)=0,"",E74/J74)</f>
        <v/>
      </c>
      <c r="Q74" s="39" t="str">
        <f aca="false">IF(N(E74)=0,"",F74/E74)</f>
        <v/>
      </c>
      <c r="R74" s="29" t="str">
        <f aca="false">IF(N(H74)=0,"",E74/H74)</f>
        <v/>
      </c>
      <c r="S74" s="28" t="str">
        <f aca="false">IF(N(I74)=0,"",H74/I74)</f>
        <v/>
      </c>
      <c r="T74" s="28" t="str">
        <f aca="false">IF(N(H74)=0,"",G74/H74)</f>
        <v/>
      </c>
      <c r="U74" s="28" t="str">
        <f aca="false">IF(N(L74)=0,"",G74/L74)</f>
        <v/>
      </c>
      <c r="V74" s="29" t="str">
        <f aca="false">IF(N(K74)=0,"",J74/K74)</f>
        <v/>
      </c>
      <c r="W74" s="26" t="n">
        <f aca="false">IF(N(30)=0,"",E74/30)</f>
        <v>0</v>
      </c>
      <c r="X74" s="39" t="n">
        <f aca="false">IF(N(30)=0,"",K74/30)</f>
        <v>0</v>
      </c>
      <c r="Y74" s="28" t="str">
        <f aca="false">IF(N(J74)=0,"",N74/J74)</f>
        <v/>
      </c>
      <c r="Z74" s="26" t="n">
        <v>0</v>
      </c>
      <c r="AA74" s="26" t="n">
        <v>0</v>
      </c>
      <c r="AB74" s="30" t="n">
        <v>0</v>
      </c>
      <c r="AC74" s="30" t="n">
        <v>0</v>
      </c>
      <c r="AD74" s="30" t="n">
        <v>0</v>
      </c>
      <c r="AE74" s="26" t="n">
        <v>0</v>
      </c>
      <c r="AF74" s="30" t="n">
        <v>0</v>
      </c>
      <c r="AG74" s="30" t="n">
        <v>0</v>
      </c>
      <c r="AH74" s="30" t="n">
        <v>0</v>
      </c>
      <c r="AI74" s="26" t="n">
        <v>-12.04</v>
      </c>
      <c r="AJ74" s="28" t="str">
        <f aca="false">IF(N(AA74)=0,"",Z74/AA74)</f>
        <v/>
      </c>
      <c r="AK74" s="28" t="str">
        <f aca="false">IF(N(AE74)=0,"",Z74/AE74)</f>
        <v/>
      </c>
      <c r="AL74" s="39" t="str">
        <f aca="false">IF(N(Z74)=0,"",AA74/Z74)</f>
        <v/>
      </c>
      <c r="AM74" s="29" t="str">
        <f aca="false">IF(N(AC74)=0,"",Z74/AC74)</f>
        <v/>
      </c>
      <c r="AN74" s="28" t="str">
        <f aca="false">IF(N(AD74)=0,"",AC74/AD74)</f>
        <v/>
      </c>
      <c r="AO74" s="28" t="str">
        <f aca="false">IF(N(AC74)=0,"",AB74/AC74)</f>
        <v/>
      </c>
      <c r="AP74" s="28" t="str">
        <f aca="false">IF(N(AG74)=0,"",AB74/AG74)</f>
        <v/>
      </c>
      <c r="AQ74" s="29" t="str">
        <f aca="false">IF(N(AF74)=0,"",AE74/AF74)</f>
        <v/>
      </c>
      <c r="AR74" s="26" t="n">
        <f aca="false">IF(N(26)=0,"",Z74/26)</f>
        <v>0</v>
      </c>
      <c r="AS74" s="39" t="n">
        <f aca="false">IF(N(26)=0,"",AF74/26)</f>
        <v>0</v>
      </c>
      <c r="AT74" s="28" t="str">
        <f aca="false">IF(N(AE74)=0,"",AI74/AE74)</f>
        <v/>
      </c>
      <c r="AU74" s="27" t="str">
        <f aca="false">IF(OR(W74="",AR74=""),"",IF(N(W74)=0,"",AR74/W74-1))</f>
        <v/>
      </c>
      <c r="AV74" s="27" t="str">
        <f aca="false">IF(N(F74)=0,"",(AA74/26)/(F74/30)-1)</f>
        <v/>
      </c>
      <c r="AW74" s="27" t="str">
        <f aca="false">IF(OR(X74="",AS74=""),"",IF(N(X74)=0,"",AS74/X74-1))</f>
        <v/>
      </c>
      <c r="AX74" s="27" t="str">
        <f aca="false">IF(OR(O74="",AJ74=""),"",AJ74-O74)</f>
        <v/>
      </c>
      <c r="AY74" s="27" t="str">
        <f aca="false">IF(OR(P74="",AK74=""),"",AK74-P74)</f>
        <v/>
      </c>
      <c r="AZ74" s="27" t="str">
        <f aca="false">IF(OR(R74="",AM74=""),"",IF(N(R74)=0,"",AM74/R74-1))</f>
        <v/>
      </c>
      <c r="BA74" s="27" t="str">
        <f aca="false">IF(OR(T74="",AO74=""),"",AO74-T74)</f>
        <v/>
      </c>
      <c r="BB74" s="27" t="str">
        <f aca="false">IF(OR(V74="",AQ74=""),"",IF(N(V74)=0,"",AQ74/V74-1))</f>
        <v/>
      </c>
    </row>
    <row r="75" customFormat="false" ht="15" hidden="false" customHeight="false" outlineLevel="0" collapsed="false">
      <c r="A75" s="18" t="s">
        <v>282</v>
      </c>
      <c r="B75" s="18" t="s">
        <v>181</v>
      </c>
      <c r="C75" s="14" t="s">
        <v>271</v>
      </c>
      <c r="D75" s="18"/>
      <c r="E75" s="26" t="n">
        <v>0</v>
      </c>
      <c r="F75" s="26" t="n">
        <v>0</v>
      </c>
      <c r="G75" s="30" t="n">
        <v>0</v>
      </c>
      <c r="H75" s="30" t="n">
        <v>0</v>
      </c>
      <c r="I75" s="30" t="n">
        <v>0</v>
      </c>
      <c r="J75" s="26" t="n">
        <v>0</v>
      </c>
      <c r="K75" s="30" t="n">
        <v>0</v>
      </c>
      <c r="L75" s="30" t="n">
        <v>0</v>
      </c>
      <c r="M75" s="30" t="n">
        <v>0</v>
      </c>
      <c r="N75" s="26" t="n">
        <v>3.5</v>
      </c>
      <c r="O75" s="28" t="str">
        <f aca="false">IF(N(F75)=0,"",E75/F75)</f>
        <v/>
      </c>
      <c r="P75" s="28" t="str">
        <f aca="false">IF(N(J75)=0,"",E75/J75)</f>
        <v/>
      </c>
      <c r="Q75" s="39" t="str">
        <f aca="false">IF(N(E75)=0,"",F75/E75)</f>
        <v/>
      </c>
      <c r="R75" s="29" t="str">
        <f aca="false">IF(N(H75)=0,"",E75/H75)</f>
        <v/>
      </c>
      <c r="S75" s="28" t="str">
        <f aca="false">IF(N(I75)=0,"",H75/I75)</f>
        <v/>
      </c>
      <c r="T75" s="28" t="str">
        <f aca="false">IF(N(H75)=0,"",G75/H75)</f>
        <v/>
      </c>
      <c r="U75" s="28" t="str">
        <f aca="false">IF(N(L75)=0,"",G75/L75)</f>
        <v/>
      </c>
      <c r="V75" s="29" t="str">
        <f aca="false">IF(N(K75)=0,"",J75/K75)</f>
        <v/>
      </c>
      <c r="W75" s="26" t="n">
        <f aca="false">IF(N(30)=0,"",E75/30)</f>
        <v>0</v>
      </c>
      <c r="X75" s="39" t="n">
        <f aca="false">IF(N(30)=0,"",K75/30)</f>
        <v>0</v>
      </c>
      <c r="Y75" s="28" t="str">
        <f aca="false">IF(N(J75)=0,"",N75/J75)</f>
        <v/>
      </c>
      <c r="Z75" s="26" t="n">
        <v>0</v>
      </c>
      <c r="AA75" s="26" t="n">
        <v>0</v>
      </c>
      <c r="AB75" s="30" t="n">
        <v>0</v>
      </c>
      <c r="AC75" s="30" t="n">
        <v>0</v>
      </c>
      <c r="AD75" s="30" t="n">
        <v>0</v>
      </c>
      <c r="AE75" s="26" t="n">
        <v>0</v>
      </c>
      <c r="AF75" s="30" t="n">
        <v>0</v>
      </c>
      <c r="AG75" s="30" t="n">
        <v>0</v>
      </c>
      <c r="AH75" s="30" t="n">
        <v>0</v>
      </c>
      <c r="AI75" s="26" t="n">
        <v>0</v>
      </c>
      <c r="AJ75" s="28" t="str">
        <f aca="false">IF(N(AA75)=0,"",Z75/AA75)</f>
        <v/>
      </c>
      <c r="AK75" s="28" t="str">
        <f aca="false">IF(N(AE75)=0,"",Z75/AE75)</f>
        <v/>
      </c>
      <c r="AL75" s="39" t="str">
        <f aca="false">IF(N(Z75)=0,"",AA75/Z75)</f>
        <v/>
      </c>
      <c r="AM75" s="29" t="str">
        <f aca="false">IF(N(AC75)=0,"",Z75/AC75)</f>
        <v/>
      </c>
      <c r="AN75" s="28" t="str">
        <f aca="false">IF(N(AD75)=0,"",AC75/AD75)</f>
        <v/>
      </c>
      <c r="AO75" s="28" t="str">
        <f aca="false">IF(N(AC75)=0,"",AB75/AC75)</f>
        <v/>
      </c>
      <c r="AP75" s="28" t="str">
        <f aca="false">IF(N(AG75)=0,"",AB75/AG75)</f>
        <v/>
      </c>
      <c r="AQ75" s="29" t="str">
        <f aca="false">IF(N(AF75)=0,"",AE75/AF75)</f>
        <v/>
      </c>
      <c r="AR75" s="26" t="n">
        <f aca="false">IF(N(26)=0,"",Z75/26)</f>
        <v>0</v>
      </c>
      <c r="AS75" s="39" t="n">
        <f aca="false">IF(N(26)=0,"",AF75/26)</f>
        <v>0</v>
      </c>
      <c r="AT75" s="28" t="str">
        <f aca="false">IF(N(AE75)=0,"",AI75/AE75)</f>
        <v/>
      </c>
      <c r="AU75" s="27" t="str">
        <f aca="false">IF(OR(W75="",AR75=""),"",IF(N(W75)=0,"",AR75/W75-1))</f>
        <v/>
      </c>
      <c r="AV75" s="27" t="str">
        <f aca="false">IF(N(F75)=0,"",(AA75/26)/(F75/30)-1)</f>
        <v/>
      </c>
      <c r="AW75" s="27" t="str">
        <f aca="false">IF(OR(X75="",AS75=""),"",IF(N(X75)=0,"",AS75/X75-1))</f>
        <v/>
      </c>
      <c r="AX75" s="27" t="str">
        <f aca="false">IF(OR(O75="",AJ75=""),"",AJ75-O75)</f>
        <v/>
      </c>
      <c r="AY75" s="27" t="str">
        <f aca="false">IF(OR(P75="",AK75=""),"",AK75-P75)</f>
        <v/>
      </c>
      <c r="AZ75" s="27" t="str">
        <f aca="false">IF(OR(R75="",AM75=""),"",IF(N(R75)=0,"",AM75/R75-1))</f>
        <v/>
      </c>
      <c r="BA75" s="27" t="str">
        <f aca="false">IF(OR(T75="",AO75=""),"",AO75-T75)</f>
        <v/>
      </c>
      <c r="BB75" s="27" t="str">
        <f aca="false">IF(OR(V75="",AQ75=""),"",IF(N(V75)=0,"",AQ75/V75-1))</f>
        <v/>
      </c>
    </row>
    <row r="76" customFormat="false" ht="15" hidden="false" customHeight="false" outlineLevel="0" collapsed="false">
      <c r="A76" s="18" t="s">
        <v>283</v>
      </c>
      <c r="B76" s="18" t="s">
        <v>104</v>
      </c>
      <c r="C76" s="14" t="s">
        <v>105</v>
      </c>
      <c r="D76" s="18"/>
      <c r="E76" s="26" t="n">
        <v>0</v>
      </c>
      <c r="F76" s="26" t="n">
        <v>0</v>
      </c>
      <c r="G76" s="30" t="n">
        <v>0</v>
      </c>
      <c r="H76" s="30" t="n">
        <v>0</v>
      </c>
      <c r="I76" s="30" t="n">
        <v>0</v>
      </c>
      <c r="J76" s="26" t="n">
        <v>0</v>
      </c>
      <c r="K76" s="30" t="n">
        <v>0</v>
      </c>
      <c r="L76" s="30" t="n">
        <v>0</v>
      </c>
      <c r="M76" s="30" t="n">
        <v>0</v>
      </c>
      <c r="N76" s="26" t="n">
        <v>-0.28</v>
      </c>
      <c r="O76" s="28" t="str">
        <f aca="false">IF(N(F76)=0,"",E76/F76)</f>
        <v/>
      </c>
      <c r="P76" s="28" t="str">
        <f aca="false">IF(N(J76)=0,"",E76/J76)</f>
        <v/>
      </c>
      <c r="Q76" s="39" t="str">
        <f aca="false">IF(N(E76)=0,"",F76/E76)</f>
        <v/>
      </c>
      <c r="R76" s="29" t="str">
        <f aca="false">IF(N(H76)=0,"",E76/H76)</f>
        <v/>
      </c>
      <c r="S76" s="28" t="str">
        <f aca="false">IF(N(I76)=0,"",H76/I76)</f>
        <v/>
      </c>
      <c r="T76" s="28" t="str">
        <f aca="false">IF(N(H76)=0,"",G76/H76)</f>
        <v/>
      </c>
      <c r="U76" s="28" t="str">
        <f aca="false">IF(N(L76)=0,"",G76/L76)</f>
        <v/>
      </c>
      <c r="V76" s="29" t="str">
        <f aca="false">IF(N(K76)=0,"",J76/K76)</f>
        <v/>
      </c>
      <c r="W76" s="26" t="n">
        <f aca="false">IF(N(30)=0,"",E76/30)</f>
        <v>0</v>
      </c>
      <c r="X76" s="39" t="n">
        <f aca="false">IF(N(30)=0,"",K76/30)</f>
        <v>0</v>
      </c>
      <c r="Y76" s="28" t="str">
        <f aca="false">IF(N(J76)=0,"",N76/J76)</f>
        <v/>
      </c>
      <c r="Z76" s="26" t="n">
        <v>0</v>
      </c>
      <c r="AA76" s="26" t="n">
        <v>0</v>
      </c>
      <c r="AB76" s="30" t="n">
        <v>0</v>
      </c>
      <c r="AC76" s="30" t="n">
        <v>0</v>
      </c>
      <c r="AD76" s="30" t="n">
        <v>0</v>
      </c>
      <c r="AE76" s="26" t="n">
        <v>0</v>
      </c>
      <c r="AF76" s="30" t="n">
        <v>0</v>
      </c>
      <c r="AG76" s="30" t="n">
        <v>0</v>
      </c>
      <c r="AH76" s="30" t="n">
        <v>0</v>
      </c>
      <c r="AI76" s="26" t="n">
        <v>0</v>
      </c>
      <c r="AJ76" s="28" t="str">
        <f aca="false">IF(N(AA76)=0,"",Z76/AA76)</f>
        <v/>
      </c>
      <c r="AK76" s="28" t="str">
        <f aca="false">IF(N(AE76)=0,"",Z76/AE76)</f>
        <v/>
      </c>
      <c r="AL76" s="39" t="str">
        <f aca="false">IF(N(Z76)=0,"",AA76/Z76)</f>
        <v/>
      </c>
      <c r="AM76" s="29" t="str">
        <f aca="false">IF(N(AC76)=0,"",Z76/AC76)</f>
        <v/>
      </c>
      <c r="AN76" s="28" t="str">
        <f aca="false">IF(N(AD76)=0,"",AC76/AD76)</f>
        <v/>
      </c>
      <c r="AO76" s="28" t="str">
        <f aca="false">IF(N(AC76)=0,"",AB76/AC76)</f>
        <v/>
      </c>
      <c r="AP76" s="28" t="str">
        <f aca="false">IF(N(AG76)=0,"",AB76/AG76)</f>
        <v/>
      </c>
      <c r="AQ76" s="29" t="str">
        <f aca="false">IF(N(AF76)=0,"",AE76/AF76)</f>
        <v/>
      </c>
      <c r="AR76" s="26" t="n">
        <f aca="false">IF(N(26)=0,"",Z76/26)</f>
        <v>0</v>
      </c>
      <c r="AS76" s="39" t="n">
        <f aca="false">IF(N(26)=0,"",AF76/26)</f>
        <v>0</v>
      </c>
      <c r="AT76" s="28" t="str">
        <f aca="false">IF(N(AE76)=0,"",AI76/AE76)</f>
        <v/>
      </c>
      <c r="AU76" s="27" t="str">
        <f aca="false">IF(OR(W76="",AR76=""),"",IF(N(W76)=0,"",AR76/W76-1))</f>
        <v/>
      </c>
      <c r="AV76" s="27" t="str">
        <f aca="false">IF(N(F76)=0,"",(AA76/26)/(F76/30)-1)</f>
        <v/>
      </c>
      <c r="AW76" s="27" t="str">
        <f aca="false">IF(OR(X76="",AS76=""),"",IF(N(X76)=0,"",AS76/X76-1))</f>
        <v/>
      </c>
      <c r="AX76" s="27" t="str">
        <f aca="false">IF(OR(O76="",AJ76=""),"",AJ76-O76)</f>
        <v/>
      </c>
      <c r="AY76" s="27" t="str">
        <f aca="false">IF(OR(P76="",AK76=""),"",AK76-P76)</f>
        <v/>
      </c>
      <c r="AZ76" s="27" t="str">
        <f aca="false">IF(OR(R76="",AM76=""),"",IF(N(R76)=0,"",AM76/R76-1))</f>
        <v/>
      </c>
      <c r="BA76" s="27" t="str">
        <f aca="false">IF(OR(T76="",AO76=""),"",AO76-T76)</f>
        <v/>
      </c>
      <c r="BB76" s="27" t="str">
        <f aca="false">IF(OR(V76="",AQ76=""),"",IF(N(V76)=0,"",AQ76/V76-1))</f>
        <v/>
      </c>
    </row>
    <row r="77" customFormat="false" ht="15" hidden="false" customHeight="false" outlineLevel="0" collapsed="false">
      <c r="A77" s="18" t="s">
        <v>284</v>
      </c>
      <c r="B77" s="18" t="s">
        <v>104</v>
      </c>
      <c r="C77" s="14" t="s">
        <v>285</v>
      </c>
      <c r="D77" s="18"/>
      <c r="E77" s="26" t="n">
        <v>0</v>
      </c>
      <c r="F77" s="26" t="n">
        <v>0</v>
      </c>
      <c r="G77" s="30" t="n">
        <v>0</v>
      </c>
      <c r="H77" s="30" t="n">
        <v>0</v>
      </c>
      <c r="I77" s="30" t="n">
        <v>0</v>
      </c>
      <c r="J77" s="26" t="n">
        <v>0</v>
      </c>
      <c r="K77" s="30" t="n">
        <v>0</v>
      </c>
      <c r="L77" s="30" t="n">
        <v>0</v>
      </c>
      <c r="M77" s="30" t="n">
        <v>0</v>
      </c>
      <c r="N77" s="26" t="n">
        <v>0</v>
      </c>
      <c r="O77" s="28" t="str">
        <f aca="false">IF(N(F77)=0,"",E77/F77)</f>
        <v/>
      </c>
      <c r="P77" s="28" t="str">
        <f aca="false">IF(N(J77)=0,"",E77/J77)</f>
        <v/>
      </c>
      <c r="Q77" s="39" t="str">
        <f aca="false">IF(N(E77)=0,"",F77/E77)</f>
        <v/>
      </c>
      <c r="R77" s="29" t="str">
        <f aca="false">IF(N(H77)=0,"",E77/H77)</f>
        <v/>
      </c>
      <c r="S77" s="28" t="str">
        <f aca="false">IF(N(I77)=0,"",H77/I77)</f>
        <v/>
      </c>
      <c r="T77" s="28" t="str">
        <f aca="false">IF(N(H77)=0,"",G77/H77)</f>
        <v/>
      </c>
      <c r="U77" s="28" t="str">
        <f aca="false">IF(N(L77)=0,"",G77/L77)</f>
        <v/>
      </c>
      <c r="V77" s="29" t="str">
        <f aca="false">IF(N(K77)=0,"",J77/K77)</f>
        <v/>
      </c>
      <c r="W77" s="26" t="n">
        <f aca="false">IF(N(30)=0,"",E77/30)</f>
        <v>0</v>
      </c>
      <c r="X77" s="39" t="n">
        <f aca="false">IF(N(30)=0,"",K77/30)</f>
        <v>0</v>
      </c>
      <c r="Y77" s="28" t="str">
        <f aca="false">IF(N(J77)=0,"",N77/J77)</f>
        <v/>
      </c>
      <c r="Z77" s="26" t="n">
        <v>0</v>
      </c>
      <c r="AA77" s="26" t="n">
        <v>0</v>
      </c>
      <c r="AB77" s="30" t="n">
        <v>0</v>
      </c>
      <c r="AC77" s="30" t="n">
        <v>0</v>
      </c>
      <c r="AD77" s="30" t="n">
        <v>0</v>
      </c>
      <c r="AE77" s="26" t="n">
        <v>0</v>
      </c>
      <c r="AF77" s="30" t="n">
        <v>0</v>
      </c>
      <c r="AG77" s="30" t="n">
        <v>0</v>
      </c>
      <c r="AH77" s="30" t="n">
        <v>3</v>
      </c>
      <c r="AI77" s="26" t="n">
        <v>10.33</v>
      </c>
      <c r="AJ77" s="28" t="str">
        <f aca="false">IF(N(AA77)=0,"",Z77/AA77)</f>
        <v/>
      </c>
      <c r="AK77" s="28" t="str">
        <f aca="false">IF(N(AE77)=0,"",Z77/AE77)</f>
        <v/>
      </c>
      <c r="AL77" s="39" t="str">
        <f aca="false">IF(N(Z77)=0,"",AA77/Z77)</f>
        <v/>
      </c>
      <c r="AM77" s="29" t="str">
        <f aca="false">IF(N(AC77)=0,"",Z77/AC77)</f>
        <v/>
      </c>
      <c r="AN77" s="28" t="str">
        <f aca="false">IF(N(AD77)=0,"",AC77/AD77)</f>
        <v/>
      </c>
      <c r="AO77" s="28" t="str">
        <f aca="false">IF(N(AC77)=0,"",AB77/AC77)</f>
        <v/>
      </c>
      <c r="AP77" s="28" t="str">
        <f aca="false">IF(N(AG77)=0,"",AB77/AG77)</f>
        <v/>
      </c>
      <c r="AQ77" s="29" t="str">
        <f aca="false">IF(N(AF77)=0,"",AE77/AF77)</f>
        <v/>
      </c>
      <c r="AR77" s="26" t="n">
        <f aca="false">IF(N(26)=0,"",Z77/26)</f>
        <v>0</v>
      </c>
      <c r="AS77" s="39" t="n">
        <f aca="false">IF(N(26)=0,"",AF77/26)</f>
        <v>0</v>
      </c>
      <c r="AT77" s="28" t="str">
        <f aca="false">IF(N(AE77)=0,"",AI77/AE77)</f>
        <v/>
      </c>
      <c r="AU77" s="27" t="str">
        <f aca="false">IF(OR(W77="",AR77=""),"",IF(N(W77)=0,"",AR77/W77-1))</f>
        <v/>
      </c>
      <c r="AV77" s="27" t="str">
        <f aca="false">IF(N(F77)=0,"",(AA77/26)/(F77/30)-1)</f>
        <v/>
      </c>
      <c r="AW77" s="27" t="str">
        <f aca="false">IF(OR(X77="",AS77=""),"",IF(N(X77)=0,"",AS77/X77-1))</f>
        <v/>
      </c>
      <c r="AX77" s="27" t="str">
        <f aca="false">IF(OR(O77="",AJ77=""),"",AJ77-O77)</f>
        <v/>
      </c>
      <c r="AY77" s="27" t="str">
        <f aca="false">IF(OR(P77="",AK77=""),"",AK77-P77)</f>
        <v/>
      </c>
      <c r="AZ77" s="27" t="str">
        <f aca="false">IF(OR(R77="",AM77=""),"",IF(N(R77)=0,"",AM77/R77-1))</f>
        <v/>
      </c>
      <c r="BA77" s="27" t="str">
        <f aca="false">IF(OR(T77="",AO77=""),"",AO77-T77)</f>
        <v/>
      </c>
      <c r="BB77" s="27" t="str">
        <f aca="false">IF(OR(V77="",AQ77=""),"",IF(N(V77)=0,"",AQ77/V77-1))</f>
        <v/>
      </c>
    </row>
    <row r="78" customFormat="false" ht="15" hidden="false" customHeight="false" outlineLevel="0" collapsed="false">
      <c r="A78" s="40" t="s">
        <v>189</v>
      </c>
      <c r="B78" s="41"/>
      <c r="C78" s="41"/>
      <c r="D78" s="41"/>
      <c r="E78" s="42" t="n">
        <f aca="false">SUM(E5:E77)</f>
        <v>34165.36</v>
      </c>
      <c r="F78" s="42" t="n">
        <f aca="false">SUM(F5:F77)</f>
        <v>80180.77</v>
      </c>
      <c r="G78" s="43" t="n">
        <f aca="false">SUM(G5:G77)</f>
        <v>2153</v>
      </c>
      <c r="H78" s="43" t="n">
        <f aca="false">SUM(H5:H77)</f>
        <v>45337</v>
      </c>
      <c r="I78" s="43" t="n">
        <f aca="false">SUM(I5:I77)</f>
        <v>6129290</v>
      </c>
      <c r="J78" s="42" t="n">
        <f aca="false">SUM(J5:J77)</f>
        <v>213471.15</v>
      </c>
      <c r="K78" s="43" t="n">
        <f aca="false">SUM(K5:K77)</f>
        <v>6064</v>
      </c>
      <c r="L78" s="43" t="n">
        <f aca="false">SUM(L5:L77)</f>
        <v>5584</v>
      </c>
      <c r="M78" s="43" t="n">
        <f aca="false">SUM(M5:M77)</f>
        <v>190152</v>
      </c>
      <c r="N78" s="42" t="n">
        <f aca="false">SUM(N5:N77)</f>
        <v>-25524.08</v>
      </c>
      <c r="O78" s="44" t="n">
        <f aca="false">IF(N(F78)=0,"",E78/F78)</f>
        <v>0.426104164377568</v>
      </c>
      <c r="P78" s="44" t="n">
        <f aca="false">IF(N(J78)=0,"",E78/J78)</f>
        <v>0.160046732310197</v>
      </c>
      <c r="Q78" s="45" t="n">
        <f aca="false">IF(N(E78)=0,"",F78/E78)</f>
        <v>2.34684399637528</v>
      </c>
      <c r="R78" s="46" t="n">
        <f aca="false">IF(N(H78)=0,"",E78/H78)</f>
        <v>0.753586695193771</v>
      </c>
      <c r="S78" s="44" t="n">
        <f aca="false">IF(N(I78)=0,"",H78/I78)</f>
        <v>0.00739677841968646</v>
      </c>
      <c r="T78" s="44" t="n">
        <f aca="false">IF(N(H78)=0,"",G78/H78)</f>
        <v>0.0474888060524516</v>
      </c>
      <c r="U78" s="44" t="n">
        <f aca="false">IF(N(L78)=0,"",G78/L78)</f>
        <v>0.385565902578797</v>
      </c>
      <c r="V78" s="46" t="n">
        <f aca="false">IF(N(K78)=0,"",J78/K78)</f>
        <v>35.203026055409</v>
      </c>
      <c r="W78" s="42" t="n">
        <f aca="false">IF(N(30)=0,"",E78/30)</f>
        <v>1138.84533333333</v>
      </c>
      <c r="X78" s="45" t="n">
        <f aca="false">IF(N(30)=0,"",K78/30)</f>
        <v>202.133333333333</v>
      </c>
      <c r="Y78" s="44" t="n">
        <f aca="false">IF(N(J78)=0,"",N78/J78)</f>
        <v>-0.119566882925398</v>
      </c>
      <c r="Z78" s="42" t="n">
        <f aca="false">SUM(Z5:Z77)</f>
        <v>32021.91</v>
      </c>
      <c r="AA78" s="42" t="n">
        <f aca="false">SUM(AA5:AA77)</f>
        <v>83159.75</v>
      </c>
      <c r="AB78" s="43" t="n">
        <f aca="false">SUM(AB5:AB77)</f>
        <v>2458</v>
      </c>
      <c r="AC78" s="43" t="n">
        <f aca="false">SUM(AC5:AC77)</f>
        <v>42707</v>
      </c>
      <c r="AD78" s="43" t="n">
        <f aca="false">SUM(AD5:AD77)</f>
        <v>5591316</v>
      </c>
      <c r="AE78" s="42" t="n">
        <f aca="false">SUM(AE5:AE77)</f>
        <v>251392.03</v>
      </c>
      <c r="AF78" s="43" t="n">
        <f aca="false">SUM(AF5:AF77)</f>
        <v>7595</v>
      </c>
      <c r="AG78" s="43" t="n">
        <f aca="false">SUM(AG5:AG77)</f>
        <v>6875</v>
      </c>
      <c r="AH78" s="43" t="n">
        <f aca="false">SUM(AH5:AH77)</f>
        <v>208749</v>
      </c>
      <c r="AI78" s="42" t="n">
        <f aca="false">SUM(AI5:AI77)</f>
        <v>4077.36</v>
      </c>
      <c r="AJ78" s="44" t="n">
        <f aca="false">IF(N(AA78)=0,"",Z78/AA78)</f>
        <v>0.385065010416698</v>
      </c>
      <c r="AK78" s="44" t="n">
        <f aca="false">IF(N(AE78)=0,"",Z78/AE78)</f>
        <v>0.127378381884263</v>
      </c>
      <c r="AL78" s="45" t="n">
        <f aca="false">IF(N(Z78)=0,"",AA78/Z78)</f>
        <v>2.59696407865739</v>
      </c>
      <c r="AM78" s="46" t="n">
        <f aca="false">IF(N(AC78)=0,"",Z78/AC78)</f>
        <v>0.749804715854544</v>
      </c>
      <c r="AN78" s="44" t="n">
        <f aca="false">IF(N(AD78)=0,"",AC78/AD78)</f>
        <v>0.00763809450226029</v>
      </c>
      <c r="AO78" s="44" t="n">
        <f aca="false">IF(N(AC78)=0,"",AB78/AC78)</f>
        <v>0.0575549675697193</v>
      </c>
      <c r="AP78" s="44" t="n">
        <f aca="false">IF(N(AG78)=0,"",AB78/AG78)</f>
        <v>0.357527272727273</v>
      </c>
      <c r="AQ78" s="46" t="n">
        <f aca="false">IF(N(AF78)=0,"",AE78/AF78)</f>
        <v>33.0996747860435</v>
      </c>
      <c r="AR78" s="42" t="n">
        <f aca="false">IF(N(26)=0,"",Z78/26)</f>
        <v>1231.61192307692</v>
      </c>
      <c r="AS78" s="45" t="n">
        <f aca="false">IF(N(26)=0,"",AF78/26)</f>
        <v>292.115384615385</v>
      </c>
      <c r="AT78" s="44" t="n">
        <f aca="false">IF(N(AE78)=0,"",AI78/AE78)</f>
        <v>0.0162191299382085</v>
      </c>
      <c r="AU78" s="47" t="n">
        <f aca="false">IF(OR(W78="",AR78=""),"",IF(N(W78)=0,"",AR78/W78-1))</f>
        <v>0.0814567062166971</v>
      </c>
      <c r="AV78" s="47" t="n">
        <f aca="false">IF(N(F78)=0,"",(AA78/26)/(F78/30)-1)</f>
        <v>0.196715343246363</v>
      </c>
      <c r="AW78" s="47" t="n">
        <f aca="false">IF(OR(X78="",AS78=""),"",IF(N(X78)=0,"",AS78/X78-1))</f>
        <v>0.445161863202761</v>
      </c>
      <c r="AX78" s="47" t="n">
        <f aca="false">IF(OR(O78="",AJ78=""),"",AJ78-O78)</f>
        <v>-0.0410391539608703</v>
      </c>
      <c r="AY78" s="47" t="n">
        <f aca="false">IF(OR(P78="",AK78=""),"",AK78-P78)</f>
        <v>-0.0326683504259348</v>
      </c>
      <c r="AZ78" s="47" t="n">
        <f aca="false">IF(OR(R78="",AM78=""),"",IF(N(R78)=0,"",AM78/R78-1))</f>
        <v>-0.00501863868264663</v>
      </c>
      <c r="BA78" s="47" t="n">
        <f aca="false">IF(OR(T78="",AO78=""),"",AO78-T78)</f>
        <v>0.0100661615172676</v>
      </c>
      <c r="BB78" s="47" t="n">
        <f aca="false">IF(OR(V78="",AQ78=""),"",IF(N(V78)=0,"",AQ78/V78-1))</f>
        <v>-0.0597491609401669</v>
      </c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customFormat="false" ht="15" hidden="false" customHeight="false" outlineLevel="0" collapsed="false">
      <c r="A80" s="3" t="s">
        <v>190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</sheetData>
  <autoFilter ref="A4:BB77"/>
  <mergeCells count="7">
    <mergeCell ref="A3:A4"/>
    <mergeCell ref="B3:B4"/>
    <mergeCell ref="C3:C4"/>
    <mergeCell ref="D3:D4"/>
    <mergeCell ref="E3:Y3"/>
    <mergeCell ref="Z3:AT3"/>
    <mergeCell ref="AU3:BB3"/>
  </mergeCells>
  <conditionalFormatting sqref="O5:O78">
    <cfRule type="expression" priority="2" aboveAverage="0" equalAverage="0" bottom="0" percent="0" rank="0" text="" dxfId="7">
      <formula>AND(ISNUMBER(O5),O5&gt;=总览!$B$5)</formula>
    </cfRule>
  </conditionalFormatting>
  <conditionalFormatting sqref="P5:P78">
    <cfRule type="expression" priority="3" aboveAverage="0" equalAverage="0" bottom="0" percent="0" rank="0" text="" dxfId="7">
      <formula>AND(ISNUMBER(P5),P5&gt;=总览!$B$6)</formula>
    </cfRule>
  </conditionalFormatting>
  <conditionalFormatting sqref="R5:R78">
    <cfRule type="expression" priority="4" aboveAverage="0" equalAverage="0" bottom="0" percent="0" rank="0" text="" dxfId="8">
      <formula>AND(ISNUMBER(R5),R5&gt;=总览!$B$7)</formula>
    </cfRule>
  </conditionalFormatting>
  <conditionalFormatting sqref="T5:T78">
    <cfRule type="expression" priority="5" aboveAverage="0" equalAverage="0" bottom="0" percent="0" rank="0" text="" dxfId="8">
      <formula>AND(ISNUMBER(T5),T5&lt;总览!$B$8,H5&gt;=100)</formula>
    </cfRule>
  </conditionalFormatting>
  <conditionalFormatting sqref="N5:N78">
    <cfRule type="expression" priority="6" aboveAverage="0" equalAverage="0" bottom="0" percent="0" rank="0" text="" dxfId="7">
      <formula>AND(ISNUMBER(N5),N5&lt;0)</formula>
    </cfRule>
  </conditionalFormatting>
  <conditionalFormatting sqref="Y5:Y78">
    <cfRule type="expression" priority="7" aboveAverage="0" equalAverage="0" bottom="0" percent="0" rank="0" text="" dxfId="7">
      <formula>AND(ISNUMBER(Y5),Y5&lt;0)</formula>
    </cfRule>
  </conditionalFormatting>
  <conditionalFormatting sqref="AJ5:AJ78">
    <cfRule type="expression" priority="8" aboveAverage="0" equalAverage="0" bottom="0" percent="0" rank="0" text="" dxfId="7">
      <formula>AND(ISNUMBER(AJ5),AJ5&gt;=总览!$B$5)</formula>
    </cfRule>
  </conditionalFormatting>
  <conditionalFormatting sqref="AK5:AK78">
    <cfRule type="expression" priority="9" aboveAverage="0" equalAverage="0" bottom="0" percent="0" rank="0" text="" dxfId="7">
      <formula>AND(ISNUMBER(AK5),AK5&gt;=总览!$B$6)</formula>
    </cfRule>
  </conditionalFormatting>
  <conditionalFormatting sqref="AM5:AM78">
    <cfRule type="expression" priority="10" aboveAverage="0" equalAverage="0" bottom="0" percent="0" rank="0" text="" dxfId="8">
      <formula>AND(ISNUMBER(AM5),AM5&gt;=总览!$B$7)</formula>
    </cfRule>
  </conditionalFormatting>
  <conditionalFormatting sqref="AO5:AO78">
    <cfRule type="expression" priority="11" aboveAverage="0" equalAverage="0" bottom="0" percent="0" rank="0" text="" dxfId="8">
      <formula>AND(ISNUMBER(AO5),AO5&lt;总览!$B$8,AC5&gt;=100)</formula>
    </cfRule>
  </conditionalFormatting>
  <conditionalFormatting sqref="AI5:AI78">
    <cfRule type="expression" priority="12" aboveAverage="0" equalAverage="0" bottom="0" percent="0" rank="0" text="" dxfId="7">
      <formula>AND(ISNUMBER(AI5),AI5&lt;0)</formula>
    </cfRule>
  </conditionalFormatting>
  <conditionalFormatting sqref="AT5:AT78">
    <cfRule type="expression" priority="13" aboveAverage="0" equalAverage="0" bottom="0" percent="0" rank="0" text="" dxfId="7">
      <formula>AND(ISNUMBER(AT5),AT5&lt;0)</formula>
    </cfRule>
  </conditionalFormatting>
  <conditionalFormatting sqref="AU5:AU78">
    <cfRule type="expression" priority="14" aboveAverage="0" equalAverage="0" bottom="0" percent="0" rank="0" text="" dxfId="7">
      <formula>AND(ISNUMBER(AU5),AU5&gt;=总览!$B$9)</formula>
    </cfRule>
  </conditionalFormatting>
  <conditionalFormatting sqref="AX5:AX78">
    <cfRule type="expression" priority="15" aboveAverage="0" equalAverage="0" bottom="0" percent="0" rank="0" text="" dxfId="7">
      <formula>AND(ISNUMBER(AX5),AX5&gt;=总览!$B$10)</formula>
    </cfRule>
    <cfRule type="expression" priority="16" aboveAverage="0" equalAverage="0" bottom="0" percent="0" rank="0" text="" dxfId="9">
      <formula>AND(ISNUMBER(AX5),AX5&lt;=-总览!$B$10)</formula>
    </cfRule>
  </conditionalFormatting>
  <conditionalFormatting sqref="BB5:BB78">
    <cfRule type="expression" priority="17" aboveAverage="0" equalAverage="0" bottom="0" percent="0" rank="0" text="" dxfId="8">
      <formula>AND(ISNUMBER(BB5),ABS(BB5)&gt;=总览!$B$11)</formula>
    </cfRule>
  </conditionalFormatting>
  <conditionalFormatting sqref="AW5:AW78">
    <cfRule type="expression" priority="18" aboveAverage="0" equalAverage="0" bottom="0" percent="0" rank="0" text="" dxfId="8">
      <formula>AND(ISNUMBER(AW5),AW5&lt;=-0.2)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2" min="3" style="0" width="11"/>
  </cols>
  <sheetData>
    <row r="1" customFormat="false" ht="19.4" hidden="false" customHeight="false" outlineLevel="0" collapsed="false">
      <c r="A1" s="35" t="s">
        <v>286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15" hidden="false" customHeight="false" outlineLevel="0" collapsed="false">
      <c r="A2" s="3" t="s">
        <v>287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48" t="s">
        <v>288</v>
      </c>
      <c r="O3" s="48"/>
      <c r="P3" s="48"/>
      <c r="Q3" s="48"/>
      <c r="R3" s="48"/>
      <c r="S3" s="48"/>
      <c r="T3" s="48"/>
      <c r="U3" s="48"/>
      <c r="V3" s="48"/>
      <c r="W3" s="2"/>
      <c r="X3" s="49" t="s">
        <v>289</v>
      </c>
      <c r="Y3" s="49"/>
      <c r="Z3" s="49"/>
      <c r="AA3" s="49"/>
      <c r="AB3" s="49"/>
      <c r="AC3" s="49"/>
      <c r="AD3" s="49"/>
      <c r="AE3" s="49"/>
      <c r="AF3" s="49"/>
    </row>
    <row r="4" customFormat="false" ht="30" hidden="false" customHeight="true" outlineLevel="0" collapsed="false">
      <c r="A4" s="23" t="s">
        <v>49</v>
      </c>
      <c r="B4" s="22" t="s">
        <v>147</v>
      </c>
      <c r="C4" s="23" t="s">
        <v>290</v>
      </c>
      <c r="D4" s="23" t="s">
        <v>291</v>
      </c>
      <c r="E4" s="22" t="s">
        <v>166</v>
      </c>
      <c r="F4" s="22" t="s">
        <v>292</v>
      </c>
      <c r="G4" s="23" t="s">
        <v>293</v>
      </c>
      <c r="H4" s="23" t="s">
        <v>294</v>
      </c>
      <c r="I4" s="22" t="s">
        <v>295</v>
      </c>
      <c r="J4" s="23" t="s">
        <v>296</v>
      </c>
      <c r="K4" s="23" t="s">
        <v>297</v>
      </c>
      <c r="L4" s="22" t="s">
        <v>161</v>
      </c>
      <c r="M4" s="2"/>
      <c r="N4" s="23" t="s">
        <v>298</v>
      </c>
      <c r="O4" s="23" t="s">
        <v>299</v>
      </c>
      <c r="P4" s="23" t="s">
        <v>300</v>
      </c>
      <c r="Q4" s="23" t="s">
        <v>301</v>
      </c>
      <c r="R4" s="23" t="s">
        <v>302</v>
      </c>
      <c r="S4" s="23" t="s">
        <v>303</v>
      </c>
      <c r="T4" s="23" t="s">
        <v>304</v>
      </c>
      <c r="U4" s="23" t="s">
        <v>305</v>
      </c>
      <c r="V4" s="23" t="s">
        <v>306</v>
      </c>
      <c r="W4" s="2"/>
      <c r="X4" s="23" t="s">
        <v>298</v>
      </c>
      <c r="Y4" s="23" t="s">
        <v>299</v>
      </c>
      <c r="Z4" s="23" t="s">
        <v>300</v>
      </c>
      <c r="AA4" s="23" t="s">
        <v>301</v>
      </c>
      <c r="AB4" s="23" t="s">
        <v>302</v>
      </c>
      <c r="AC4" s="23" t="s">
        <v>303</v>
      </c>
      <c r="AD4" s="23" t="s">
        <v>304</v>
      </c>
      <c r="AE4" s="23" t="s">
        <v>305</v>
      </c>
      <c r="AF4" s="23" t="s">
        <v>306</v>
      </c>
    </row>
    <row r="5" customFormat="false" ht="15" hidden="false" customHeight="false" outlineLevel="0" collapsed="false">
      <c r="A5" s="18" t="s">
        <v>167</v>
      </c>
      <c r="B5" s="14" t="s">
        <v>168</v>
      </c>
      <c r="C5" s="29" t="n">
        <v>26.5388433048433</v>
      </c>
      <c r="D5" s="29" t="n">
        <v>27.6038095238095</v>
      </c>
      <c r="E5" s="27" t="n">
        <f aca="false">IF(OR(C5="",D5=""),"",D5/C5-1)</f>
        <v>0.0401285846083528</v>
      </c>
      <c r="F5" s="29" t="n">
        <v>26.319116751269</v>
      </c>
      <c r="G5" s="29" t="n">
        <v>36.0525</v>
      </c>
      <c r="H5" s="29" t="n">
        <v>35.6242307692308</v>
      </c>
      <c r="I5" s="27" t="n">
        <f aca="false">IF(OR(G5="",H5=""),"",H5/G5-1)</f>
        <v>-0.011879043915657</v>
      </c>
      <c r="J5" s="39" t="n">
        <v>58.5</v>
      </c>
      <c r="K5" s="39" t="n">
        <v>124.384615384615</v>
      </c>
      <c r="L5" s="27" t="n">
        <f aca="false">IF(N(J5)=0,"",K5/J5-1)</f>
        <v>1.12623274161736</v>
      </c>
      <c r="M5" s="2"/>
      <c r="N5" s="29" t="n">
        <v>31.8576497695853</v>
      </c>
      <c r="O5" s="29" t="n">
        <v>24.5707543103448</v>
      </c>
      <c r="P5" s="29" t="n">
        <v>23.285</v>
      </c>
      <c r="Q5" s="29" t="n">
        <v>30.1245619335347</v>
      </c>
      <c r="R5" s="29" t="n">
        <v>31.6604347826087</v>
      </c>
      <c r="S5" s="29" t="n">
        <v>32.4729853862213</v>
      </c>
      <c r="T5" s="29" t="n">
        <v>26.5916897305171</v>
      </c>
      <c r="U5" s="29" t="n">
        <v>26.2155129274395</v>
      </c>
      <c r="V5" s="29" t="n">
        <v>20.99</v>
      </c>
      <c r="W5" s="2"/>
      <c r="X5" s="29" t="n">
        <v>36.0525</v>
      </c>
      <c r="Y5" s="29" t="n">
        <v>32.615</v>
      </c>
      <c r="Z5" s="29" t="n">
        <v>34.5792857142857</v>
      </c>
      <c r="AA5" s="29" t="n">
        <v>39.49</v>
      </c>
      <c r="AB5" s="29" t="n">
        <v>39.49</v>
      </c>
      <c r="AC5" s="29" t="n">
        <v>35.8457142857143</v>
      </c>
      <c r="AD5" s="29" t="n">
        <v>34.49</v>
      </c>
      <c r="AE5" s="29" t="n">
        <v>34.49</v>
      </c>
      <c r="AF5" s="29" t="n">
        <v>34.49</v>
      </c>
    </row>
    <row r="6" customFormat="false" ht="15" hidden="false" customHeight="false" outlineLevel="0" collapsed="false">
      <c r="A6" s="18" t="s">
        <v>67</v>
      </c>
      <c r="B6" s="14" t="s">
        <v>169</v>
      </c>
      <c r="C6" s="29" t="n">
        <v>27.6808886971527</v>
      </c>
      <c r="D6" s="29" t="n">
        <v>26.6819691358025</v>
      </c>
      <c r="E6" s="27" t="n">
        <f aca="false">IF(OR(C6="",D6=""),"",D6/C6-1)</f>
        <v>-0.0360869758293925</v>
      </c>
      <c r="F6" s="29" t="n">
        <v>24.30288</v>
      </c>
      <c r="G6" s="29" t="n">
        <v>40.226</v>
      </c>
      <c r="H6" s="29" t="n">
        <v>35.5557692307692</v>
      </c>
      <c r="I6" s="27" t="n">
        <f aca="false">IF(OR(G6="",H6=""),"",H6/G6-1)</f>
        <v>-0.116099805330651</v>
      </c>
      <c r="J6" s="39" t="n">
        <v>38.6333333333333</v>
      </c>
      <c r="K6" s="39" t="n">
        <v>62.3076923076923</v>
      </c>
      <c r="L6" s="27" t="n">
        <f aca="false">IF(N(J6)=0,"",K6/J6-1)</f>
        <v>0.612796177075728</v>
      </c>
      <c r="M6" s="2"/>
      <c r="N6" s="29" t="n">
        <v>34.4970860927152</v>
      </c>
      <c r="O6" s="29" t="n">
        <v>24.8836577181208</v>
      </c>
      <c r="P6" s="29" t="n">
        <v>24.5266016713092</v>
      </c>
      <c r="Q6" s="29" t="n">
        <v>30.215321888412</v>
      </c>
      <c r="R6" s="29" t="n">
        <v>30.282389380531</v>
      </c>
      <c r="S6" s="29" t="n">
        <v>30.6005013927577</v>
      </c>
      <c r="T6" s="29" t="n">
        <v>26.2723920863309</v>
      </c>
      <c r="U6" s="29" t="n">
        <v>24.1214070351759</v>
      </c>
      <c r="V6" s="29"/>
      <c r="W6" s="2"/>
      <c r="X6" s="29" t="n">
        <v>41.81</v>
      </c>
      <c r="Y6" s="29" t="n">
        <v>40.85</v>
      </c>
      <c r="Z6" s="29" t="n">
        <v>40.51</v>
      </c>
      <c r="AA6" s="29" t="n">
        <v>39.99</v>
      </c>
      <c r="AB6" s="29" t="n">
        <v>34.2042857142857</v>
      </c>
      <c r="AC6" s="29" t="n">
        <v>33.24</v>
      </c>
      <c r="AD6" s="29" t="n">
        <v>39.3614285714286</v>
      </c>
      <c r="AE6" s="29" t="n">
        <v>35.9585714285714</v>
      </c>
      <c r="AF6" s="29" t="n">
        <v>31.57</v>
      </c>
    </row>
    <row r="7" customFormat="false" ht="15" hidden="false" customHeight="false" outlineLevel="0" collapsed="false">
      <c r="A7" s="18" t="s">
        <v>73</v>
      </c>
      <c r="B7" s="14" t="s">
        <v>170</v>
      </c>
      <c r="C7" s="29" t="n">
        <v>40.9260211267606</v>
      </c>
      <c r="D7" s="29" t="n">
        <v>41.0565028901734</v>
      </c>
      <c r="E7" s="27" t="n">
        <f aca="false">IF(OR(C7="",D7=""),"",D7/C7-1)</f>
        <v>0.00318823476654884</v>
      </c>
      <c r="F7" s="29" t="n">
        <v>43.536875</v>
      </c>
      <c r="G7" s="29" t="n">
        <v>42.34</v>
      </c>
      <c r="H7" s="29" t="n">
        <v>42.99</v>
      </c>
      <c r="I7" s="27" t="n">
        <f aca="false">IF(OR(G7="",H7=""),"",H7/G7-1)</f>
        <v>0.0153519130845536</v>
      </c>
      <c r="J7" s="39" t="n">
        <v>18.9333333333333</v>
      </c>
      <c r="K7" s="39" t="n">
        <v>13.3076923076923</v>
      </c>
      <c r="L7" s="27" t="n">
        <f aca="false">IF(N(J7)=0,"",K7/J7-1)</f>
        <v>-0.297128927410617</v>
      </c>
      <c r="M7" s="2"/>
      <c r="N7" s="29" t="n">
        <v>43.3977981651376</v>
      </c>
      <c r="O7" s="29" t="n">
        <v>39.2207692307692</v>
      </c>
      <c r="P7" s="29" t="n">
        <v>39.0305882352941</v>
      </c>
      <c r="Q7" s="29" t="n">
        <v>42.9492173913044</v>
      </c>
      <c r="R7" s="29" t="n">
        <v>42.7485227272727</v>
      </c>
      <c r="S7" s="29" t="n">
        <v>39.1414534883721</v>
      </c>
      <c r="T7" s="29" t="n">
        <v>42.9610126582279</v>
      </c>
      <c r="U7" s="29" t="n">
        <v>43.4242105263158</v>
      </c>
      <c r="V7" s="29"/>
      <c r="W7" s="2"/>
      <c r="X7" s="29" t="n">
        <v>42.49</v>
      </c>
      <c r="Y7" s="29" t="n">
        <v>41.99</v>
      </c>
      <c r="Z7" s="29" t="n">
        <v>41.99</v>
      </c>
      <c r="AA7" s="29" t="n">
        <v>42.6328571428571</v>
      </c>
      <c r="AB7" s="29" t="n">
        <v>42.99</v>
      </c>
      <c r="AC7" s="29" t="n">
        <v>42.99</v>
      </c>
      <c r="AD7" s="29" t="n">
        <v>42.99</v>
      </c>
      <c r="AE7" s="29" t="n">
        <v>42.99</v>
      </c>
      <c r="AF7" s="29" t="n">
        <v>42.99</v>
      </c>
    </row>
    <row r="8" customFormat="false" ht="15" hidden="false" customHeight="false" outlineLevel="0" collapsed="false">
      <c r="A8" s="18" t="s">
        <v>130</v>
      </c>
      <c r="B8" s="14" t="s">
        <v>171</v>
      </c>
      <c r="C8" s="29" t="n">
        <v>39.2984289276808</v>
      </c>
      <c r="D8" s="29" t="n">
        <v>40.6457354149548</v>
      </c>
      <c r="E8" s="27" t="n">
        <f aca="false">IF(OR(C8="",D8=""),"",D8/C8-1)</f>
        <v>0.0342839783685347</v>
      </c>
      <c r="F8" s="29" t="n">
        <v>42.3616666666667</v>
      </c>
      <c r="G8" s="29" t="n">
        <v>44.99</v>
      </c>
      <c r="H8" s="29" t="n">
        <v>44.99</v>
      </c>
      <c r="I8" s="27" t="n">
        <f aca="false">IF(OR(G8="",H8=""),"",H8/G8-1)</f>
        <v>0</v>
      </c>
      <c r="J8" s="39" t="n">
        <v>40.1</v>
      </c>
      <c r="K8" s="39" t="n">
        <v>46.8076923076923</v>
      </c>
      <c r="L8" s="27" t="n">
        <f aca="false">IF(N(J8)=0,"",K8/J8-1)</f>
        <v>0.167274122386342</v>
      </c>
      <c r="M8" s="2"/>
      <c r="N8" s="29" t="n">
        <v>40.4572357723577</v>
      </c>
      <c r="O8" s="29" t="n">
        <v>39.3800303030303</v>
      </c>
      <c r="P8" s="29" t="n">
        <v>39.0611228070175</v>
      </c>
      <c r="Q8" s="29" t="n">
        <v>38.6795473251029</v>
      </c>
      <c r="R8" s="29" t="n">
        <v>37.6197933884298</v>
      </c>
      <c r="S8" s="29" t="n">
        <v>38.385078125</v>
      </c>
      <c r="T8" s="29" t="n">
        <v>42.6428381962865</v>
      </c>
      <c r="U8" s="29" t="n">
        <v>42.644967948718</v>
      </c>
      <c r="V8" s="29" t="n">
        <v>36.99</v>
      </c>
      <c r="W8" s="2"/>
      <c r="X8" s="29" t="n">
        <v>44.99</v>
      </c>
      <c r="Y8" s="29" t="n">
        <v>44.99</v>
      </c>
      <c r="Z8" s="29" t="n">
        <v>44.99</v>
      </c>
      <c r="AA8" s="29" t="n">
        <v>44.99</v>
      </c>
      <c r="AB8" s="29" t="n">
        <v>44.99</v>
      </c>
      <c r="AC8" s="29" t="n">
        <v>44.99</v>
      </c>
      <c r="AD8" s="29" t="n">
        <v>44.99</v>
      </c>
      <c r="AE8" s="29" t="n">
        <v>44.99</v>
      </c>
      <c r="AF8" s="29" t="n">
        <v>44.99</v>
      </c>
    </row>
    <row r="9" customFormat="false" ht="15" hidden="false" customHeight="false" outlineLevel="0" collapsed="false">
      <c r="A9" s="18" t="s">
        <v>104</v>
      </c>
      <c r="B9" s="14" t="s">
        <v>172</v>
      </c>
      <c r="C9" s="29" t="n">
        <v>34.9109360730594</v>
      </c>
      <c r="D9" s="29" t="n">
        <v>33.7526822916667</v>
      </c>
      <c r="E9" s="27" t="n">
        <f aca="false">IF(OR(C9="",D9=""),"",D9/C9-1)</f>
        <v>-0.0331773911466816</v>
      </c>
      <c r="F9" s="29" t="n">
        <v>36.4909411764706</v>
      </c>
      <c r="G9" s="29" t="n">
        <v>35.99</v>
      </c>
      <c r="H9" s="29" t="n">
        <v>35.99</v>
      </c>
      <c r="I9" s="27" t="n">
        <f aca="false">IF(OR(G9="",H9=""),"",H9/G9-1)</f>
        <v>0</v>
      </c>
      <c r="J9" s="39" t="n">
        <v>14.6</v>
      </c>
      <c r="K9" s="39" t="n">
        <v>14.7692307692308</v>
      </c>
      <c r="L9" s="27" t="n">
        <f aca="false">IF(N(J9)=0,"",K9/J9-1)</f>
        <v>0.01159114857745</v>
      </c>
      <c r="M9" s="2"/>
      <c r="N9" s="29" t="n">
        <v>35.107</v>
      </c>
      <c r="O9" s="29" t="n">
        <v>33.0588288288288</v>
      </c>
      <c r="P9" s="29" t="n">
        <v>35.0222935779817</v>
      </c>
      <c r="Q9" s="29" t="n">
        <v>36.1986075949367</v>
      </c>
      <c r="R9" s="29" t="n">
        <v>36.190487804878</v>
      </c>
      <c r="S9" s="29" t="n">
        <v>32.39208</v>
      </c>
      <c r="T9" s="29" t="n">
        <v>32.5910714285714</v>
      </c>
      <c r="U9" s="29" t="n">
        <v>35.8781553398058</v>
      </c>
      <c r="V9" s="29" t="n">
        <v>32.39</v>
      </c>
      <c r="W9" s="2"/>
      <c r="X9" s="29" t="n">
        <v>35.99</v>
      </c>
      <c r="Y9" s="29" t="n">
        <v>35.99</v>
      </c>
      <c r="Z9" s="29" t="n">
        <v>35.99</v>
      </c>
      <c r="AA9" s="29" t="n">
        <v>35.99</v>
      </c>
      <c r="AB9" s="29" t="n">
        <v>35.99</v>
      </c>
      <c r="AC9" s="29" t="n">
        <v>35.99</v>
      </c>
      <c r="AD9" s="29" t="n">
        <v>35.99</v>
      </c>
      <c r="AE9" s="29" t="n">
        <v>35.99</v>
      </c>
      <c r="AF9" s="29" t="n">
        <v>35.99</v>
      </c>
    </row>
    <row r="10" customFormat="false" ht="15" hidden="false" customHeight="false" outlineLevel="0" collapsed="false">
      <c r="A10" s="18" t="s">
        <v>98</v>
      </c>
      <c r="B10" s="14" t="s">
        <v>173</v>
      </c>
      <c r="C10" s="29" t="n">
        <v>91.7454285714286</v>
      </c>
      <c r="D10" s="29" t="n">
        <v>101.075257731959</v>
      </c>
      <c r="E10" s="27" t="n">
        <f aca="false">IF(OR(C10="",D10=""),"",D10/C10-1)</f>
        <v>0.101692578102313</v>
      </c>
      <c r="F10" s="29" t="n">
        <v>106.78</v>
      </c>
      <c r="G10" s="29" t="n">
        <v>98.0616666666666</v>
      </c>
      <c r="H10" s="29" t="n">
        <v>108.836153846154</v>
      </c>
      <c r="I10" s="27" t="n">
        <f aca="false">IF(OR(G10="",H10=""),"",H10/G10-1)</f>
        <v>0.10987460794555</v>
      </c>
      <c r="J10" s="39" t="n">
        <v>3.5</v>
      </c>
      <c r="K10" s="39" t="n">
        <v>3.73076923076923</v>
      </c>
      <c r="L10" s="27" t="n">
        <f aca="false">IF(N(J10)=0,"",K10/J10-1)</f>
        <v>0.0659340659340659</v>
      </c>
      <c r="M10" s="2"/>
      <c r="N10" s="29" t="n">
        <v>113.356666666667</v>
      </c>
      <c r="O10" s="29" t="n">
        <v>90.615625</v>
      </c>
      <c r="P10" s="29" t="n">
        <v>93.1478947368421</v>
      </c>
      <c r="Q10" s="29" t="n">
        <v>87.4536585365853</v>
      </c>
      <c r="R10" s="29" t="n">
        <v>89.7341860465116</v>
      </c>
      <c r="S10" s="29" t="n">
        <v>99.8627272727273</v>
      </c>
      <c r="T10" s="29" t="n">
        <v>106.9075</v>
      </c>
      <c r="U10" s="29" t="n">
        <v>106.7975</v>
      </c>
      <c r="V10" s="29"/>
      <c r="W10" s="2"/>
      <c r="X10" s="29" t="n">
        <v>114.098333333333</v>
      </c>
      <c r="Y10" s="29" t="n">
        <v>98.4185714285714</v>
      </c>
      <c r="Z10" s="29" t="n">
        <v>93.3471428571429</v>
      </c>
      <c r="AA10" s="29" t="n">
        <v>91.7042857142857</v>
      </c>
      <c r="AB10" s="29" t="n">
        <v>92.7042857142857</v>
      </c>
      <c r="AC10" s="29" t="n">
        <v>110.561428571429</v>
      </c>
      <c r="AD10" s="29" t="n">
        <v>111.99</v>
      </c>
      <c r="AE10" s="29" t="n">
        <v>111.99</v>
      </c>
      <c r="AF10" s="29" t="n">
        <v>111.99</v>
      </c>
    </row>
    <row r="11" customFormat="false" ht="15" hidden="false" customHeight="false" outlineLevel="0" collapsed="false">
      <c r="A11" s="18" t="s">
        <v>118</v>
      </c>
      <c r="B11" s="14" t="s">
        <v>174</v>
      </c>
      <c r="C11" s="29" t="n">
        <v>92.8407272727273</v>
      </c>
      <c r="D11" s="29" t="n">
        <v>96.4490909090909</v>
      </c>
      <c r="E11" s="27" t="n">
        <f aca="false">IF(OR(C11="",D11=""),"",D11/C11-1)</f>
        <v>0.0388661715861378</v>
      </c>
      <c r="F11" s="29" t="n">
        <v>101.178888888889</v>
      </c>
      <c r="G11" s="29" t="n">
        <v>98.1383333333333</v>
      </c>
      <c r="H11" s="29" t="n">
        <v>100.519807692308</v>
      </c>
      <c r="I11" s="27" t="n">
        <f aca="false">IF(OR(G11="",H11=""),"",H11/G11-1)</f>
        <v>0.0242665050249586</v>
      </c>
      <c r="J11" s="39" t="n">
        <v>3.66666666666667</v>
      </c>
      <c r="K11" s="39" t="n">
        <v>3.80769230769231</v>
      </c>
      <c r="L11" s="27" t="n">
        <f aca="false">IF(N(J11)=0,"",K11/J11-1)</f>
        <v>0.0384615384615381</v>
      </c>
      <c r="M11" s="2"/>
      <c r="N11" s="29" t="n">
        <v>110.0625</v>
      </c>
      <c r="O11" s="29" t="n">
        <v>96.9130769230769</v>
      </c>
      <c r="P11" s="29" t="n">
        <v>93.6958823529412</v>
      </c>
      <c r="Q11" s="29" t="n">
        <v>90.0117391304348</v>
      </c>
      <c r="R11" s="29" t="n">
        <v>89.6037254901961</v>
      </c>
      <c r="S11" s="29" t="n">
        <v>92.2848275862069</v>
      </c>
      <c r="T11" s="29" t="n">
        <v>104.432692307692</v>
      </c>
      <c r="U11" s="29" t="n">
        <v>101.995</v>
      </c>
      <c r="V11" s="29" t="n">
        <v>89.99</v>
      </c>
      <c r="W11" s="2"/>
      <c r="X11" s="29" t="n">
        <v>112.873333333333</v>
      </c>
      <c r="Y11" s="29" t="n">
        <v>98.4185714285714</v>
      </c>
      <c r="Z11" s="29" t="n">
        <v>93.3471428571429</v>
      </c>
      <c r="AA11" s="29" t="n">
        <v>91.7042857142857</v>
      </c>
      <c r="AB11" s="29" t="n">
        <v>95.2471428571429</v>
      </c>
      <c r="AC11" s="29" t="n">
        <v>103.972142857143</v>
      </c>
      <c r="AD11" s="29" t="n">
        <v>100.125714285714</v>
      </c>
      <c r="AE11" s="29" t="n">
        <v>100.09</v>
      </c>
      <c r="AF11" s="29" t="n">
        <v>100.09</v>
      </c>
    </row>
    <row r="12" customFormat="false" ht="15" hidden="false" customHeight="false" outlineLevel="0" collapsed="false">
      <c r="A12" s="18" t="s">
        <v>84</v>
      </c>
      <c r="B12" s="14" t="s">
        <v>175</v>
      </c>
      <c r="C12" s="29" t="n">
        <v>49.5861538461539</v>
      </c>
      <c r="D12" s="29" t="n">
        <v>53.04</v>
      </c>
      <c r="E12" s="27" t="n">
        <f aca="false">IF(OR(C12="",D12=""),"",D12/C12-1)</f>
        <v>0.0696534392355186</v>
      </c>
      <c r="F12" s="29"/>
      <c r="G12" s="29" t="n">
        <v>50.1066666666667</v>
      </c>
      <c r="H12" s="29" t="n">
        <v>53.2880769230769</v>
      </c>
      <c r="I12" s="27" t="n">
        <f aca="false">IF(OR(G12="",H12=""),"",H12/G12-1)</f>
        <v>0.0634927539198424</v>
      </c>
      <c r="J12" s="39" t="n">
        <v>0.866666666666667</v>
      </c>
      <c r="K12" s="39" t="n">
        <v>0.461538461538462</v>
      </c>
      <c r="L12" s="27" t="n">
        <f aca="false">IF(N(J12)=0,"",K12/J12-1)</f>
        <v>-0.467455621301775</v>
      </c>
      <c r="M12" s="2"/>
      <c r="N12" s="29" t="n">
        <v>69.99</v>
      </c>
      <c r="O12" s="29" t="n">
        <v>55.49</v>
      </c>
      <c r="P12" s="29" t="n">
        <v>46.79</v>
      </c>
      <c r="Q12" s="29" t="n">
        <v>45.69</v>
      </c>
      <c r="R12" s="29" t="n">
        <v>47.3233333333333</v>
      </c>
      <c r="S12" s="29" t="n">
        <v>54.59</v>
      </c>
      <c r="T12" s="29" t="n">
        <v>66.99</v>
      </c>
      <c r="U12" s="29"/>
      <c r="V12" s="29"/>
      <c r="W12" s="2"/>
      <c r="X12" s="29" t="n">
        <v>55.7816666666667</v>
      </c>
      <c r="Y12" s="29" t="n">
        <v>50.9542857142857</v>
      </c>
      <c r="Z12" s="29" t="n">
        <v>51.3471428571429</v>
      </c>
      <c r="AA12" s="29" t="n">
        <v>45.5614285714286</v>
      </c>
      <c r="AB12" s="29" t="n">
        <v>45.6328571428571</v>
      </c>
      <c r="AC12" s="29" t="n">
        <v>59.5971428571429</v>
      </c>
      <c r="AD12" s="29" t="n">
        <v>54.7042857142857</v>
      </c>
      <c r="AE12" s="29" t="n">
        <v>50.49</v>
      </c>
      <c r="AF12" s="29" t="n">
        <v>45.99</v>
      </c>
    </row>
    <row r="13" customFormat="false" ht="15" hidden="false" customHeight="false" outlineLevel="0" collapsed="false">
      <c r="A13" s="18" t="s">
        <v>90</v>
      </c>
      <c r="B13" s="14" t="s">
        <v>176</v>
      </c>
      <c r="C13" s="29" t="n">
        <v>96.4645098039216</v>
      </c>
      <c r="D13" s="29" t="n">
        <v>101.615806451613</v>
      </c>
      <c r="E13" s="27" t="n">
        <f aca="false">IF(OR(C13="",D13=""),"",D13/C13-1)</f>
        <v>0.0534009518958021</v>
      </c>
      <c r="F13" s="29" t="n">
        <v>97.74</v>
      </c>
      <c r="G13" s="29" t="n">
        <v>95.4733333333333</v>
      </c>
      <c r="H13" s="29" t="n">
        <v>97.0005769230769</v>
      </c>
      <c r="I13" s="27" t="n">
        <f aca="false">IF(OR(G13="",H13=""),"",H13/G13-1)</f>
        <v>0.0159965462231366</v>
      </c>
      <c r="J13" s="39" t="n">
        <v>1.7</v>
      </c>
      <c r="K13" s="39" t="n">
        <v>1.19230769230769</v>
      </c>
      <c r="L13" s="27" t="n">
        <f aca="false">IF(N(J13)=0,"",K13/J13-1)</f>
        <v>-0.298642533936652</v>
      </c>
      <c r="M13" s="2"/>
      <c r="N13" s="29" t="n">
        <v>113.63</v>
      </c>
      <c r="O13" s="29" t="n">
        <v>98.99</v>
      </c>
      <c r="P13" s="29" t="n">
        <v>93.3233333333333</v>
      </c>
      <c r="Q13" s="29" t="n">
        <v>93.4605882352941</v>
      </c>
      <c r="R13" s="29" t="n">
        <v>98.6566666666667</v>
      </c>
      <c r="S13" s="29" t="n">
        <v>100.67</v>
      </c>
      <c r="T13" s="29" t="n">
        <v>103.184444444445</v>
      </c>
      <c r="U13" s="29" t="n">
        <v>97.74</v>
      </c>
      <c r="V13" s="29"/>
      <c r="W13" s="2"/>
      <c r="X13" s="29" t="n">
        <v>99.64</v>
      </c>
      <c r="Y13" s="29" t="n">
        <v>95.2471428571429</v>
      </c>
      <c r="Z13" s="29" t="n">
        <v>93.89</v>
      </c>
      <c r="AA13" s="29" t="n">
        <v>93.6042857142857</v>
      </c>
      <c r="AB13" s="29" t="n">
        <v>98.9614285714286</v>
      </c>
      <c r="AC13" s="29" t="n">
        <v>97.1042857142857</v>
      </c>
      <c r="AD13" s="29" t="n">
        <v>95.015</v>
      </c>
      <c r="AE13" s="29" t="n">
        <v>97.1578571428571</v>
      </c>
      <c r="AF13" s="29" t="n">
        <v>91.515</v>
      </c>
    </row>
    <row r="14" customFormat="false" ht="15" hidden="false" customHeight="false" outlineLevel="0" collapsed="false">
      <c r="A14" s="18" t="s">
        <v>109</v>
      </c>
      <c r="B14" s="14" t="s">
        <v>177</v>
      </c>
      <c r="C14" s="29" t="n">
        <v>24.7071875</v>
      </c>
      <c r="D14" s="29" t="n">
        <v>22.5531578947368</v>
      </c>
      <c r="E14" s="27" t="n">
        <f aca="false">IF(OR(C14="",D14=""),"",D14/C14-1)</f>
        <v>-0.0871823069810418</v>
      </c>
      <c r="F14" s="29" t="n">
        <v>21.8081818181818</v>
      </c>
      <c r="G14" s="29" t="n">
        <v>20.2233333333333</v>
      </c>
      <c r="H14" s="29" t="n">
        <v>26.99</v>
      </c>
      <c r="I14" s="27" t="n">
        <f aca="false">IF(OR(G14="",H14=""),"",H14/G14-1)</f>
        <v>0.334597000164826</v>
      </c>
      <c r="J14" s="39" t="n">
        <v>1.06666666666667</v>
      </c>
      <c r="K14" s="39" t="n">
        <v>1.46153846153846</v>
      </c>
      <c r="L14" s="27" t="n">
        <f aca="false">IF(N(J14)=0,"",K14/J14-1)</f>
        <v>0.370192307692307</v>
      </c>
      <c r="M14" s="2"/>
      <c r="N14" s="29" t="n">
        <v>25.05</v>
      </c>
      <c r="O14" s="29" t="n">
        <v>25.59</v>
      </c>
      <c r="P14" s="29" t="n">
        <v>23.39</v>
      </c>
      <c r="Q14" s="29" t="n">
        <v>25.7971428571429</v>
      </c>
      <c r="R14" s="29" t="n">
        <v>23.69</v>
      </c>
      <c r="S14" s="29" t="n">
        <v>22.64</v>
      </c>
      <c r="T14" s="29" t="n">
        <v>23.49</v>
      </c>
      <c r="U14" s="29" t="n">
        <v>21.8081818181818</v>
      </c>
      <c r="V14" s="29"/>
      <c r="W14" s="2"/>
      <c r="X14" s="29" t="n">
        <v>19.99</v>
      </c>
      <c r="Y14" s="29" t="n">
        <v>19.99</v>
      </c>
      <c r="Z14" s="29" t="n">
        <v>19.99</v>
      </c>
      <c r="AA14" s="29" t="n">
        <v>19.99</v>
      </c>
      <c r="AB14" s="29" t="n">
        <v>24.99</v>
      </c>
      <c r="AC14" s="29" t="n">
        <v>26.99</v>
      </c>
      <c r="AD14" s="29" t="n">
        <v>26.99</v>
      </c>
      <c r="AE14" s="29" t="n">
        <v>26.99</v>
      </c>
      <c r="AF14" s="29" t="n">
        <v>26.99</v>
      </c>
    </row>
    <row r="15" customFormat="false" ht="15" hidden="false" customHeight="false" outlineLevel="0" collapsed="false">
      <c r="A15" s="18" t="s">
        <v>138</v>
      </c>
      <c r="B15" s="14" t="s">
        <v>178</v>
      </c>
      <c r="C15" s="29" t="n">
        <v>49.2308333333333</v>
      </c>
      <c r="D15" s="29" t="n">
        <v>47.0190909090909</v>
      </c>
      <c r="E15" s="27" t="n">
        <f aca="false">IF(OR(C15="",D15=""),"",D15/C15-1)</f>
        <v>-0.0449259594950811</v>
      </c>
      <c r="F15" s="29" t="n">
        <v>46.6793333333333</v>
      </c>
      <c r="G15" s="29" t="n">
        <v>48.8568333333333</v>
      </c>
      <c r="H15" s="29" t="n">
        <v>48.2476923076923</v>
      </c>
      <c r="I15" s="27" t="n">
        <f aca="false">IF(OR(G15="",H15=""),"",H15/G15-1)</f>
        <v>-0.0124678777579598</v>
      </c>
      <c r="J15" s="39" t="n">
        <v>1.2</v>
      </c>
      <c r="K15" s="39" t="n">
        <v>2.11538461538462</v>
      </c>
      <c r="L15" s="27" t="n">
        <f aca="false">IF(N(J15)=0,"",K15/J15-1)</f>
        <v>0.762820512820513</v>
      </c>
      <c r="M15" s="2"/>
      <c r="N15" s="29" t="n">
        <v>57.6566666666667</v>
      </c>
      <c r="O15" s="29" t="n">
        <v>49.49</v>
      </c>
      <c r="P15" s="29" t="n">
        <v>51.63625</v>
      </c>
      <c r="Q15" s="29" t="n">
        <v>41.3233333333333</v>
      </c>
      <c r="R15" s="29" t="n">
        <v>46.5233333333333</v>
      </c>
      <c r="S15" s="29" t="n">
        <v>38.181</v>
      </c>
      <c r="T15" s="29" t="n">
        <v>49.08</v>
      </c>
      <c r="U15" s="29" t="n">
        <v>49.5644444444445</v>
      </c>
      <c r="V15" s="29"/>
      <c r="W15" s="2"/>
      <c r="X15" s="29" t="n">
        <v>54.3233333333333</v>
      </c>
      <c r="Y15" s="29" t="n">
        <v>49.2042857142857</v>
      </c>
      <c r="Z15" s="29" t="n">
        <v>49.705</v>
      </c>
      <c r="AA15" s="29" t="n">
        <v>45.0614285714286</v>
      </c>
      <c r="AB15" s="29" t="n">
        <v>46.1542857142857</v>
      </c>
      <c r="AC15" s="29" t="n">
        <v>50.14</v>
      </c>
      <c r="AD15" s="29" t="n">
        <v>48.3471428571429</v>
      </c>
      <c r="AE15" s="29" t="n">
        <v>46.8471428571429</v>
      </c>
      <c r="AF15" s="29" t="n">
        <v>45.99</v>
      </c>
    </row>
    <row r="16" customFormat="false" ht="15" hidden="false" customHeight="false" outlineLevel="0" collapsed="false">
      <c r="A16" s="18" t="s">
        <v>179</v>
      </c>
      <c r="B16" s="14" t="s">
        <v>180</v>
      </c>
      <c r="C16" s="29" t="n">
        <v>23.4703174603175</v>
      </c>
      <c r="D16" s="29" t="n">
        <v>21.9505882352941</v>
      </c>
      <c r="E16" s="27" t="n">
        <f aca="false">IF(OR(C16="",D16=""),"",D16/C16-1)</f>
        <v>-0.064751115002719</v>
      </c>
      <c r="F16" s="29" t="n">
        <v>21.7157142857143</v>
      </c>
      <c r="G16" s="29" t="n">
        <v>37.0766666666667</v>
      </c>
      <c r="H16" s="29" t="n">
        <v>31.6053846153846</v>
      </c>
      <c r="I16" s="27" t="n">
        <f aca="false">IF(OR(G16="",H16=""),"",H16/G16-1)</f>
        <v>-0.14756671899529</v>
      </c>
      <c r="J16" s="39" t="n">
        <v>2.1</v>
      </c>
      <c r="K16" s="39" t="n">
        <v>2.61538461538462</v>
      </c>
      <c r="L16" s="27" t="n">
        <f aca="false">IF(N(J16)=0,"",K16/J16-1)</f>
        <v>0.245421245421245</v>
      </c>
      <c r="M16" s="2"/>
      <c r="N16" s="29" t="n">
        <v>41.59</v>
      </c>
      <c r="O16" s="29" t="n">
        <v>23.6782352941176</v>
      </c>
      <c r="P16" s="29" t="n">
        <v>20.49</v>
      </c>
      <c r="Q16" s="29" t="n">
        <v>25.80625</v>
      </c>
      <c r="R16" s="29" t="n">
        <v>20.565</v>
      </c>
      <c r="S16" s="29" t="n">
        <v>21.46</v>
      </c>
      <c r="T16" s="29" t="n">
        <v>22.7095833333333</v>
      </c>
      <c r="U16" s="29" t="n">
        <v>21.7157142857143</v>
      </c>
      <c r="V16" s="29" t="n">
        <v>37.99</v>
      </c>
      <c r="W16" s="2"/>
      <c r="X16" s="29" t="n">
        <v>43.99</v>
      </c>
      <c r="Y16" s="29" t="n">
        <v>40.2185714285714</v>
      </c>
      <c r="Z16" s="29" t="n">
        <v>36.99</v>
      </c>
      <c r="AA16" s="29" t="n">
        <v>31.1328571428571</v>
      </c>
      <c r="AB16" s="29" t="n">
        <v>29.99</v>
      </c>
      <c r="AC16" s="29" t="n">
        <v>35.99</v>
      </c>
      <c r="AD16" s="29" t="n">
        <v>29.99</v>
      </c>
      <c r="AE16" s="29" t="n">
        <v>29.99</v>
      </c>
      <c r="AF16" s="29" t="n">
        <v>29.99</v>
      </c>
    </row>
    <row r="17" customFormat="false" ht="15" hidden="false" customHeight="false" outlineLevel="0" collapsed="false">
      <c r="A17" s="18" t="s">
        <v>181</v>
      </c>
      <c r="B17" s="14" t="s">
        <v>182</v>
      </c>
      <c r="C17" s="29" t="n">
        <v>29.5021951219512</v>
      </c>
      <c r="D17" s="29" t="n">
        <v>27.155</v>
      </c>
      <c r="E17" s="27" t="n">
        <f aca="false">IF(OR(C17="",D17=""),"",D17/C17-1)</f>
        <v>-0.0795600162038377</v>
      </c>
      <c r="F17" s="29" t="n">
        <v>26.99</v>
      </c>
      <c r="G17" s="29" t="n">
        <v>31.1566666666667</v>
      </c>
      <c r="H17" s="29" t="n">
        <v>29.99</v>
      </c>
      <c r="I17" s="27" t="n">
        <f aca="false">IF(OR(G17="",H17=""),"",H17/G17-1)</f>
        <v>-0.0374451695731253</v>
      </c>
      <c r="J17" s="39" t="n">
        <v>1.36666666666667</v>
      </c>
      <c r="K17" s="39" t="n">
        <v>0.384615384615385</v>
      </c>
      <c r="L17" s="27" t="n">
        <f aca="false">IF(N(J17)=0,"",K17/J17-1)</f>
        <v>-0.718574108818011</v>
      </c>
      <c r="M17" s="2"/>
      <c r="N17" s="29" t="n">
        <v>30.8361538461539</v>
      </c>
      <c r="O17" s="29" t="n">
        <v>29.19</v>
      </c>
      <c r="P17" s="29" t="n">
        <v>28.99</v>
      </c>
      <c r="Q17" s="29" t="n">
        <v>27.49</v>
      </c>
      <c r="R17" s="29" t="n">
        <v>29.99</v>
      </c>
      <c r="S17" s="29" t="n">
        <v>26.54</v>
      </c>
      <c r="T17" s="29" t="n">
        <v>26.99</v>
      </c>
      <c r="U17" s="29" t="n">
        <v>26.99</v>
      </c>
      <c r="V17" s="29"/>
      <c r="W17" s="2"/>
      <c r="X17" s="29" t="n">
        <v>34.99</v>
      </c>
      <c r="Y17" s="29" t="n">
        <v>30.7042857142857</v>
      </c>
      <c r="Z17" s="29" t="n">
        <v>29.99</v>
      </c>
      <c r="AA17" s="29" t="n">
        <v>29.99</v>
      </c>
      <c r="AB17" s="29" t="n">
        <v>29.99</v>
      </c>
      <c r="AC17" s="29" t="n">
        <v>29.99</v>
      </c>
      <c r="AD17" s="29" t="n">
        <v>29.99</v>
      </c>
      <c r="AE17" s="29" t="n">
        <v>29.99</v>
      </c>
      <c r="AF17" s="29" t="n">
        <v>29.99</v>
      </c>
    </row>
    <row r="18" customFormat="false" ht="15" hidden="false" customHeight="false" outlineLevel="0" collapsed="false">
      <c r="A18" s="18" t="s">
        <v>183</v>
      </c>
      <c r="B18" s="14" t="s">
        <v>184</v>
      </c>
      <c r="C18" s="29" t="n">
        <v>27.8370491803279</v>
      </c>
      <c r="D18" s="29" t="n">
        <v>28.2116504854369</v>
      </c>
      <c r="E18" s="27" t="n">
        <f aca="false">IF(OR(C18="",D18=""),"",D18/C18-1)</f>
        <v>0.0134569329774275</v>
      </c>
      <c r="F18" s="29" t="n">
        <v>28.99</v>
      </c>
      <c r="G18" s="29" t="n">
        <v>26.99</v>
      </c>
      <c r="H18" s="29" t="n">
        <v>26.99</v>
      </c>
      <c r="I18" s="27" t="n">
        <f aca="false">IF(OR(G18="",H18=""),"",H18/G18-1)</f>
        <v>0</v>
      </c>
      <c r="J18" s="39" t="n">
        <v>4.06666666666667</v>
      </c>
      <c r="K18" s="39" t="n">
        <v>3.96153846153846</v>
      </c>
      <c r="L18" s="27" t="n">
        <f aca="false">IF(N(J18)=0,"",K18/J18-1)</f>
        <v>-0.0258511979823454</v>
      </c>
      <c r="M18" s="2"/>
      <c r="N18" s="29" t="n">
        <v>27.9796</v>
      </c>
      <c r="O18" s="29" t="n">
        <v>28.6566666666667</v>
      </c>
      <c r="P18" s="29" t="n">
        <v>27.6553846153846</v>
      </c>
      <c r="Q18" s="29" t="n">
        <v>28.1328571428571</v>
      </c>
      <c r="R18" s="29" t="n">
        <v>27.691</v>
      </c>
      <c r="S18" s="29" t="n">
        <v>27.8128205128205</v>
      </c>
      <c r="T18" s="29" t="n">
        <v>28.17125</v>
      </c>
      <c r="U18" s="29" t="n">
        <v>28.8847368421053</v>
      </c>
      <c r="V18" s="29"/>
      <c r="W18" s="2"/>
      <c r="X18" s="29" t="n">
        <v>26.99</v>
      </c>
      <c r="Y18" s="29" t="n">
        <v>26.99</v>
      </c>
      <c r="Z18" s="29" t="n">
        <v>26.99</v>
      </c>
      <c r="AA18" s="29" t="n">
        <v>26.99</v>
      </c>
      <c r="AB18" s="29" t="n">
        <v>26.99</v>
      </c>
      <c r="AC18" s="29" t="n">
        <v>26.99</v>
      </c>
      <c r="AD18" s="29" t="n">
        <v>26.99</v>
      </c>
      <c r="AE18" s="29" t="n">
        <v>26.99</v>
      </c>
      <c r="AF18" s="29" t="n">
        <v>26.99</v>
      </c>
    </row>
    <row r="19" customFormat="false" ht="15" hidden="false" customHeight="false" outlineLevel="0" collapsed="false">
      <c r="A19" s="18" t="s">
        <v>185</v>
      </c>
      <c r="B19" s="14" t="s">
        <v>186</v>
      </c>
      <c r="C19" s="29"/>
      <c r="D19" s="29" t="n">
        <v>59.99</v>
      </c>
      <c r="E19" s="27" t="str">
        <f aca="false">IF(OR(C19="",D19=""),"",D19/C19-1)</f>
        <v/>
      </c>
      <c r="F19" s="29"/>
      <c r="G19" s="29" t="n">
        <v>59.99</v>
      </c>
      <c r="H19" s="29" t="n">
        <v>59.99</v>
      </c>
      <c r="I19" s="27" t="n">
        <f aca="false">IF(OR(G19="",H19=""),"",H19/G19-1)</f>
        <v>0</v>
      </c>
      <c r="J19" s="39" t="n">
        <v>0</v>
      </c>
      <c r="K19" s="39" t="n">
        <v>0.192307692307692</v>
      </c>
      <c r="L19" s="27" t="str">
        <f aca="false">IF(N(J19)=0,"",K19/J19-1)</f>
        <v/>
      </c>
      <c r="M19" s="2"/>
      <c r="N19" s="29"/>
      <c r="O19" s="29"/>
      <c r="P19" s="29"/>
      <c r="Q19" s="29"/>
      <c r="R19" s="29" t="n">
        <v>59.99</v>
      </c>
      <c r="S19" s="29" t="n">
        <v>59.99</v>
      </c>
      <c r="T19" s="29"/>
      <c r="U19" s="29"/>
      <c r="V19" s="29"/>
      <c r="W19" s="2"/>
      <c r="X19" s="29" t="n">
        <v>59.99</v>
      </c>
      <c r="Y19" s="29" t="n">
        <v>59.99</v>
      </c>
      <c r="Z19" s="29" t="n">
        <v>59.99</v>
      </c>
      <c r="AA19" s="29" t="n">
        <v>59.99</v>
      </c>
      <c r="AB19" s="29" t="n">
        <v>59.99</v>
      </c>
      <c r="AC19" s="29" t="n">
        <v>59.99</v>
      </c>
      <c r="AD19" s="29" t="n">
        <v>59.99</v>
      </c>
      <c r="AE19" s="29" t="n">
        <v>59.99</v>
      </c>
      <c r="AF19" s="29" t="n">
        <v>59.99</v>
      </c>
    </row>
    <row r="20" customFormat="false" ht="15" hidden="false" customHeight="false" outlineLevel="0" collapsed="false">
      <c r="A20" s="18" t="s">
        <v>187</v>
      </c>
      <c r="B20" s="14" t="s">
        <v>188</v>
      </c>
      <c r="C20" s="29"/>
      <c r="D20" s="29"/>
      <c r="E20" s="27" t="str">
        <f aca="false">IF(OR(C20="",D20=""),"",D20/C20-1)</f>
        <v/>
      </c>
      <c r="F20" s="29"/>
      <c r="G20" s="29" t="n">
        <v>26.99</v>
      </c>
      <c r="H20" s="29" t="n">
        <v>26.99</v>
      </c>
      <c r="I20" s="27" t="n">
        <f aca="false">IF(OR(G20="",H20=""),"",H20/G20-1)</f>
        <v>0</v>
      </c>
      <c r="J20" s="39" t="n">
        <v>0</v>
      </c>
      <c r="K20" s="39" t="n">
        <v>0</v>
      </c>
      <c r="L20" s="27" t="str">
        <f aca="false">IF(N(J20)=0,"",K20/J20-1)</f>
        <v/>
      </c>
      <c r="M20" s="2"/>
      <c r="N20" s="29"/>
      <c r="O20" s="29"/>
      <c r="P20" s="29"/>
      <c r="Q20" s="29"/>
      <c r="R20" s="29"/>
      <c r="S20" s="29"/>
      <c r="T20" s="29"/>
      <c r="U20" s="29"/>
      <c r="V20" s="29"/>
      <c r="W20" s="2"/>
      <c r="X20" s="29" t="n">
        <v>26.99</v>
      </c>
      <c r="Y20" s="29" t="n">
        <v>26.99</v>
      </c>
      <c r="Z20" s="29" t="n">
        <v>26.99</v>
      </c>
      <c r="AA20" s="29" t="n">
        <v>26.99</v>
      </c>
      <c r="AB20" s="29" t="n">
        <v>26.99</v>
      </c>
      <c r="AC20" s="29" t="n">
        <v>26.99</v>
      </c>
      <c r="AD20" s="29" t="n">
        <v>26.99</v>
      </c>
      <c r="AE20" s="29" t="n">
        <v>26.99</v>
      </c>
      <c r="AF20" s="29" t="n">
        <v>26.99</v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customFormat="false" ht="15" hidden="false" customHeight="false" outlineLevel="0" collapsed="false">
      <c r="A22" s="3" t="s">
        <v>307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customFormat="false" ht="15" hidden="false" customHeight="false" outlineLevel="0" collapsed="false">
      <c r="A24" s="4" t="s">
        <v>308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customFormat="false" ht="15" hidden="false" customHeight="false" outlineLevel="0" collapsed="false">
      <c r="A25" s="50" t="s">
        <v>309</v>
      </c>
      <c r="B25" s="2" t="s">
        <v>167</v>
      </c>
      <c r="C25" s="2" t="s">
        <v>67</v>
      </c>
      <c r="D25" s="2" t="s">
        <v>73</v>
      </c>
      <c r="E25" s="2" t="s">
        <v>130</v>
      </c>
      <c r="F25" s="2" t="s">
        <v>104</v>
      </c>
      <c r="G25" s="2" t="s">
        <v>98</v>
      </c>
      <c r="H25" s="2" t="s">
        <v>118</v>
      </c>
      <c r="I25" s="2" t="s">
        <v>84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customFormat="false" ht="15" hidden="false" customHeight="false" outlineLevel="0" collapsed="false">
      <c r="A26" s="2" t="s">
        <v>298</v>
      </c>
      <c r="B26" s="51" t="n">
        <v>31.8576497695853</v>
      </c>
      <c r="C26" s="51" t="n">
        <v>34.4970860927152</v>
      </c>
      <c r="D26" s="51" t="n">
        <v>43.3977981651376</v>
      </c>
      <c r="E26" s="51" t="n">
        <v>40.4572357723577</v>
      </c>
      <c r="F26" s="51" t="n">
        <v>35.107</v>
      </c>
      <c r="G26" s="51" t="n">
        <v>113.356666666667</v>
      </c>
      <c r="H26" s="51" t="n">
        <v>110.0625</v>
      </c>
      <c r="I26" s="51" t="n">
        <v>69.99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customFormat="false" ht="15" hidden="false" customHeight="false" outlineLevel="0" collapsed="false">
      <c r="A27" s="2" t="s">
        <v>299</v>
      </c>
      <c r="B27" s="51" t="n">
        <v>24.5707543103448</v>
      </c>
      <c r="C27" s="51" t="n">
        <v>24.8836577181208</v>
      </c>
      <c r="D27" s="51" t="n">
        <v>39.2207692307692</v>
      </c>
      <c r="E27" s="51" t="n">
        <v>39.3800303030303</v>
      </c>
      <c r="F27" s="51" t="n">
        <v>33.0588288288288</v>
      </c>
      <c r="G27" s="51" t="n">
        <v>90.615625</v>
      </c>
      <c r="H27" s="51" t="n">
        <v>96.9130769230769</v>
      </c>
      <c r="I27" s="51" t="n">
        <v>55.49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customFormat="false" ht="15" hidden="false" customHeight="false" outlineLevel="0" collapsed="false">
      <c r="A28" s="2" t="s">
        <v>300</v>
      </c>
      <c r="B28" s="51" t="n">
        <v>23.285</v>
      </c>
      <c r="C28" s="51" t="n">
        <v>24.5266016713092</v>
      </c>
      <c r="D28" s="51" t="n">
        <v>39.0305882352941</v>
      </c>
      <c r="E28" s="51" t="n">
        <v>39.0611228070175</v>
      </c>
      <c r="F28" s="51" t="n">
        <v>35.0222935779817</v>
      </c>
      <c r="G28" s="51" t="n">
        <v>93.1478947368421</v>
      </c>
      <c r="H28" s="51" t="n">
        <v>93.6958823529412</v>
      </c>
      <c r="I28" s="51" t="n">
        <v>46.79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customFormat="false" ht="15" hidden="false" customHeight="false" outlineLevel="0" collapsed="false">
      <c r="A29" s="2" t="s">
        <v>301</v>
      </c>
      <c r="B29" s="51" t="n">
        <v>30.1245619335347</v>
      </c>
      <c r="C29" s="51" t="n">
        <v>30.215321888412</v>
      </c>
      <c r="D29" s="51" t="n">
        <v>42.9492173913044</v>
      </c>
      <c r="E29" s="51" t="n">
        <v>38.6795473251029</v>
      </c>
      <c r="F29" s="51" t="n">
        <v>36.1986075949367</v>
      </c>
      <c r="G29" s="51" t="n">
        <v>87.4536585365853</v>
      </c>
      <c r="H29" s="51" t="n">
        <v>90.0117391304348</v>
      </c>
      <c r="I29" s="51" t="n">
        <v>45.69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customFormat="false" ht="15" hidden="false" customHeight="false" outlineLevel="0" collapsed="false">
      <c r="A30" s="2" t="s">
        <v>302</v>
      </c>
      <c r="B30" s="51" t="n">
        <v>31.6604347826087</v>
      </c>
      <c r="C30" s="51" t="n">
        <v>30.282389380531</v>
      </c>
      <c r="D30" s="51" t="n">
        <v>42.7485227272727</v>
      </c>
      <c r="E30" s="51" t="n">
        <v>37.6197933884298</v>
      </c>
      <c r="F30" s="51" t="n">
        <v>36.190487804878</v>
      </c>
      <c r="G30" s="51" t="n">
        <v>89.7341860465116</v>
      </c>
      <c r="H30" s="51" t="n">
        <v>89.6037254901961</v>
      </c>
      <c r="I30" s="51" t="n">
        <v>47.3233333333333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customFormat="false" ht="15" hidden="false" customHeight="false" outlineLevel="0" collapsed="false">
      <c r="A31" s="2" t="s">
        <v>303</v>
      </c>
      <c r="B31" s="51" t="n">
        <v>32.4729853862213</v>
      </c>
      <c r="C31" s="51" t="n">
        <v>30.6005013927577</v>
      </c>
      <c r="D31" s="51" t="n">
        <v>39.1414534883721</v>
      </c>
      <c r="E31" s="51" t="n">
        <v>38.385078125</v>
      </c>
      <c r="F31" s="51" t="n">
        <v>32.39208</v>
      </c>
      <c r="G31" s="51" t="n">
        <v>99.8627272727273</v>
      </c>
      <c r="H31" s="51" t="n">
        <v>92.2848275862069</v>
      </c>
      <c r="I31" s="51" t="n">
        <v>54.59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customFormat="false" ht="15" hidden="false" customHeight="false" outlineLevel="0" collapsed="false">
      <c r="A32" s="2" t="s">
        <v>304</v>
      </c>
      <c r="B32" s="51" t="n">
        <v>26.5916897305171</v>
      </c>
      <c r="C32" s="51" t="n">
        <v>26.2723920863309</v>
      </c>
      <c r="D32" s="51" t="n">
        <v>42.9610126582279</v>
      </c>
      <c r="E32" s="51" t="n">
        <v>42.6428381962865</v>
      </c>
      <c r="F32" s="51" t="n">
        <v>32.5910714285714</v>
      </c>
      <c r="G32" s="51" t="n">
        <v>106.9075</v>
      </c>
      <c r="H32" s="51" t="n">
        <v>104.432692307692</v>
      </c>
      <c r="I32" s="51" t="n">
        <v>66.99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customFormat="false" ht="15" hidden="false" customHeight="false" outlineLevel="0" collapsed="false">
      <c r="A33" s="2" t="s">
        <v>305</v>
      </c>
      <c r="B33" s="51" t="n">
        <v>26.2155129274395</v>
      </c>
      <c r="C33" s="51" t="n">
        <v>24.1214070351759</v>
      </c>
      <c r="D33" s="51" t="n">
        <v>43.4242105263158</v>
      </c>
      <c r="E33" s="51" t="n">
        <v>42.644967948718</v>
      </c>
      <c r="F33" s="51" t="n">
        <v>35.8781553398058</v>
      </c>
      <c r="G33" s="51" t="n">
        <v>106.7975</v>
      </c>
      <c r="H33" s="51" t="n">
        <v>101.995</v>
      </c>
      <c r="I33" s="5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customFormat="false" ht="15" hidden="false" customHeight="false" outlineLevel="0" collapsed="false">
      <c r="A34" s="2" t="s">
        <v>306</v>
      </c>
      <c r="B34" s="51" t="n">
        <v>20.99</v>
      </c>
      <c r="C34" s="51"/>
      <c r="D34" s="51"/>
      <c r="E34" s="51" t="n">
        <v>36.99</v>
      </c>
      <c r="F34" s="51" t="n">
        <v>32.39</v>
      </c>
      <c r="G34" s="51"/>
      <c r="H34" s="51" t="n">
        <v>89.99</v>
      </c>
      <c r="I34" s="5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</sheetData>
  <mergeCells count="2">
    <mergeCell ref="N3:V3"/>
    <mergeCell ref="X3:AF3"/>
  </mergeCells>
  <conditionalFormatting sqref="E5:E20">
    <cfRule type="expression" priority="2" aboveAverage="0" equalAverage="0" bottom="0" percent="0" rank="0" text="" dxfId="7">
      <formula>AND(ISNUMBER(E5),E5&gt;=总览!$B$11)</formula>
    </cfRule>
    <cfRule type="expression" priority="3" aboveAverage="0" equalAverage="0" bottom="0" percent="0" rank="0" text="" dxfId="9">
      <formula>AND(ISNUMBER(E5),E5&lt;=-总览!$B$11)</formula>
    </cfRule>
  </conditionalFormatting>
  <conditionalFormatting sqref="I5:I20">
    <cfRule type="expression" priority="4" aboveAverage="0" equalAverage="0" bottom="0" percent="0" rank="0" text="" dxfId="7">
      <formula>AND(ISNUMBER(I5),I5&gt;=总览!$B$11)</formula>
    </cfRule>
    <cfRule type="expression" priority="5" aboveAverage="0" equalAverage="0" bottom="0" percent="0" rank="0" text="" dxfId="9">
      <formula>AND(ISNUMBER(I5),I5&lt;=-总览!$B$11)</formula>
    </cfRule>
  </conditionalFormatting>
  <conditionalFormatting sqref="L5:L20">
    <cfRule type="expression" priority="6" aboveAverage="0" equalAverage="0" bottom="0" percent="0" rank="0" text="" dxfId="8">
      <formula>AND(ISNUMBER(L5),L5&lt;=-0.2)</formula>
    </cfRule>
  </conditionalFormatting>
  <conditionalFormatting sqref="O5:O20">
    <cfRule type="expression" priority="7" aboveAverage="0" equalAverage="0" bottom="0" percent="0" rank="0" text="" dxfId="8">
      <formula>AND(ISNUMBER(O5),ISNUMBER(N5),ABS(O5/N5-1)&gt;=总览!$B$11)</formula>
    </cfRule>
  </conditionalFormatting>
  <conditionalFormatting sqref="P5:P20">
    <cfRule type="expression" priority="8" aboveAverage="0" equalAverage="0" bottom="0" percent="0" rank="0" text="" dxfId="8">
      <formula>AND(ISNUMBER(P5),ISNUMBER(O5),ABS(P5/O5-1)&gt;=总览!$B$11)</formula>
    </cfRule>
  </conditionalFormatting>
  <conditionalFormatting sqref="Q5:Q20">
    <cfRule type="expression" priority="9" aboveAverage="0" equalAverage="0" bottom="0" percent="0" rank="0" text="" dxfId="8">
      <formula>AND(ISNUMBER(Q5),ISNUMBER(P5),ABS(Q5/P5-1)&gt;=总览!$B$11)</formula>
    </cfRule>
  </conditionalFormatting>
  <conditionalFormatting sqref="R5:R20">
    <cfRule type="expression" priority="10" aboveAverage="0" equalAverage="0" bottom="0" percent="0" rank="0" text="" dxfId="8">
      <formula>AND(ISNUMBER(R5),ISNUMBER(Q5),ABS(R5/Q5-1)&gt;=总览!$B$11)</formula>
    </cfRule>
  </conditionalFormatting>
  <conditionalFormatting sqref="S5:S20">
    <cfRule type="expression" priority="11" aboveAverage="0" equalAverage="0" bottom="0" percent="0" rank="0" text="" dxfId="8">
      <formula>AND(ISNUMBER(S5),ISNUMBER(R5),ABS(S5/R5-1)&gt;=总览!$B$11)</formula>
    </cfRule>
  </conditionalFormatting>
  <conditionalFormatting sqref="T5:T20">
    <cfRule type="expression" priority="12" aboveAverage="0" equalAverage="0" bottom="0" percent="0" rank="0" text="" dxfId="8">
      <formula>AND(ISNUMBER(T5),ISNUMBER(S5),ABS(T5/S5-1)&gt;=总览!$B$11)</formula>
    </cfRule>
  </conditionalFormatting>
  <conditionalFormatting sqref="U5:U20">
    <cfRule type="expression" priority="13" aboveAverage="0" equalAverage="0" bottom="0" percent="0" rank="0" text="" dxfId="8">
      <formula>AND(ISNUMBER(U5),ISNUMBER(T5),ABS(U5/T5-1)&gt;=总览!$B$11)</formula>
    </cfRule>
  </conditionalFormatting>
  <conditionalFormatting sqref="V5:V20">
    <cfRule type="expression" priority="14" aboveAverage="0" equalAverage="0" bottom="0" percent="0" rank="0" text="" dxfId="8">
      <formula>AND(ISNUMBER(V5),ISNUMBER(U5),ABS(V5/U5-1)&gt;=总览!$B$11)</formula>
    </cfRule>
  </conditionalFormatting>
  <conditionalFormatting sqref="Y5:Y20">
    <cfRule type="expression" priority="15" aboveAverage="0" equalAverage="0" bottom="0" percent="0" rank="0" text="" dxfId="8">
      <formula>AND(ISNUMBER(Y5),ISNUMBER(X5),ABS(Y5/X5-1)&gt;=总览!$B$11)</formula>
    </cfRule>
  </conditionalFormatting>
  <conditionalFormatting sqref="Z5:Z20">
    <cfRule type="expression" priority="16" aboveAverage="0" equalAverage="0" bottom="0" percent="0" rank="0" text="" dxfId="8">
      <formula>AND(ISNUMBER(Z5),ISNUMBER(Y5),ABS(Z5/Y5-1)&gt;=总览!$B$11)</formula>
    </cfRule>
  </conditionalFormatting>
  <conditionalFormatting sqref="AA5:AA20">
    <cfRule type="expression" priority="17" aboveAverage="0" equalAverage="0" bottom="0" percent="0" rank="0" text="" dxfId="8">
      <formula>AND(ISNUMBER(AA5),ISNUMBER(Z5),ABS(AA5/Z5-1)&gt;=总览!$B$11)</formula>
    </cfRule>
  </conditionalFormatting>
  <conditionalFormatting sqref="AB5:AB20">
    <cfRule type="expression" priority="18" aboveAverage="0" equalAverage="0" bottom="0" percent="0" rank="0" text="" dxfId="8">
      <formula>AND(ISNUMBER(AB5),ISNUMBER(AA5),ABS(AB5/AA5-1)&gt;=总览!$B$11)</formula>
    </cfRule>
  </conditionalFormatting>
  <conditionalFormatting sqref="AC5:AC20">
    <cfRule type="expression" priority="19" aboveAverage="0" equalAverage="0" bottom="0" percent="0" rank="0" text="" dxfId="8">
      <formula>AND(ISNUMBER(AC5),ISNUMBER(AB5),ABS(AC5/AB5-1)&gt;=总览!$B$11)</formula>
    </cfRule>
  </conditionalFormatting>
  <conditionalFormatting sqref="AD5:AD20">
    <cfRule type="expression" priority="20" aboveAverage="0" equalAverage="0" bottom="0" percent="0" rank="0" text="" dxfId="8">
      <formula>AND(ISNUMBER(AD5),ISNUMBER(AC5),ABS(AD5/AC5-1)&gt;=总览!$B$11)</formula>
    </cfRule>
  </conditionalFormatting>
  <conditionalFormatting sqref="AE5:AE20">
    <cfRule type="expression" priority="21" aboveAverage="0" equalAverage="0" bottom="0" percent="0" rank="0" text="" dxfId="8">
      <formula>AND(ISNUMBER(AE5),ISNUMBER(AD5),ABS(AE5/AD5-1)&gt;=总览!$B$11)</formula>
    </cfRule>
  </conditionalFormatting>
  <conditionalFormatting sqref="AF5:AF20">
    <cfRule type="expression" priority="22" aboveAverage="0" equalAverage="0" bottom="0" percent="0" rank="0" text="" dxfId="8">
      <formula>AND(ISNUMBER(AF5),ISNUMBER(AE5),ABS(AF5/AE5-1)&gt;=总览!$B$11)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7" min="5" style="0" width="11"/>
    <col collapsed="false" customWidth="true" hidden="false" outlineLevel="0" max="8" min="8" style="0" width="10"/>
    <col collapsed="false" customWidth="true" hidden="false" outlineLevel="0" max="10" min="9" style="0" width="11"/>
    <col collapsed="false" customWidth="true" hidden="false" outlineLevel="0" max="11" min="11" style="0" width="10"/>
  </cols>
  <sheetData>
    <row r="1" customFormat="false" ht="19.4" hidden="false" customHeight="false" outlineLevel="0" collapsed="false">
      <c r="A1" s="35" t="s">
        <v>310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311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26.85" hidden="false" customHeight="false" outlineLevel="0" collapsed="false">
      <c r="A4" s="23" t="s">
        <v>49</v>
      </c>
      <c r="B4" s="22" t="s">
        <v>147</v>
      </c>
      <c r="C4" s="23" t="s">
        <v>48</v>
      </c>
      <c r="D4" s="22" t="s">
        <v>312</v>
      </c>
      <c r="E4" s="22" t="s">
        <v>313</v>
      </c>
      <c r="F4" s="22" t="s">
        <v>314</v>
      </c>
      <c r="G4" s="22" t="s">
        <v>315</v>
      </c>
      <c r="H4" s="22" t="s">
        <v>316</v>
      </c>
      <c r="I4" s="22" t="s">
        <v>317</v>
      </c>
      <c r="J4" s="22" t="s">
        <v>318</v>
      </c>
      <c r="K4" s="22" t="s">
        <v>319</v>
      </c>
    </row>
    <row r="5" customFormat="false" ht="15" hidden="false" customHeight="false" outlineLevel="0" collapsed="false">
      <c r="A5" s="18" t="s">
        <v>167</v>
      </c>
      <c r="B5" s="14" t="s">
        <v>168</v>
      </c>
      <c r="C5" s="18" t="s">
        <v>198</v>
      </c>
      <c r="D5" s="18" t="s">
        <v>320</v>
      </c>
      <c r="E5" s="18" t="s">
        <v>321</v>
      </c>
      <c r="F5" s="29" t="n">
        <v>27.76</v>
      </c>
      <c r="G5" s="29" t="n">
        <v>24.98</v>
      </c>
      <c r="H5" s="27" t="n">
        <f aca="false">G5/F5-1</f>
        <v>-0.10014409221902</v>
      </c>
      <c r="I5" s="39" t="n">
        <v>1.57142857142857</v>
      </c>
      <c r="J5" s="39" t="n">
        <v>2.85714285714286</v>
      </c>
      <c r="K5" s="39" t="n">
        <f aca="false">IF(OR(I5="",J5=""),"",J5-I5)</f>
        <v>1.28571428571429</v>
      </c>
    </row>
    <row r="6" customFormat="false" ht="15" hidden="false" customHeight="false" outlineLevel="0" collapsed="false">
      <c r="A6" s="18" t="s">
        <v>167</v>
      </c>
      <c r="B6" s="14" t="s">
        <v>168</v>
      </c>
      <c r="C6" s="18" t="s">
        <v>198</v>
      </c>
      <c r="D6" s="18" t="s">
        <v>320</v>
      </c>
      <c r="E6" s="18" t="s">
        <v>322</v>
      </c>
      <c r="F6" s="29" t="n">
        <v>24.98</v>
      </c>
      <c r="G6" s="29" t="n">
        <v>27.76</v>
      </c>
      <c r="H6" s="27" t="n">
        <f aca="false">G6/F6-1</f>
        <v>0.11128903122498</v>
      </c>
      <c r="I6" s="39" t="n">
        <v>1.85714285714286</v>
      </c>
      <c r="J6" s="39" t="n">
        <v>0.5</v>
      </c>
      <c r="K6" s="39" t="n">
        <f aca="false">IF(OR(I6="",J6=""),"",J6-I6)</f>
        <v>-1.35714285714286</v>
      </c>
    </row>
    <row r="7" customFormat="false" ht="15" hidden="false" customHeight="false" outlineLevel="0" collapsed="false">
      <c r="A7" s="18" t="s">
        <v>167</v>
      </c>
      <c r="B7" s="14" t="s">
        <v>168</v>
      </c>
      <c r="C7" s="18" t="s">
        <v>198</v>
      </c>
      <c r="D7" s="18" t="s">
        <v>323</v>
      </c>
      <c r="E7" s="18" t="s">
        <v>324</v>
      </c>
      <c r="F7" s="29" t="n">
        <v>29.99</v>
      </c>
      <c r="G7" s="29" t="n">
        <v>27.54</v>
      </c>
      <c r="H7" s="27" t="n">
        <f aca="false">G7/F7-1</f>
        <v>-0.0816938979659887</v>
      </c>
      <c r="I7" s="39" t="n">
        <v>2.57142857142857</v>
      </c>
      <c r="J7" s="39" t="n">
        <v>10.8571428571429</v>
      </c>
      <c r="K7" s="39" t="n">
        <f aca="false">IF(OR(I7="",J7=""),"",J7-I7)</f>
        <v>8.28571428571429</v>
      </c>
    </row>
    <row r="8" customFormat="false" ht="15" hidden="false" customHeight="false" outlineLevel="0" collapsed="false">
      <c r="A8" s="18" t="s">
        <v>167</v>
      </c>
      <c r="B8" s="14" t="s">
        <v>168</v>
      </c>
      <c r="C8" s="18" t="s">
        <v>198</v>
      </c>
      <c r="D8" s="18" t="s">
        <v>323</v>
      </c>
      <c r="E8" s="18" t="s">
        <v>325</v>
      </c>
      <c r="F8" s="29" t="n">
        <v>27.54</v>
      </c>
      <c r="G8" s="29" t="n">
        <v>26.09</v>
      </c>
      <c r="H8" s="27" t="n">
        <f aca="false">G8/F8-1</f>
        <v>-0.0526506899055919</v>
      </c>
      <c r="I8" s="39" t="n">
        <v>7</v>
      </c>
      <c r="J8" s="39" t="n">
        <v>15.2857142857143</v>
      </c>
      <c r="K8" s="39" t="n">
        <f aca="false">IF(OR(I8="",J8=""),"",J8-I8)</f>
        <v>8.28571428571429</v>
      </c>
    </row>
    <row r="9" customFormat="false" ht="15" hidden="false" customHeight="false" outlineLevel="0" collapsed="false">
      <c r="A9" s="18" t="s">
        <v>167</v>
      </c>
      <c r="B9" s="14" t="s">
        <v>168</v>
      </c>
      <c r="C9" s="18" t="s">
        <v>198</v>
      </c>
      <c r="D9" s="18" t="s">
        <v>323</v>
      </c>
      <c r="E9" s="18" t="s">
        <v>326</v>
      </c>
      <c r="F9" s="29" t="n">
        <v>26.09</v>
      </c>
      <c r="G9" s="29" t="n">
        <v>29.99</v>
      </c>
      <c r="H9" s="27" t="n">
        <f aca="false">G9/F9-1</f>
        <v>0.149482560367957</v>
      </c>
      <c r="I9" s="39" t="n">
        <v>19.7142857142857</v>
      </c>
      <c r="J9" s="39" t="n">
        <v>27.7142857142857</v>
      </c>
      <c r="K9" s="39" t="n">
        <f aca="false">IF(OR(I9="",J9=""),"",J9-I9)</f>
        <v>8</v>
      </c>
    </row>
    <row r="10" customFormat="false" ht="15" hidden="false" customHeight="false" outlineLevel="0" collapsed="false">
      <c r="A10" s="18" t="s">
        <v>167</v>
      </c>
      <c r="B10" s="14" t="s">
        <v>168</v>
      </c>
      <c r="C10" s="18" t="s">
        <v>193</v>
      </c>
      <c r="D10" s="18" t="s">
        <v>201</v>
      </c>
      <c r="E10" s="18" t="s">
        <v>327</v>
      </c>
      <c r="F10" s="29" t="n">
        <v>29.99</v>
      </c>
      <c r="G10" s="29" t="n">
        <v>20.99</v>
      </c>
      <c r="H10" s="27" t="n">
        <f aca="false">G10/F10-1</f>
        <v>-0.300100033344448</v>
      </c>
      <c r="I10" s="39" t="n">
        <v>13.1428571428571</v>
      </c>
      <c r="J10" s="39" t="n">
        <v>61</v>
      </c>
      <c r="K10" s="39" t="n">
        <f aca="false">IF(OR(I10="",J10=""),"",J10-I10)</f>
        <v>47.8571428571429</v>
      </c>
    </row>
    <row r="11" customFormat="false" ht="15" hidden="false" customHeight="false" outlineLevel="0" collapsed="false">
      <c r="A11" s="18" t="s">
        <v>167</v>
      </c>
      <c r="B11" s="14" t="s">
        <v>168</v>
      </c>
      <c r="C11" s="18" t="s">
        <v>193</v>
      </c>
      <c r="D11" s="18" t="s">
        <v>201</v>
      </c>
      <c r="E11" s="18" t="s">
        <v>324</v>
      </c>
      <c r="F11" s="29" t="n">
        <v>20.99</v>
      </c>
      <c r="G11" s="29" t="n">
        <v>29.99</v>
      </c>
      <c r="H11" s="27" t="n">
        <f aca="false">G11/F11-1</f>
        <v>0.428775607432111</v>
      </c>
      <c r="I11" s="39" t="n">
        <v>79.5714285714286</v>
      </c>
      <c r="J11" s="39" t="n">
        <v>11</v>
      </c>
      <c r="K11" s="39" t="n">
        <f aca="false">IF(OR(I11="",J11=""),"",J11-I11)</f>
        <v>-68.5714285714286</v>
      </c>
    </row>
    <row r="12" customFormat="false" ht="15" hidden="false" customHeight="false" outlineLevel="0" collapsed="false">
      <c r="A12" s="18" t="s">
        <v>167</v>
      </c>
      <c r="B12" s="14" t="s">
        <v>168</v>
      </c>
      <c r="C12" s="18" t="s">
        <v>193</v>
      </c>
      <c r="D12" s="18" t="s">
        <v>328</v>
      </c>
      <c r="E12" s="18" t="s">
        <v>329</v>
      </c>
      <c r="F12" s="29" t="n">
        <v>29.99</v>
      </c>
      <c r="G12" s="29" t="n">
        <v>20.99</v>
      </c>
      <c r="H12" s="27" t="n">
        <f aca="false">G12/F12-1</f>
        <v>-0.300100033344448</v>
      </c>
      <c r="I12" s="39" t="n">
        <v>2.85714285714286</v>
      </c>
      <c r="J12" s="39" t="n">
        <v>147.857142857143</v>
      </c>
      <c r="K12" s="39" t="n">
        <f aca="false">IF(OR(I12="",J12=""),"",J12-I12)</f>
        <v>145</v>
      </c>
    </row>
    <row r="13" customFormat="false" ht="15" hidden="false" customHeight="false" outlineLevel="0" collapsed="false">
      <c r="A13" s="18" t="s">
        <v>167</v>
      </c>
      <c r="B13" s="14" t="s">
        <v>168</v>
      </c>
      <c r="C13" s="18" t="s">
        <v>263</v>
      </c>
      <c r="D13" s="18" t="s">
        <v>320</v>
      </c>
      <c r="E13" s="18" t="s">
        <v>321</v>
      </c>
      <c r="F13" s="29" t="n">
        <v>51.37</v>
      </c>
      <c r="G13" s="29" t="n">
        <v>46.23</v>
      </c>
      <c r="H13" s="27" t="n">
        <f aca="false">G13/F13-1</f>
        <v>-0.100058399844267</v>
      </c>
      <c r="I13" s="39" t="n">
        <v>0.714285714285714</v>
      </c>
      <c r="J13" s="39" t="n">
        <v>1.42857142857143</v>
      </c>
      <c r="K13" s="39" t="n">
        <f aca="false">IF(OR(I13="",J13=""),"",J13-I13)</f>
        <v>0.714285714285715</v>
      </c>
    </row>
    <row r="14" customFormat="false" ht="15" hidden="false" customHeight="false" outlineLevel="0" collapsed="false">
      <c r="A14" s="18" t="s">
        <v>167</v>
      </c>
      <c r="B14" s="14" t="s">
        <v>168</v>
      </c>
      <c r="C14" s="18" t="s">
        <v>263</v>
      </c>
      <c r="D14" s="18" t="s">
        <v>320</v>
      </c>
      <c r="E14" s="18" t="s">
        <v>322</v>
      </c>
      <c r="F14" s="29" t="n">
        <v>46.23</v>
      </c>
      <c r="G14" s="29" t="n">
        <v>51.37</v>
      </c>
      <c r="H14" s="27" t="n">
        <f aca="false">G14/F14-1</f>
        <v>0.111183214362968</v>
      </c>
      <c r="I14" s="39" t="n">
        <v>1</v>
      </c>
      <c r="J14" s="39" t="n">
        <v>0</v>
      </c>
      <c r="K14" s="39" t="n">
        <f aca="false">IF(OR(I14="",J14=""),"",J14-I14)</f>
        <v>-1</v>
      </c>
    </row>
    <row r="15" customFormat="false" ht="15" hidden="false" customHeight="false" outlineLevel="0" collapsed="false">
      <c r="A15" s="18" t="s">
        <v>167</v>
      </c>
      <c r="B15" s="14" t="s">
        <v>168</v>
      </c>
      <c r="C15" s="18" t="s">
        <v>236</v>
      </c>
      <c r="D15" s="18" t="s">
        <v>233</v>
      </c>
      <c r="E15" s="18" t="s">
        <v>326</v>
      </c>
      <c r="F15" s="29" t="n">
        <v>46.99</v>
      </c>
      <c r="G15" s="29" t="n">
        <v>39.82</v>
      </c>
      <c r="H15" s="27" t="n">
        <f aca="false">G15/F15-1</f>
        <v>-0.152585656522664</v>
      </c>
      <c r="I15" s="39" t="n">
        <v>0.428571428571429</v>
      </c>
      <c r="J15" s="39" t="n">
        <v>1.57142857142857</v>
      </c>
      <c r="K15" s="39" t="n">
        <f aca="false">IF(OR(I15="",J15=""),"",J15-I15)</f>
        <v>1.14285714285714</v>
      </c>
    </row>
    <row r="16" customFormat="false" ht="15" hidden="false" customHeight="false" outlineLevel="0" collapsed="false">
      <c r="A16" s="18" t="s">
        <v>167</v>
      </c>
      <c r="B16" s="14" t="s">
        <v>168</v>
      </c>
      <c r="C16" s="18" t="s">
        <v>236</v>
      </c>
      <c r="D16" s="18" t="s">
        <v>233</v>
      </c>
      <c r="E16" s="18" t="s">
        <v>330</v>
      </c>
      <c r="F16" s="29" t="n">
        <v>39.82</v>
      </c>
      <c r="G16" s="29" t="n">
        <v>37.82</v>
      </c>
      <c r="H16" s="27" t="n">
        <f aca="false">G16/F16-1</f>
        <v>-0.0502260170768458</v>
      </c>
      <c r="I16" s="39" t="n">
        <v>0.714285714285714</v>
      </c>
      <c r="J16" s="39" t="n">
        <v>2.28571428571429</v>
      </c>
      <c r="K16" s="39" t="n">
        <f aca="false">IF(OR(I16="",J16=""),"",J16-I16)</f>
        <v>1.57142857142857</v>
      </c>
    </row>
    <row r="17" customFormat="false" ht="15" hidden="false" customHeight="false" outlineLevel="0" collapsed="false">
      <c r="A17" s="18" t="s">
        <v>167</v>
      </c>
      <c r="B17" s="14" t="s">
        <v>168</v>
      </c>
      <c r="C17" s="18" t="s">
        <v>221</v>
      </c>
      <c r="D17" s="18" t="s">
        <v>328</v>
      </c>
      <c r="E17" s="18" t="s">
        <v>329</v>
      </c>
      <c r="F17" s="29" t="n">
        <v>54.99</v>
      </c>
      <c r="G17" s="29" t="n">
        <v>49.49</v>
      </c>
      <c r="H17" s="27" t="n">
        <f aca="false">G17/F17-1</f>
        <v>-0.100018185124568</v>
      </c>
      <c r="I17" s="39" t="n">
        <v>2.57142857142857</v>
      </c>
      <c r="J17" s="39" t="n">
        <v>10.4285714285714</v>
      </c>
      <c r="K17" s="39" t="n">
        <f aca="false">IF(OR(I17="",J17=""),"",J17-I17)</f>
        <v>7.85714285714286</v>
      </c>
    </row>
    <row r="18" customFormat="false" ht="15" hidden="false" customHeight="false" outlineLevel="0" collapsed="false">
      <c r="A18" s="18" t="s">
        <v>167</v>
      </c>
      <c r="B18" s="14" t="s">
        <v>168</v>
      </c>
      <c r="C18" s="18" t="s">
        <v>214</v>
      </c>
      <c r="D18" s="18" t="s">
        <v>201</v>
      </c>
      <c r="E18" s="18" t="s">
        <v>331</v>
      </c>
      <c r="F18" s="29" t="n">
        <v>27.99</v>
      </c>
      <c r="G18" s="29" t="n">
        <v>26.59</v>
      </c>
      <c r="H18" s="27" t="n">
        <f aca="false">G18/F18-1</f>
        <v>-0.0500178635226867</v>
      </c>
      <c r="I18" s="39" t="n">
        <v>5.33333333333333</v>
      </c>
      <c r="J18" s="39" t="n">
        <v>1.85714285714286</v>
      </c>
      <c r="K18" s="39" t="n">
        <f aca="false">IF(OR(I18="",J18=""),"",J18-I18)</f>
        <v>-3.47619047619048</v>
      </c>
    </row>
    <row r="19" customFormat="false" ht="15" hidden="false" customHeight="false" outlineLevel="0" collapsed="false">
      <c r="A19" s="18" t="s">
        <v>167</v>
      </c>
      <c r="B19" s="14" t="s">
        <v>168</v>
      </c>
      <c r="C19" s="18" t="s">
        <v>214</v>
      </c>
      <c r="D19" s="18" t="s">
        <v>201</v>
      </c>
      <c r="E19" s="18" t="s">
        <v>332</v>
      </c>
      <c r="F19" s="29" t="n">
        <v>26.59</v>
      </c>
      <c r="G19" s="29" t="n">
        <v>18.61</v>
      </c>
      <c r="H19" s="27" t="n">
        <f aca="false">G19/F19-1</f>
        <v>-0.300112824370064</v>
      </c>
      <c r="I19" s="39" t="n">
        <v>4</v>
      </c>
      <c r="J19" s="39" t="n">
        <v>1.57142857142857</v>
      </c>
      <c r="K19" s="39" t="n">
        <f aca="false">IF(OR(I19="",J19=""),"",J19-I19)</f>
        <v>-2.42857142857143</v>
      </c>
    </row>
    <row r="20" customFormat="false" ht="15" hidden="false" customHeight="false" outlineLevel="0" collapsed="false">
      <c r="A20" s="18" t="s">
        <v>167</v>
      </c>
      <c r="B20" s="14" t="s">
        <v>168</v>
      </c>
      <c r="C20" s="18" t="s">
        <v>214</v>
      </c>
      <c r="D20" s="18" t="s">
        <v>201</v>
      </c>
      <c r="E20" s="18" t="s">
        <v>333</v>
      </c>
      <c r="F20" s="29" t="n">
        <v>18.61</v>
      </c>
      <c r="G20" s="29" t="n">
        <v>25.99</v>
      </c>
      <c r="H20" s="27" t="n">
        <f aca="false">G20/F20-1</f>
        <v>0.396560988715744</v>
      </c>
      <c r="I20" s="39" t="n">
        <v>4.5</v>
      </c>
      <c r="J20" s="39" t="n">
        <v>0.571428571428571</v>
      </c>
      <c r="K20" s="39" t="n">
        <f aca="false">IF(OR(I20="",J20=""),"",J20-I20)</f>
        <v>-3.92857142857143</v>
      </c>
    </row>
    <row r="21" customFormat="false" ht="15" hidden="false" customHeight="false" outlineLevel="0" collapsed="false">
      <c r="A21" s="18" t="s">
        <v>167</v>
      </c>
      <c r="B21" s="14" t="s">
        <v>168</v>
      </c>
      <c r="C21" s="18" t="s">
        <v>251</v>
      </c>
      <c r="D21" s="18" t="s">
        <v>201</v>
      </c>
      <c r="E21" s="18" t="s">
        <v>331</v>
      </c>
      <c r="F21" s="29" t="n">
        <v>49.99</v>
      </c>
      <c r="G21" s="29" t="n">
        <v>33.24</v>
      </c>
      <c r="H21" s="27" t="n">
        <f aca="false">G21/F21-1</f>
        <v>-0.335067013402681</v>
      </c>
      <c r="I21" s="39" t="n">
        <v>0.333333333333333</v>
      </c>
      <c r="J21" s="39" t="n">
        <v>0.428571428571429</v>
      </c>
      <c r="K21" s="39" t="n">
        <f aca="false">IF(OR(I21="",J21=""),"",J21-I21)</f>
        <v>0.0952380952380952</v>
      </c>
    </row>
    <row r="22" customFormat="false" ht="15" hidden="false" customHeight="false" outlineLevel="0" collapsed="false">
      <c r="A22" s="18" t="s">
        <v>167</v>
      </c>
      <c r="B22" s="14" t="s">
        <v>168</v>
      </c>
      <c r="C22" s="18" t="s">
        <v>251</v>
      </c>
      <c r="D22" s="18" t="s">
        <v>201</v>
      </c>
      <c r="E22" s="18" t="s">
        <v>334</v>
      </c>
      <c r="F22" s="29" t="n">
        <v>33.24</v>
      </c>
      <c r="G22" s="29" t="n">
        <v>49.99</v>
      </c>
      <c r="H22" s="27" t="n">
        <f aca="false">G22/F22-1</f>
        <v>0.503910950661853</v>
      </c>
      <c r="I22" s="39" t="n">
        <v>0</v>
      </c>
      <c r="J22" s="39" t="n">
        <v>0.142857142857143</v>
      </c>
      <c r="K22" s="39" t="n">
        <f aca="false">IF(OR(I22="",J22=""),"",J22-I22)</f>
        <v>0.142857142857143</v>
      </c>
    </row>
    <row r="23" customFormat="false" ht="15" hidden="false" customHeight="false" outlineLevel="0" collapsed="false">
      <c r="A23" s="18" t="s">
        <v>167</v>
      </c>
      <c r="B23" s="14" t="s">
        <v>168</v>
      </c>
      <c r="C23" s="18" t="s">
        <v>248</v>
      </c>
      <c r="D23" s="18" t="s">
        <v>323</v>
      </c>
      <c r="E23" s="18" t="s">
        <v>324</v>
      </c>
      <c r="F23" s="29" t="n">
        <v>52.99</v>
      </c>
      <c r="G23" s="29" t="n">
        <v>50.34</v>
      </c>
      <c r="H23" s="27" t="n">
        <f aca="false">G23/F23-1</f>
        <v>-0.0500094357425929</v>
      </c>
      <c r="I23" s="39" t="n">
        <v>1</v>
      </c>
      <c r="J23" s="39" t="n">
        <v>3</v>
      </c>
      <c r="K23" s="39" t="n">
        <f aca="false">IF(OR(I23="",J23=""),"",J23-I23)</f>
        <v>2</v>
      </c>
    </row>
    <row r="24" customFormat="false" ht="15" hidden="false" customHeight="false" outlineLevel="0" collapsed="false">
      <c r="A24" s="18" t="s">
        <v>167</v>
      </c>
      <c r="B24" s="14" t="s">
        <v>168</v>
      </c>
      <c r="C24" s="18" t="s">
        <v>248</v>
      </c>
      <c r="D24" s="18" t="s">
        <v>323</v>
      </c>
      <c r="E24" s="18" t="s">
        <v>325</v>
      </c>
      <c r="F24" s="29" t="n">
        <v>50.34</v>
      </c>
      <c r="G24" s="29" t="n">
        <v>47.69</v>
      </c>
      <c r="H24" s="27" t="n">
        <f aca="false">G24/F24-1</f>
        <v>-0.05264203416766</v>
      </c>
      <c r="I24" s="39" t="n">
        <v>2.28571428571429</v>
      </c>
      <c r="J24" s="39" t="n">
        <v>3.42857142857143</v>
      </c>
      <c r="K24" s="39" t="n">
        <f aca="false">IF(OR(I24="",J24=""),"",J24-I24)</f>
        <v>1.14285714285714</v>
      </c>
    </row>
    <row r="25" customFormat="false" ht="15" hidden="false" customHeight="false" outlineLevel="0" collapsed="false">
      <c r="A25" s="18" t="s">
        <v>167</v>
      </c>
      <c r="B25" s="14" t="s">
        <v>168</v>
      </c>
      <c r="C25" s="18" t="s">
        <v>248</v>
      </c>
      <c r="D25" s="18" t="s">
        <v>323</v>
      </c>
      <c r="E25" s="18" t="s">
        <v>326</v>
      </c>
      <c r="F25" s="29" t="n">
        <v>47.69</v>
      </c>
      <c r="G25" s="29" t="n">
        <v>52.99</v>
      </c>
      <c r="H25" s="27" t="n">
        <f aca="false">G25/F25-1</f>
        <v>0.111134409729503</v>
      </c>
      <c r="I25" s="39" t="n">
        <v>4</v>
      </c>
      <c r="J25" s="39" t="n">
        <v>16</v>
      </c>
      <c r="K25" s="39" t="n">
        <f aca="false">IF(OR(I25="",J25=""),"",J25-I25)</f>
        <v>12</v>
      </c>
    </row>
    <row r="26" customFormat="false" ht="15" hidden="false" customHeight="false" outlineLevel="0" collapsed="false">
      <c r="A26" s="18" t="s">
        <v>67</v>
      </c>
      <c r="B26" s="14" t="s">
        <v>169</v>
      </c>
      <c r="C26" s="18" t="s">
        <v>66</v>
      </c>
      <c r="D26" s="18" t="s">
        <v>209</v>
      </c>
      <c r="E26" s="18" t="s">
        <v>335</v>
      </c>
      <c r="F26" s="29" t="n">
        <v>27.99</v>
      </c>
      <c r="G26" s="29" t="n">
        <v>29.99</v>
      </c>
      <c r="H26" s="27" t="n">
        <f aca="false">G26/F26-1</f>
        <v>0.0714540907466952</v>
      </c>
      <c r="I26" s="39" t="n">
        <v>0.285714285714286</v>
      </c>
      <c r="J26" s="39" t="n">
        <v>0</v>
      </c>
      <c r="K26" s="39" t="n">
        <f aca="false">IF(OR(I26="",J26=""),"",J26-I26)</f>
        <v>-0.285714285714286</v>
      </c>
    </row>
    <row r="27" customFormat="false" ht="15" hidden="false" customHeight="false" outlineLevel="0" collapsed="false">
      <c r="A27" s="18" t="s">
        <v>67</v>
      </c>
      <c r="B27" s="14" t="s">
        <v>169</v>
      </c>
      <c r="C27" s="18" t="s">
        <v>66</v>
      </c>
      <c r="D27" s="18" t="s">
        <v>320</v>
      </c>
      <c r="E27" s="18" t="s">
        <v>321</v>
      </c>
      <c r="F27" s="29" t="n">
        <v>37.51</v>
      </c>
      <c r="G27" s="29" t="n">
        <v>29.21</v>
      </c>
      <c r="H27" s="27" t="n">
        <f aca="false">G27/F27-1</f>
        <v>-0.221274326846174</v>
      </c>
      <c r="I27" s="39" t="n">
        <v>0</v>
      </c>
      <c r="J27" s="39" t="n">
        <v>0.142857142857143</v>
      </c>
      <c r="K27" s="39" t="n">
        <f aca="false">IF(OR(I27="",J27=""),"",J27-I27)</f>
        <v>0.142857142857143</v>
      </c>
    </row>
    <row r="28" customFormat="false" ht="15" hidden="false" customHeight="false" outlineLevel="0" collapsed="false">
      <c r="A28" s="18" t="s">
        <v>67</v>
      </c>
      <c r="B28" s="14" t="s">
        <v>169</v>
      </c>
      <c r="C28" s="18" t="s">
        <v>66</v>
      </c>
      <c r="D28" s="18" t="s">
        <v>320</v>
      </c>
      <c r="E28" s="18" t="s">
        <v>322</v>
      </c>
      <c r="F28" s="29" t="n">
        <v>29.21</v>
      </c>
      <c r="G28" s="29" t="n">
        <v>38.29</v>
      </c>
      <c r="H28" s="27" t="n">
        <f aca="false">G28/F28-1</f>
        <v>0.310852447791852</v>
      </c>
      <c r="I28" s="39" t="n">
        <v>0.285714285714286</v>
      </c>
      <c r="J28" s="39" t="n">
        <v>0</v>
      </c>
      <c r="K28" s="39" t="n">
        <f aca="false">IF(OR(I28="",J28=""),"",J28-I28)</f>
        <v>-0.285714285714286</v>
      </c>
    </row>
    <row r="29" customFormat="false" ht="15" hidden="false" customHeight="false" outlineLevel="0" collapsed="false">
      <c r="A29" s="18" t="s">
        <v>67</v>
      </c>
      <c r="B29" s="14" t="s">
        <v>169</v>
      </c>
      <c r="C29" s="18" t="s">
        <v>66</v>
      </c>
      <c r="D29" s="18" t="s">
        <v>323</v>
      </c>
      <c r="E29" s="18" t="s">
        <v>324</v>
      </c>
      <c r="F29" s="29" t="n">
        <v>29.99</v>
      </c>
      <c r="G29" s="29" t="n">
        <v>28.49</v>
      </c>
      <c r="H29" s="27" t="n">
        <f aca="false">G29/F29-1</f>
        <v>-0.0500166722240747</v>
      </c>
      <c r="I29" s="39" t="n">
        <v>6.85714285714286</v>
      </c>
      <c r="J29" s="39" t="n">
        <v>9.85714285714286</v>
      </c>
      <c r="K29" s="39" t="n">
        <f aca="false">IF(OR(I29="",J29=""),"",J29-I29)</f>
        <v>3</v>
      </c>
    </row>
    <row r="30" customFormat="false" ht="15" hidden="false" customHeight="false" outlineLevel="0" collapsed="false">
      <c r="A30" s="18" t="s">
        <v>67</v>
      </c>
      <c r="B30" s="14" t="s">
        <v>169</v>
      </c>
      <c r="C30" s="18" t="s">
        <v>66</v>
      </c>
      <c r="D30" s="18" t="s">
        <v>323</v>
      </c>
      <c r="E30" s="18" t="s">
        <v>325</v>
      </c>
      <c r="F30" s="29" t="n">
        <v>28.49</v>
      </c>
      <c r="G30" s="29" t="n">
        <v>26.99</v>
      </c>
      <c r="H30" s="27" t="n">
        <f aca="false">G30/F30-1</f>
        <v>-0.0526500526500526</v>
      </c>
      <c r="I30" s="39" t="n">
        <v>6.14285714285714</v>
      </c>
      <c r="J30" s="39" t="n">
        <v>16</v>
      </c>
      <c r="K30" s="39" t="n">
        <f aca="false">IF(OR(I30="",J30=""),"",J30-I30)</f>
        <v>9.85714285714286</v>
      </c>
    </row>
    <row r="31" customFormat="false" ht="15" hidden="false" customHeight="false" outlineLevel="0" collapsed="false">
      <c r="A31" s="18" t="s">
        <v>67</v>
      </c>
      <c r="B31" s="14" t="s">
        <v>169</v>
      </c>
      <c r="C31" s="18" t="s">
        <v>66</v>
      </c>
      <c r="D31" s="18" t="s">
        <v>323</v>
      </c>
      <c r="E31" s="18" t="s">
        <v>326</v>
      </c>
      <c r="F31" s="29" t="n">
        <v>26.99</v>
      </c>
      <c r="G31" s="29" t="n">
        <v>29.99</v>
      </c>
      <c r="H31" s="27" t="n">
        <f aca="false">G31/F31-1</f>
        <v>0.111152278621712</v>
      </c>
      <c r="I31" s="39" t="n">
        <v>18.1428571428571</v>
      </c>
      <c r="J31" s="39" t="n">
        <v>24.2857142857143</v>
      </c>
      <c r="K31" s="39" t="n">
        <f aca="false">IF(OR(I31="",J31=""),"",J31-I31)</f>
        <v>6.14285714285714</v>
      </c>
    </row>
    <row r="32" customFormat="false" ht="15" hidden="false" customHeight="false" outlineLevel="0" collapsed="false">
      <c r="A32" s="18" t="s">
        <v>67</v>
      </c>
      <c r="B32" s="14" t="s">
        <v>169</v>
      </c>
      <c r="C32" s="18" t="s">
        <v>134</v>
      </c>
      <c r="D32" s="18" t="s">
        <v>201</v>
      </c>
      <c r="E32" s="18" t="s">
        <v>327</v>
      </c>
      <c r="F32" s="29" t="n">
        <v>29.99</v>
      </c>
      <c r="G32" s="29" t="n">
        <v>20.99</v>
      </c>
      <c r="H32" s="27" t="n">
        <f aca="false">G32/F32-1</f>
        <v>-0.300100033344448</v>
      </c>
      <c r="I32" s="39" t="n">
        <v>6.42857142857143</v>
      </c>
      <c r="J32" s="39" t="n">
        <v>36.5714285714286</v>
      </c>
      <c r="K32" s="39" t="n">
        <f aca="false">IF(OR(I32="",J32=""),"",J32-I32)</f>
        <v>30.1428571428571</v>
      </c>
    </row>
    <row r="33" customFormat="false" ht="15" hidden="false" customHeight="false" outlineLevel="0" collapsed="false">
      <c r="A33" s="18" t="s">
        <v>67</v>
      </c>
      <c r="B33" s="14" t="s">
        <v>169</v>
      </c>
      <c r="C33" s="18" t="s">
        <v>134</v>
      </c>
      <c r="D33" s="18" t="s">
        <v>201</v>
      </c>
      <c r="E33" s="18" t="s">
        <v>324</v>
      </c>
      <c r="F33" s="29" t="n">
        <v>20.99</v>
      </c>
      <c r="G33" s="29" t="n">
        <v>29.99</v>
      </c>
      <c r="H33" s="27" t="n">
        <f aca="false">G33/F33-1</f>
        <v>0.428775607432111</v>
      </c>
      <c r="I33" s="39" t="n">
        <v>35.8571428571429</v>
      </c>
      <c r="J33" s="39" t="n">
        <v>8.28571428571429</v>
      </c>
      <c r="K33" s="39" t="n">
        <f aca="false">IF(OR(I33="",J33=""),"",J33-I33)</f>
        <v>-27.5714285714286</v>
      </c>
    </row>
    <row r="34" customFormat="false" ht="15" hidden="false" customHeight="false" outlineLevel="0" collapsed="false">
      <c r="A34" s="18" t="s">
        <v>67</v>
      </c>
      <c r="B34" s="14" t="s">
        <v>169</v>
      </c>
      <c r="C34" s="18" t="s">
        <v>134</v>
      </c>
      <c r="D34" s="18" t="s">
        <v>328</v>
      </c>
      <c r="E34" s="18" t="s">
        <v>336</v>
      </c>
      <c r="F34" s="29" t="n">
        <v>39.99</v>
      </c>
      <c r="G34" s="29" t="n">
        <v>30.99</v>
      </c>
      <c r="H34" s="27" t="n">
        <f aca="false">G34/F34-1</f>
        <v>-0.225056264066017</v>
      </c>
      <c r="I34" s="39" t="n">
        <v>0</v>
      </c>
      <c r="J34" s="39" t="n">
        <v>0.142857142857143</v>
      </c>
      <c r="K34" s="39" t="n">
        <f aca="false">IF(OR(I34="",J34=""),"",J34-I34)</f>
        <v>0.142857142857143</v>
      </c>
    </row>
    <row r="35" customFormat="false" ht="15" hidden="false" customHeight="false" outlineLevel="0" collapsed="false">
      <c r="A35" s="18" t="s">
        <v>67</v>
      </c>
      <c r="B35" s="14" t="s">
        <v>169</v>
      </c>
      <c r="C35" s="18" t="s">
        <v>134</v>
      </c>
      <c r="D35" s="18" t="s">
        <v>328</v>
      </c>
      <c r="E35" s="18" t="s">
        <v>329</v>
      </c>
      <c r="F35" s="29" t="n">
        <v>30.99</v>
      </c>
      <c r="G35" s="29" t="n">
        <v>20.99</v>
      </c>
      <c r="H35" s="27" t="n">
        <f aca="false">G35/F35-1</f>
        <v>-0.322684737011939</v>
      </c>
      <c r="I35" s="39" t="n">
        <v>0.714285714285714</v>
      </c>
      <c r="J35" s="39" t="n">
        <v>58.4285714285714</v>
      </c>
      <c r="K35" s="39" t="n">
        <f aca="false">IF(OR(I35="",J35=""),"",J35-I35)</f>
        <v>57.7142857142857</v>
      </c>
    </row>
    <row r="36" customFormat="false" ht="15" hidden="false" customHeight="false" outlineLevel="0" collapsed="false">
      <c r="A36" s="18" t="s">
        <v>67</v>
      </c>
      <c r="B36" s="14" t="s">
        <v>169</v>
      </c>
      <c r="C36" s="18" t="s">
        <v>225</v>
      </c>
      <c r="D36" s="18" t="s">
        <v>337</v>
      </c>
      <c r="E36" s="18" t="s">
        <v>338</v>
      </c>
      <c r="F36" s="29" t="n">
        <v>51.37</v>
      </c>
      <c r="G36" s="29" t="n">
        <v>46.16</v>
      </c>
      <c r="H36" s="27" t="n">
        <f aca="false">G36/F36-1</f>
        <v>-0.101421062877166</v>
      </c>
      <c r="I36" s="39" t="n">
        <v>0.285714285714286</v>
      </c>
      <c r="J36" s="39" t="n">
        <v>0</v>
      </c>
      <c r="K36" s="39" t="n">
        <f aca="false">IF(OR(I36="",J36=""),"",J36-I36)</f>
        <v>-0.285714285714286</v>
      </c>
    </row>
    <row r="37" customFormat="false" ht="15" hidden="false" customHeight="false" outlineLevel="0" collapsed="false">
      <c r="A37" s="18" t="s">
        <v>67</v>
      </c>
      <c r="B37" s="14" t="s">
        <v>169</v>
      </c>
      <c r="C37" s="18" t="s">
        <v>225</v>
      </c>
      <c r="D37" s="18" t="s">
        <v>209</v>
      </c>
      <c r="E37" s="18" t="s">
        <v>327</v>
      </c>
      <c r="F37" s="29" t="n">
        <v>52.99</v>
      </c>
      <c r="G37" s="29" t="n">
        <v>40.27</v>
      </c>
      <c r="H37" s="27" t="n">
        <f aca="false">G37/F37-1</f>
        <v>-0.240045291564446</v>
      </c>
      <c r="I37" s="39" t="n">
        <v>1</v>
      </c>
      <c r="J37" s="39" t="n">
        <v>1</v>
      </c>
      <c r="K37" s="39" t="n">
        <f aca="false">IF(OR(I37="",J37=""),"",J37-I37)</f>
        <v>0</v>
      </c>
    </row>
    <row r="38" customFormat="false" ht="15" hidden="false" customHeight="false" outlineLevel="0" collapsed="false">
      <c r="A38" s="18" t="s">
        <v>67</v>
      </c>
      <c r="B38" s="14" t="s">
        <v>169</v>
      </c>
      <c r="C38" s="18" t="s">
        <v>225</v>
      </c>
      <c r="D38" s="18" t="s">
        <v>209</v>
      </c>
      <c r="E38" s="18" t="s">
        <v>339</v>
      </c>
      <c r="F38" s="29" t="n">
        <v>39.99</v>
      </c>
      <c r="G38" s="29" t="n">
        <v>52.99</v>
      </c>
      <c r="H38" s="27" t="n">
        <f aca="false">G38/F38-1</f>
        <v>0.325081270317579</v>
      </c>
      <c r="I38" s="39" t="n">
        <v>1.28571428571429</v>
      </c>
      <c r="J38" s="39" t="n">
        <v>1</v>
      </c>
      <c r="K38" s="39" t="n">
        <f aca="false">IF(OR(I38="",J38=""),"",J38-I38)</f>
        <v>-0.285714285714286</v>
      </c>
    </row>
    <row r="39" customFormat="false" ht="15" hidden="false" customHeight="false" outlineLevel="0" collapsed="false">
      <c r="A39" s="18" t="s">
        <v>67</v>
      </c>
      <c r="B39" s="14" t="s">
        <v>169</v>
      </c>
      <c r="C39" s="18" t="s">
        <v>225</v>
      </c>
      <c r="D39" s="18" t="s">
        <v>209</v>
      </c>
      <c r="E39" s="18" t="s">
        <v>340</v>
      </c>
      <c r="F39" s="29" t="n">
        <v>52.99</v>
      </c>
      <c r="G39" s="29" t="n">
        <v>38.25</v>
      </c>
      <c r="H39" s="27" t="n">
        <f aca="false">G39/F39-1</f>
        <v>-0.278165691639932</v>
      </c>
      <c r="I39" s="39" t="n">
        <v>1.28571428571429</v>
      </c>
      <c r="J39" s="39" t="n">
        <v>1.28571428571429</v>
      </c>
      <c r="K39" s="39" t="n">
        <f aca="false">IF(OR(I39="",J39=""),"",J39-I39)</f>
        <v>0</v>
      </c>
    </row>
    <row r="40" customFormat="false" ht="15" hidden="false" customHeight="false" outlineLevel="0" collapsed="false">
      <c r="A40" s="18" t="s">
        <v>67</v>
      </c>
      <c r="B40" s="14" t="s">
        <v>169</v>
      </c>
      <c r="C40" s="18" t="s">
        <v>225</v>
      </c>
      <c r="D40" s="18" t="s">
        <v>209</v>
      </c>
      <c r="E40" s="18" t="s">
        <v>341</v>
      </c>
      <c r="F40" s="29" t="n">
        <v>38.25</v>
      </c>
      <c r="G40" s="29" t="n">
        <v>52.99</v>
      </c>
      <c r="H40" s="27" t="n">
        <f aca="false">G40/F40-1</f>
        <v>0.385359477124183</v>
      </c>
      <c r="I40" s="39" t="n">
        <v>1.28571428571429</v>
      </c>
      <c r="J40" s="39" t="n">
        <v>1.57142857142857</v>
      </c>
      <c r="K40" s="39" t="n">
        <f aca="false">IF(OR(I40="",J40=""),"",J40-I40)</f>
        <v>0.285714285714285</v>
      </c>
    </row>
    <row r="41" customFormat="false" ht="15" hidden="false" customHeight="false" outlineLevel="0" collapsed="false">
      <c r="A41" s="18" t="s">
        <v>67</v>
      </c>
      <c r="B41" s="14" t="s">
        <v>169</v>
      </c>
      <c r="C41" s="18" t="s">
        <v>225</v>
      </c>
      <c r="D41" s="18" t="s">
        <v>209</v>
      </c>
      <c r="E41" s="18" t="s">
        <v>342</v>
      </c>
      <c r="F41" s="29" t="n">
        <v>52.99</v>
      </c>
      <c r="G41" s="29" t="n">
        <v>35.23</v>
      </c>
      <c r="H41" s="27" t="n">
        <f aca="false">G41/F41-1</f>
        <v>-0.335157576901302</v>
      </c>
      <c r="I41" s="39" t="n">
        <v>1</v>
      </c>
      <c r="J41" s="39" t="n">
        <v>5.85714285714286</v>
      </c>
      <c r="K41" s="39" t="n">
        <f aca="false">IF(OR(I41="",J41=""),"",J41-I41)</f>
        <v>4.85714285714286</v>
      </c>
    </row>
    <row r="42" customFormat="false" ht="15" hidden="false" customHeight="false" outlineLevel="0" collapsed="false">
      <c r="A42" s="18" t="s">
        <v>67</v>
      </c>
      <c r="B42" s="14" t="s">
        <v>169</v>
      </c>
      <c r="C42" s="18" t="s">
        <v>225</v>
      </c>
      <c r="D42" s="18" t="s">
        <v>209</v>
      </c>
      <c r="E42" s="18" t="s">
        <v>343</v>
      </c>
      <c r="F42" s="29" t="n">
        <v>34.99</v>
      </c>
      <c r="G42" s="29" t="n">
        <v>33.24</v>
      </c>
      <c r="H42" s="27" t="n">
        <f aca="false">G42/F42-1</f>
        <v>-0.0500142897970849</v>
      </c>
      <c r="I42" s="39" t="n">
        <v>8.28571428571429</v>
      </c>
      <c r="J42" s="39" t="n">
        <v>6.42857142857143</v>
      </c>
      <c r="K42" s="39" t="n">
        <f aca="false">IF(OR(I42="",J42=""),"",J42-I42)</f>
        <v>-1.85714285714286</v>
      </c>
    </row>
    <row r="43" customFormat="false" ht="15" hidden="false" customHeight="false" outlineLevel="0" collapsed="false">
      <c r="A43" s="18" t="s">
        <v>67</v>
      </c>
      <c r="B43" s="14" t="s">
        <v>169</v>
      </c>
      <c r="C43" s="18" t="s">
        <v>225</v>
      </c>
      <c r="D43" s="18" t="s">
        <v>209</v>
      </c>
      <c r="E43" s="18" t="s">
        <v>344</v>
      </c>
      <c r="F43" s="29" t="n">
        <v>33.24</v>
      </c>
      <c r="G43" s="29" t="n">
        <v>52.99</v>
      </c>
      <c r="H43" s="27" t="n">
        <f aca="false">G43/F43-1</f>
        <v>0.594163658243081</v>
      </c>
      <c r="I43" s="39" t="n">
        <v>11.7142857142857</v>
      </c>
      <c r="J43" s="39" t="n">
        <v>4</v>
      </c>
      <c r="K43" s="39" t="n">
        <f aca="false">IF(OR(I43="",J43=""),"",J43-I43)</f>
        <v>-7.71428571428571</v>
      </c>
    </row>
    <row r="44" customFormat="false" ht="15" hidden="false" customHeight="false" outlineLevel="0" collapsed="false">
      <c r="A44" s="18" t="s">
        <v>67</v>
      </c>
      <c r="B44" s="14" t="s">
        <v>169</v>
      </c>
      <c r="C44" s="18" t="s">
        <v>225</v>
      </c>
      <c r="D44" s="18" t="s">
        <v>209</v>
      </c>
      <c r="E44" s="18" t="s">
        <v>345</v>
      </c>
      <c r="F44" s="29" t="n">
        <v>52.99</v>
      </c>
      <c r="G44" s="29" t="n">
        <v>31.57</v>
      </c>
      <c r="H44" s="27" t="n">
        <f aca="false">G44/F44-1</f>
        <v>-0.404227212681638</v>
      </c>
      <c r="I44" s="39" t="n">
        <v>3.57142857142857</v>
      </c>
      <c r="J44" s="39" t="n">
        <v>7.4</v>
      </c>
      <c r="K44" s="39" t="n">
        <f aca="false">IF(OR(I44="",J44=""),"",J44-I44)</f>
        <v>3.82857142857143</v>
      </c>
    </row>
    <row r="45" customFormat="false" ht="15" hidden="false" customHeight="false" outlineLevel="0" collapsed="false">
      <c r="A45" s="18" t="s">
        <v>67</v>
      </c>
      <c r="B45" s="14" t="s">
        <v>169</v>
      </c>
      <c r="C45" s="18" t="s">
        <v>225</v>
      </c>
      <c r="D45" s="18" t="s">
        <v>320</v>
      </c>
      <c r="E45" s="18" t="s">
        <v>322</v>
      </c>
      <c r="F45" s="29" t="n">
        <v>45.12</v>
      </c>
      <c r="G45" s="29" t="n">
        <v>48.59</v>
      </c>
      <c r="H45" s="27" t="n">
        <f aca="false">G45/F45-1</f>
        <v>0.0769060283687946</v>
      </c>
      <c r="I45" s="39" t="n">
        <v>0.428571428571429</v>
      </c>
      <c r="J45" s="39" t="n">
        <v>0</v>
      </c>
      <c r="K45" s="39" t="n">
        <f aca="false">IF(OR(I45="",J45=""),"",J45-I45)</f>
        <v>-0.428571428571429</v>
      </c>
    </row>
    <row r="46" customFormat="false" ht="15" hidden="false" customHeight="false" outlineLevel="0" collapsed="false">
      <c r="A46" s="18" t="s">
        <v>67</v>
      </c>
      <c r="B46" s="14" t="s">
        <v>169</v>
      </c>
      <c r="C46" s="18" t="s">
        <v>249</v>
      </c>
      <c r="D46" s="18" t="s">
        <v>328</v>
      </c>
      <c r="E46" s="18" t="s">
        <v>329</v>
      </c>
      <c r="F46" s="29" t="n">
        <v>54.99</v>
      </c>
      <c r="G46" s="29" t="n">
        <v>49.49</v>
      </c>
      <c r="H46" s="27" t="n">
        <f aca="false">G46/F46-1</f>
        <v>-0.100018185124568</v>
      </c>
      <c r="I46" s="39" t="n">
        <v>0.714285714285714</v>
      </c>
      <c r="J46" s="39" t="n">
        <v>1.14285714285714</v>
      </c>
      <c r="K46" s="39" t="n">
        <f aca="false">IF(OR(I46="",J46=""),"",J46-I46)</f>
        <v>0.428571428571429</v>
      </c>
    </row>
    <row r="47" customFormat="false" ht="15" hidden="false" customHeight="false" outlineLevel="0" collapsed="false">
      <c r="A47" s="18" t="s">
        <v>67</v>
      </c>
      <c r="B47" s="14" t="s">
        <v>169</v>
      </c>
      <c r="C47" s="18" t="s">
        <v>252</v>
      </c>
      <c r="D47" s="18" t="s">
        <v>201</v>
      </c>
      <c r="E47" s="18" t="s">
        <v>331</v>
      </c>
      <c r="F47" s="29" t="n">
        <v>54.99</v>
      </c>
      <c r="G47" s="29" t="n">
        <v>52.24</v>
      </c>
      <c r="H47" s="27" t="n">
        <f aca="false">G47/F47-1</f>
        <v>-0.050009092562284</v>
      </c>
      <c r="I47" s="39" t="n">
        <v>2.66666666666667</v>
      </c>
      <c r="J47" s="39" t="n">
        <v>0.285714285714286</v>
      </c>
      <c r="K47" s="39" t="n">
        <f aca="false">IF(OR(I47="",J47=""),"",J47-I47)</f>
        <v>-2.38095238095238</v>
      </c>
    </row>
    <row r="48" customFormat="false" ht="15" hidden="false" customHeight="false" outlineLevel="0" collapsed="false">
      <c r="A48" s="18" t="s">
        <v>67</v>
      </c>
      <c r="B48" s="14" t="s">
        <v>169</v>
      </c>
      <c r="C48" s="18" t="s">
        <v>252</v>
      </c>
      <c r="D48" s="18" t="s">
        <v>201</v>
      </c>
      <c r="E48" s="18" t="s">
        <v>346</v>
      </c>
      <c r="F48" s="29" t="n">
        <v>49.99</v>
      </c>
      <c r="G48" s="29" t="n">
        <v>46.99</v>
      </c>
      <c r="H48" s="27" t="n">
        <f aca="false">G48/F48-1</f>
        <v>-0.0600120024004801</v>
      </c>
      <c r="I48" s="39" t="n">
        <v>0.285714285714286</v>
      </c>
      <c r="J48" s="39" t="n">
        <v>0.285714285714286</v>
      </c>
      <c r="K48" s="39" t="n">
        <f aca="false">IF(OR(I48="",J48=""),"",J48-I48)</f>
        <v>0</v>
      </c>
    </row>
    <row r="49" customFormat="false" ht="15" hidden="false" customHeight="false" outlineLevel="0" collapsed="false">
      <c r="A49" s="18" t="s">
        <v>67</v>
      </c>
      <c r="B49" s="14" t="s">
        <v>169</v>
      </c>
      <c r="C49" s="18" t="s">
        <v>252</v>
      </c>
      <c r="D49" s="18" t="s">
        <v>201</v>
      </c>
      <c r="E49" s="18" t="s">
        <v>347</v>
      </c>
      <c r="F49" s="29" t="n">
        <v>44.99</v>
      </c>
      <c r="G49" s="29" t="n">
        <v>54.99</v>
      </c>
      <c r="H49" s="27" t="n">
        <f aca="false">G49/F49-1</f>
        <v>0.222271615914648</v>
      </c>
      <c r="I49" s="39" t="n">
        <v>0.285714285714286</v>
      </c>
      <c r="J49" s="39" t="n">
        <v>0</v>
      </c>
      <c r="K49" s="39" t="n">
        <f aca="false">IF(OR(I49="",J49=""),"",J49-I49)</f>
        <v>-0.285714285714286</v>
      </c>
    </row>
    <row r="50" customFormat="false" ht="15" hidden="false" customHeight="false" outlineLevel="0" collapsed="false">
      <c r="A50" s="18" t="s">
        <v>67</v>
      </c>
      <c r="B50" s="14" t="s">
        <v>169</v>
      </c>
      <c r="C50" s="18" t="s">
        <v>252</v>
      </c>
      <c r="D50" s="18" t="s">
        <v>201</v>
      </c>
      <c r="E50" s="18" t="s">
        <v>324</v>
      </c>
      <c r="F50" s="29" t="n">
        <v>54.99</v>
      </c>
      <c r="G50" s="29" t="n">
        <v>42.74</v>
      </c>
      <c r="H50" s="27" t="n">
        <f aca="false">G50/F50-1</f>
        <v>-0.222767775959265</v>
      </c>
      <c r="I50" s="39" t="n">
        <v>0.285714285714286</v>
      </c>
      <c r="J50" s="39" t="n">
        <v>0</v>
      </c>
      <c r="K50" s="39" t="n">
        <f aca="false">IF(OR(I50="",J50=""),"",J50-I50)</f>
        <v>-0.285714285714286</v>
      </c>
    </row>
    <row r="51" customFormat="false" ht="15" hidden="false" customHeight="false" outlineLevel="0" collapsed="false">
      <c r="A51" s="18" t="s">
        <v>67</v>
      </c>
      <c r="B51" s="14" t="s">
        <v>169</v>
      </c>
      <c r="C51" s="18" t="s">
        <v>252</v>
      </c>
      <c r="D51" s="18" t="s">
        <v>201</v>
      </c>
      <c r="E51" s="18" t="s">
        <v>335</v>
      </c>
      <c r="F51" s="29" t="n">
        <v>41.99</v>
      </c>
      <c r="G51" s="29" t="n">
        <v>54.99</v>
      </c>
      <c r="H51" s="27" t="n">
        <f aca="false">G51/F51-1</f>
        <v>0.309597523219814</v>
      </c>
      <c r="I51" s="39" t="n">
        <v>0.285714285714286</v>
      </c>
      <c r="J51" s="39" t="n">
        <v>0.285714285714286</v>
      </c>
      <c r="K51" s="39" t="n">
        <f aca="false">IF(OR(I51="",J51=""),"",J51-I51)</f>
        <v>0</v>
      </c>
    </row>
    <row r="52" customFormat="false" ht="15" hidden="false" customHeight="false" outlineLevel="0" collapsed="false">
      <c r="A52" s="18" t="s">
        <v>67</v>
      </c>
      <c r="B52" s="14" t="s">
        <v>169</v>
      </c>
      <c r="C52" s="18" t="s">
        <v>252</v>
      </c>
      <c r="D52" s="18" t="s">
        <v>201</v>
      </c>
      <c r="E52" s="18" t="s">
        <v>338</v>
      </c>
      <c r="F52" s="29" t="n">
        <v>54.99</v>
      </c>
      <c r="G52" s="29" t="n">
        <v>47.49</v>
      </c>
      <c r="H52" s="27" t="n">
        <f aca="false">G52/F52-1</f>
        <v>-0.136388434260775</v>
      </c>
      <c r="I52" s="39" t="n">
        <v>0.142857142857143</v>
      </c>
      <c r="J52" s="39" t="n">
        <v>0.285714285714286</v>
      </c>
      <c r="K52" s="39" t="n">
        <f aca="false">IF(OR(I52="",J52=""),"",J52-I52)</f>
        <v>0.142857142857143</v>
      </c>
    </row>
    <row r="53" customFormat="false" ht="15" hidden="false" customHeight="false" outlineLevel="0" collapsed="false">
      <c r="A53" s="18" t="s">
        <v>67</v>
      </c>
      <c r="B53" s="14" t="s">
        <v>169</v>
      </c>
      <c r="C53" s="18" t="s">
        <v>252</v>
      </c>
      <c r="D53" s="18" t="s">
        <v>201</v>
      </c>
      <c r="E53" s="18" t="s">
        <v>344</v>
      </c>
      <c r="F53" s="29" t="n">
        <v>47.49</v>
      </c>
      <c r="G53" s="29" t="n">
        <v>45.11</v>
      </c>
      <c r="H53" s="27" t="n">
        <f aca="false">G53/F53-1</f>
        <v>-0.0501158138555486</v>
      </c>
      <c r="I53" s="39" t="n">
        <v>0.285714285714286</v>
      </c>
      <c r="J53" s="39" t="n">
        <v>0</v>
      </c>
      <c r="K53" s="39" t="n">
        <f aca="false">IF(OR(I53="",J53=""),"",J53-I53)</f>
        <v>-0.285714285714286</v>
      </c>
    </row>
    <row r="54" customFormat="false" ht="15" hidden="false" customHeight="false" outlineLevel="0" collapsed="false">
      <c r="A54" s="18" t="s">
        <v>104</v>
      </c>
      <c r="B54" s="14" t="s">
        <v>172</v>
      </c>
      <c r="C54" s="18" t="s">
        <v>206</v>
      </c>
      <c r="D54" s="18" t="s">
        <v>209</v>
      </c>
      <c r="E54" s="18" t="s">
        <v>348</v>
      </c>
      <c r="F54" s="29" t="n">
        <v>31.99</v>
      </c>
      <c r="G54" s="29" t="n">
        <v>35.99</v>
      </c>
      <c r="H54" s="27" t="n">
        <f aca="false">G54/F54-1</f>
        <v>0.125039074710847</v>
      </c>
      <c r="I54" s="39" t="n">
        <v>2.71428571428571</v>
      </c>
      <c r="J54" s="39" t="n">
        <v>2.85714285714286</v>
      </c>
      <c r="K54" s="39" t="n">
        <f aca="false">IF(OR(I54="",J54=""),"",J54-I54)</f>
        <v>0.142857142857143</v>
      </c>
    </row>
    <row r="55" customFormat="false" ht="15" hidden="false" customHeight="false" outlineLevel="0" collapsed="false">
      <c r="A55" s="18" t="s">
        <v>104</v>
      </c>
      <c r="B55" s="14" t="s">
        <v>172</v>
      </c>
      <c r="C55" s="18" t="s">
        <v>205</v>
      </c>
      <c r="D55" s="18" t="s">
        <v>201</v>
      </c>
      <c r="E55" s="18" t="s">
        <v>327</v>
      </c>
      <c r="F55" s="29" t="n">
        <v>35.99</v>
      </c>
      <c r="G55" s="29" t="n">
        <v>32.39</v>
      </c>
      <c r="H55" s="27" t="n">
        <f aca="false">G55/F55-1</f>
        <v>-0.100027785495971</v>
      </c>
      <c r="I55" s="39" t="n">
        <v>6.57142857142857</v>
      </c>
      <c r="J55" s="39" t="n">
        <v>6.71428571428571</v>
      </c>
      <c r="K55" s="39" t="n">
        <f aca="false">IF(OR(I55="",J55=""),"",J55-I55)</f>
        <v>0.142857142857143</v>
      </c>
    </row>
    <row r="56" customFormat="false" ht="15" hidden="false" customHeight="false" outlineLevel="0" collapsed="false">
      <c r="A56" s="18" t="s">
        <v>104</v>
      </c>
      <c r="B56" s="14" t="s">
        <v>172</v>
      </c>
      <c r="C56" s="18" t="s">
        <v>205</v>
      </c>
      <c r="D56" s="18" t="s">
        <v>201</v>
      </c>
      <c r="E56" s="18" t="s">
        <v>324</v>
      </c>
      <c r="F56" s="29" t="n">
        <v>32.39</v>
      </c>
      <c r="G56" s="29" t="n">
        <v>35.99</v>
      </c>
      <c r="H56" s="27" t="n">
        <f aca="false">G56/F56-1</f>
        <v>0.111145415251621</v>
      </c>
      <c r="I56" s="39" t="n">
        <v>4.85714285714286</v>
      </c>
      <c r="J56" s="39" t="n">
        <v>4.42857142857143</v>
      </c>
      <c r="K56" s="39" t="n">
        <f aca="false">IF(OR(I56="",J56=""),"",J56-I56)</f>
        <v>-0.428571428571428</v>
      </c>
    </row>
    <row r="57" customFormat="false" ht="15" hidden="false" customHeight="false" outlineLevel="0" collapsed="false">
      <c r="A57" s="18" t="s">
        <v>104</v>
      </c>
      <c r="B57" s="14" t="s">
        <v>172</v>
      </c>
      <c r="C57" s="18" t="s">
        <v>205</v>
      </c>
      <c r="D57" s="18" t="s">
        <v>328</v>
      </c>
      <c r="E57" s="18" t="s">
        <v>329</v>
      </c>
      <c r="F57" s="29" t="n">
        <v>35.99</v>
      </c>
      <c r="G57" s="29" t="n">
        <v>32.39</v>
      </c>
      <c r="H57" s="27" t="n">
        <f aca="false">G57/F57-1</f>
        <v>-0.100027785495971</v>
      </c>
      <c r="I57" s="39" t="n">
        <v>1.42857142857143</v>
      </c>
      <c r="J57" s="39" t="n">
        <v>5.71428571428571</v>
      </c>
      <c r="K57" s="39" t="n">
        <f aca="false">IF(OR(I57="",J57=""),"",J57-I57)</f>
        <v>4.28571428571429</v>
      </c>
    </row>
    <row r="58" customFormat="false" ht="15" hidden="false" customHeight="false" outlineLevel="0" collapsed="false">
      <c r="A58" s="18" t="s">
        <v>104</v>
      </c>
      <c r="B58" s="14" t="s">
        <v>172</v>
      </c>
      <c r="C58" s="18" t="s">
        <v>218</v>
      </c>
      <c r="D58" s="18" t="s">
        <v>233</v>
      </c>
      <c r="E58" s="18" t="s">
        <v>349</v>
      </c>
      <c r="F58" s="29" t="n">
        <v>35.99</v>
      </c>
      <c r="G58" s="29" t="n">
        <v>30.59</v>
      </c>
      <c r="H58" s="27" t="n">
        <f aca="false">G58/F58-1</f>
        <v>-0.150041678243957</v>
      </c>
      <c r="I58" s="39" t="n">
        <v>1.14285714285714</v>
      </c>
      <c r="J58" s="39" t="n">
        <v>1.14285714285714</v>
      </c>
      <c r="K58" s="39" t="n">
        <f aca="false">IF(OR(I58="",J58=""),"",J58-I58)</f>
        <v>0</v>
      </c>
    </row>
    <row r="59" customFormat="false" ht="15" hidden="false" customHeight="false" outlineLevel="0" collapsed="false">
      <c r="A59" s="18" t="s">
        <v>104</v>
      </c>
      <c r="B59" s="14" t="s">
        <v>172</v>
      </c>
      <c r="C59" s="18" t="s">
        <v>224</v>
      </c>
      <c r="D59" s="18" t="s">
        <v>201</v>
      </c>
      <c r="E59" s="18" t="s">
        <v>331</v>
      </c>
      <c r="F59" s="29" t="n">
        <v>35.99</v>
      </c>
      <c r="G59" s="29" t="n">
        <v>23.93</v>
      </c>
      <c r="H59" s="27" t="n">
        <f aca="false">G59/F59-1</f>
        <v>-0.335093081411503</v>
      </c>
      <c r="I59" s="39" t="n">
        <v>2</v>
      </c>
      <c r="J59" s="39" t="n">
        <v>2.14285714285714</v>
      </c>
      <c r="K59" s="39" t="n">
        <f aca="false">IF(OR(I59="",J59=""),"",J59-I59)</f>
        <v>0.142857142857143</v>
      </c>
    </row>
    <row r="60" customFormat="false" ht="15" hidden="false" customHeight="false" outlineLevel="0" collapsed="false">
      <c r="A60" s="18" t="s">
        <v>104</v>
      </c>
      <c r="B60" s="14" t="s">
        <v>172</v>
      </c>
      <c r="C60" s="18" t="s">
        <v>224</v>
      </c>
      <c r="D60" s="18" t="s">
        <v>201</v>
      </c>
      <c r="E60" s="18" t="s">
        <v>350</v>
      </c>
      <c r="F60" s="29" t="n">
        <v>23.93</v>
      </c>
      <c r="G60" s="29" t="n">
        <v>35.99</v>
      </c>
      <c r="H60" s="27" t="n">
        <f aca="false">G60/F60-1</f>
        <v>0.503969912244045</v>
      </c>
      <c r="I60" s="39" t="n">
        <v>1.71428571428571</v>
      </c>
      <c r="J60" s="39" t="n">
        <v>0.714285714285714</v>
      </c>
      <c r="K60" s="39" t="n">
        <f aca="false">IF(OR(I60="",J60=""),"",J60-I60)</f>
        <v>-1</v>
      </c>
    </row>
    <row r="61" customFormat="false" ht="15" hidden="false" customHeight="false" outlineLevel="0" collapsed="false">
      <c r="A61" s="18" t="s">
        <v>104</v>
      </c>
      <c r="B61" s="14" t="s">
        <v>172</v>
      </c>
      <c r="C61" s="18" t="s">
        <v>224</v>
      </c>
      <c r="D61" s="18" t="s">
        <v>201</v>
      </c>
      <c r="E61" s="18" t="s">
        <v>325</v>
      </c>
      <c r="F61" s="29" t="n">
        <v>35.99</v>
      </c>
      <c r="G61" s="29" t="n">
        <v>21.99</v>
      </c>
      <c r="H61" s="27" t="n">
        <f aca="false">G61/F61-1</f>
        <v>-0.388996943595443</v>
      </c>
      <c r="I61" s="39" t="n">
        <v>1.28571428571429</v>
      </c>
      <c r="J61" s="39" t="n">
        <v>1.14285714285714</v>
      </c>
      <c r="K61" s="39" t="n">
        <f aca="false">IF(OR(I61="",J61=""),"",J61-I61)</f>
        <v>-0.142857142857143</v>
      </c>
    </row>
    <row r="62" customFormat="false" ht="15" hidden="false" customHeight="false" outlineLevel="0" collapsed="false">
      <c r="A62" s="18" t="s">
        <v>104</v>
      </c>
      <c r="B62" s="14" t="s">
        <v>172</v>
      </c>
      <c r="C62" s="18" t="s">
        <v>224</v>
      </c>
      <c r="D62" s="18" t="s">
        <v>201</v>
      </c>
      <c r="E62" s="18" t="s">
        <v>335</v>
      </c>
      <c r="F62" s="29" t="n">
        <v>21.99</v>
      </c>
      <c r="G62" s="29" t="n">
        <v>35.99</v>
      </c>
      <c r="H62" s="27" t="n">
        <f aca="false">G62/F62-1</f>
        <v>0.636653024101865</v>
      </c>
      <c r="I62" s="39" t="n">
        <v>1.14285714285714</v>
      </c>
      <c r="J62" s="39" t="n">
        <v>3.42857142857143</v>
      </c>
      <c r="K62" s="39" t="n">
        <f aca="false">IF(OR(I62="",J62=""),"",J62-I62)</f>
        <v>2.28571428571428</v>
      </c>
    </row>
    <row r="63" customFormat="false" ht="15" hidden="false" customHeight="false" outlineLevel="0" collapsed="false">
      <c r="A63" s="18" t="s">
        <v>104</v>
      </c>
      <c r="B63" s="14" t="s">
        <v>172</v>
      </c>
      <c r="C63" s="18" t="s">
        <v>224</v>
      </c>
      <c r="D63" s="18" t="s">
        <v>201</v>
      </c>
      <c r="E63" s="18" t="s">
        <v>338</v>
      </c>
      <c r="F63" s="29" t="n">
        <v>35.99</v>
      </c>
      <c r="G63" s="29" t="n">
        <v>22.73</v>
      </c>
      <c r="H63" s="27" t="n">
        <f aca="false">G63/F63-1</f>
        <v>-0.368435676576827</v>
      </c>
      <c r="I63" s="39" t="n">
        <v>3.28571428571429</v>
      </c>
      <c r="J63" s="39" t="n">
        <v>2.57142857142857</v>
      </c>
      <c r="K63" s="39" t="n">
        <f aca="false">IF(OR(I63="",J63=""),"",J63-I63)</f>
        <v>-0.714285714285714</v>
      </c>
    </row>
    <row r="64" customFormat="false" ht="15" hidden="false" customHeight="false" outlineLevel="0" collapsed="false">
      <c r="A64" s="18" t="s">
        <v>104</v>
      </c>
      <c r="B64" s="14" t="s">
        <v>172</v>
      </c>
      <c r="C64" s="18" t="s">
        <v>257</v>
      </c>
      <c r="D64" s="18" t="s">
        <v>209</v>
      </c>
      <c r="E64" s="18" t="s">
        <v>340</v>
      </c>
      <c r="F64" s="29" t="n">
        <v>46.99</v>
      </c>
      <c r="G64" s="29" t="n">
        <v>43.99</v>
      </c>
      <c r="H64" s="27" t="n">
        <f aca="false">G64/F64-1</f>
        <v>-0.0638433709299852</v>
      </c>
      <c r="I64" s="39" t="n">
        <v>0.428571428571429</v>
      </c>
      <c r="J64" s="39" t="n">
        <v>0.571428571428571</v>
      </c>
      <c r="K64" s="39" t="n">
        <f aca="false">IF(OR(I64="",J64=""),"",J64-I64)</f>
        <v>0.142857142857143</v>
      </c>
    </row>
    <row r="65" customFormat="false" ht="15" hidden="false" customHeight="false" outlineLevel="0" collapsed="false">
      <c r="A65" s="18" t="s">
        <v>104</v>
      </c>
      <c r="B65" s="14" t="s">
        <v>172</v>
      </c>
      <c r="C65" s="18" t="s">
        <v>257</v>
      </c>
      <c r="D65" s="18" t="s">
        <v>209</v>
      </c>
      <c r="E65" s="18" t="s">
        <v>351</v>
      </c>
      <c r="F65" s="29" t="n">
        <v>42.99</v>
      </c>
      <c r="G65" s="29" t="n">
        <v>35.23</v>
      </c>
      <c r="H65" s="27" t="n">
        <f aca="false">G65/F65-1</f>
        <v>-0.18050709467318</v>
      </c>
      <c r="I65" s="39" t="n">
        <v>1.57142857142857</v>
      </c>
      <c r="J65" s="39" t="n">
        <v>1.14285714285714</v>
      </c>
      <c r="K65" s="39" t="n">
        <f aca="false">IF(OR(I65="",J65=""),"",J65-I65)</f>
        <v>-0.428571428571428</v>
      </c>
    </row>
    <row r="66" customFormat="false" ht="15" hidden="false" customHeight="false" outlineLevel="0" collapsed="false">
      <c r="A66" s="18" t="s">
        <v>104</v>
      </c>
      <c r="B66" s="14" t="s">
        <v>172</v>
      </c>
      <c r="C66" s="18" t="s">
        <v>257</v>
      </c>
      <c r="D66" s="18" t="s">
        <v>209</v>
      </c>
      <c r="E66" s="18" t="s">
        <v>326</v>
      </c>
      <c r="F66" s="29" t="n">
        <v>35.23</v>
      </c>
      <c r="G66" s="29" t="n">
        <v>52.99</v>
      </c>
      <c r="H66" s="27" t="n">
        <f aca="false">G66/F66-1</f>
        <v>0.504115810388873</v>
      </c>
      <c r="I66" s="39" t="n">
        <v>1.71428571428571</v>
      </c>
      <c r="J66" s="39" t="n">
        <v>0.142857142857143</v>
      </c>
      <c r="K66" s="39" t="n">
        <f aca="false">IF(OR(I66="",J66=""),"",J66-I66)</f>
        <v>-1.57142857142857</v>
      </c>
    </row>
    <row r="67" customFormat="false" ht="15" hidden="false" customHeight="false" outlineLevel="0" collapsed="false">
      <c r="A67" s="18" t="s">
        <v>104</v>
      </c>
      <c r="B67" s="14" t="s">
        <v>172</v>
      </c>
      <c r="C67" s="18" t="s">
        <v>257</v>
      </c>
      <c r="D67" s="18" t="s">
        <v>209</v>
      </c>
      <c r="E67" s="18" t="s">
        <v>352</v>
      </c>
      <c r="F67" s="29" t="n">
        <v>52.99</v>
      </c>
      <c r="G67" s="29" t="n">
        <v>49.99</v>
      </c>
      <c r="H67" s="27" t="n">
        <f aca="false">G67/F67-1</f>
        <v>-0.0566144555576524</v>
      </c>
      <c r="I67" s="39" t="n">
        <v>0.285714285714286</v>
      </c>
      <c r="J67" s="39" t="n">
        <v>0.142857142857143</v>
      </c>
      <c r="K67" s="39" t="n">
        <f aca="false">IF(OR(I67="",J67=""),"",J67-I67)</f>
        <v>-0.142857142857143</v>
      </c>
    </row>
    <row r="68" customFormat="false" ht="15" hidden="false" customHeight="false" outlineLevel="0" collapsed="false">
      <c r="A68" s="18" t="s">
        <v>104</v>
      </c>
      <c r="B68" s="14" t="s">
        <v>172</v>
      </c>
      <c r="C68" s="18" t="s">
        <v>103</v>
      </c>
      <c r="D68" s="18" t="s">
        <v>209</v>
      </c>
      <c r="E68" s="18" t="s">
        <v>353</v>
      </c>
      <c r="F68" s="29" t="n">
        <v>35.99</v>
      </c>
      <c r="G68" s="29" t="n">
        <v>32.99</v>
      </c>
      <c r="H68" s="27" t="n">
        <f aca="false">G68/F68-1</f>
        <v>-0.0833564879133093</v>
      </c>
      <c r="I68" s="39" t="n">
        <v>1</v>
      </c>
      <c r="J68" s="39" t="n">
        <v>0.428571428571429</v>
      </c>
      <c r="K68" s="39" t="n">
        <f aca="false">IF(OR(I68="",J68=""),"",J68-I68)</f>
        <v>-0.571428571428572</v>
      </c>
    </row>
    <row r="69" customFormat="false" ht="15" hidden="false" customHeight="false" outlineLevel="0" collapsed="false">
      <c r="A69" s="18" t="s">
        <v>104</v>
      </c>
      <c r="B69" s="14" t="s">
        <v>172</v>
      </c>
      <c r="C69" s="18" t="s">
        <v>103</v>
      </c>
      <c r="D69" s="18" t="s">
        <v>209</v>
      </c>
      <c r="E69" s="18" t="s">
        <v>349</v>
      </c>
      <c r="F69" s="29" t="n">
        <v>31.99</v>
      </c>
      <c r="G69" s="29" t="n">
        <v>34.19</v>
      </c>
      <c r="H69" s="27" t="n">
        <f aca="false">G69/F69-1</f>
        <v>0.0687714910909658</v>
      </c>
      <c r="I69" s="39" t="n">
        <v>0.285714285714286</v>
      </c>
      <c r="J69" s="39" t="n">
        <v>0.571428571428571</v>
      </c>
      <c r="K69" s="39" t="n">
        <f aca="false">IF(OR(I69="",J69=""),"",J69-I69)</f>
        <v>0.285714285714286</v>
      </c>
    </row>
    <row r="70" customFormat="false" ht="15" hidden="false" customHeight="false" outlineLevel="0" collapsed="false">
      <c r="A70" s="18" t="s">
        <v>104</v>
      </c>
      <c r="B70" s="14" t="s">
        <v>172</v>
      </c>
      <c r="C70" s="18" t="s">
        <v>103</v>
      </c>
      <c r="D70" s="18" t="s">
        <v>209</v>
      </c>
      <c r="E70" s="18" t="s">
        <v>352</v>
      </c>
      <c r="F70" s="29" t="n">
        <v>34.19</v>
      </c>
      <c r="G70" s="29" t="n">
        <v>31.99</v>
      </c>
      <c r="H70" s="27" t="n">
        <f aca="false">G70/F70-1</f>
        <v>-0.0643463000877449</v>
      </c>
      <c r="I70" s="39" t="n">
        <v>0.428571428571429</v>
      </c>
      <c r="J70" s="39" t="n">
        <v>1.28571428571429</v>
      </c>
      <c r="K70" s="39" t="n">
        <f aca="false">IF(OR(I70="",J70=""),"",J70-I70)</f>
        <v>0.857142857142858</v>
      </c>
    </row>
    <row r="71" customFormat="false" ht="15" hidden="false" customHeight="false" outlineLevel="0" collapsed="false">
      <c r="A71" s="18" t="s">
        <v>104</v>
      </c>
      <c r="B71" s="14" t="s">
        <v>172</v>
      </c>
      <c r="C71" s="18" t="s">
        <v>125</v>
      </c>
      <c r="D71" s="18" t="s">
        <v>233</v>
      </c>
      <c r="E71" s="18" t="s">
        <v>324</v>
      </c>
      <c r="F71" s="29" t="n">
        <v>52.99</v>
      </c>
      <c r="G71" s="29" t="n">
        <v>50.34</v>
      </c>
      <c r="H71" s="27" t="n">
        <f aca="false">G71/F71-1</f>
        <v>-0.0500094357425929</v>
      </c>
      <c r="I71" s="39" t="n">
        <v>0.285714285714286</v>
      </c>
      <c r="J71" s="39" t="n">
        <v>0</v>
      </c>
      <c r="K71" s="39" t="n">
        <f aca="false">IF(OR(I71="",J71=""),"",J71-I71)</f>
        <v>-0.285714285714286</v>
      </c>
    </row>
    <row r="72" customFormat="false" ht="15" hidden="false" customHeight="false" outlineLevel="0" collapsed="false">
      <c r="A72" s="18" t="s">
        <v>104</v>
      </c>
      <c r="B72" s="14" t="s">
        <v>172</v>
      </c>
      <c r="C72" s="18" t="s">
        <v>125</v>
      </c>
      <c r="D72" s="18" t="s">
        <v>233</v>
      </c>
      <c r="E72" s="18" t="s">
        <v>354</v>
      </c>
      <c r="F72" s="29" t="n">
        <v>48.99</v>
      </c>
      <c r="G72" s="29" t="n">
        <v>52.99</v>
      </c>
      <c r="H72" s="27" t="n">
        <f aca="false">G72/F72-1</f>
        <v>0.0816493161869769</v>
      </c>
      <c r="I72" s="39" t="n">
        <v>0.142857142857143</v>
      </c>
      <c r="J72" s="39" t="n">
        <v>0.285714285714286</v>
      </c>
      <c r="K72" s="39" t="n">
        <f aca="false">IF(OR(I72="",J72=""),"",J72-I72)</f>
        <v>0.142857142857143</v>
      </c>
    </row>
    <row r="73" customFormat="false" ht="15" hidden="false" customHeight="false" outlineLevel="0" collapsed="false">
      <c r="A73" s="18" t="s">
        <v>104</v>
      </c>
      <c r="B73" s="14" t="s">
        <v>172</v>
      </c>
      <c r="C73" s="18" t="s">
        <v>125</v>
      </c>
      <c r="D73" s="18" t="s">
        <v>233</v>
      </c>
      <c r="E73" s="18" t="s">
        <v>349</v>
      </c>
      <c r="F73" s="29" t="n">
        <v>52.99</v>
      </c>
      <c r="G73" s="29" t="n">
        <v>45.04</v>
      </c>
      <c r="H73" s="27" t="n">
        <f aca="false">G73/F73-1</f>
        <v>-0.150028307227779</v>
      </c>
      <c r="I73" s="39" t="n">
        <v>0.428571428571429</v>
      </c>
      <c r="J73" s="39" t="n">
        <v>0.428571428571429</v>
      </c>
      <c r="K73" s="39" t="n">
        <f aca="false">IF(OR(I73="",J73=""),"",J73-I73)</f>
        <v>0</v>
      </c>
    </row>
    <row r="74" customFormat="false" ht="15" hidden="false" customHeight="false" outlineLevel="0" collapsed="false">
      <c r="A74" s="18" t="s">
        <v>109</v>
      </c>
      <c r="B74" s="14" t="s">
        <v>177</v>
      </c>
      <c r="C74" s="18" t="s">
        <v>260</v>
      </c>
      <c r="D74" s="18" t="s">
        <v>209</v>
      </c>
      <c r="E74" s="18" t="s">
        <v>355</v>
      </c>
      <c r="F74" s="29" t="n">
        <v>19.99</v>
      </c>
      <c r="G74" s="29" t="n">
        <v>28.79</v>
      </c>
      <c r="H74" s="27" t="n">
        <f aca="false">G74/F74-1</f>
        <v>0.440220110055028</v>
      </c>
      <c r="I74" s="39" t="n">
        <v>0.142857142857143</v>
      </c>
      <c r="J74" s="39" t="n">
        <v>0.142857142857143</v>
      </c>
      <c r="K74" s="39" t="n">
        <f aca="false">IF(OR(I74="",J74=""),"",J74-I74)</f>
        <v>0</v>
      </c>
    </row>
    <row r="75" customFormat="false" ht="15" hidden="false" customHeight="false" outlineLevel="0" collapsed="false">
      <c r="A75" s="18" t="s">
        <v>109</v>
      </c>
      <c r="B75" s="14" t="s">
        <v>177</v>
      </c>
      <c r="C75" s="18" t="s">
        <v>260</v>
      </c>
      <c r="D75" s="18" t="s">
        <v>209</v>
      </c>
      <c r="E75" s="18" t="s">
        <v>348</v>
      </c>
      <c r="F75" s="29" t="n">
        <v>28.79</v>
      </c>
      <c r="G75" s="29" t="n">
        <v>35.99</v>
      </c>
      <c r="H75" s="27" t="n">
        <f aca="false">G75/F75-1</f>
        <v>0.250086835706843</v>
      </c>
      <c r="I75" s="39" t="n">
        <v>0</v>
      </c>
      <c r="J75" s="39" t="n">
        <v>0</v>
      </c>
      <c r="K75" s="39" t="n">
        <f aca="false">IF(OR(I75="",J75=""),"",J75-I75)</f>
        <v>0</v>
      </c>
    </row>
    <row r="76" customFormat="false" ht="15" hidden="false" customHeight="false" outlineLevel="0" collapsed="false">
      <c r="A76" s="18" t="s">
        <v>183</v>
      </c>
      <c r="B76" s="14" t="s">
        <v>184</v>
      </c>
      <c r="C76" s="18" t="s">
        <v>254</v>
      </c>
      <c r="D76" s="18" t="s">
        <v>337</v>
      </c>
      <c r="E76" s="18" t="s">
        <v>338</v>
      </c>
      <c r="F76" s="29" t="n">
        <v>41.65</v>
      </c>
      <c r="G76" s="29" t="n">
        <v>32.38</v>
      </c>
      <c r="H76" s="27" t="n">
        <f aca="false">G76/F76-1</f>
        <v>-0.222569027611044</v>
      </c>
      <c r="I76" s="39" t="n">
        <v>0</v>
      </c>
      <c r="J76" s="39" t="n">
        <v>0.142857142857143</v>
      </c>
      <c r="K76" s="39" t="n">
        <f aca="false">IF(OR(I76="",J76=""),"",J76-I76)</f>
        <v>0.142857142857143</v>
      </c>
    </row>
    <row r="77" customFormat="false" ht="15" hidden="false" customHeight="false" outlineLevel="0" collapsed="false">
      <c r="A77" s="18" t="s">
        <v>130</v>
      </c>
      <c r="B77" s="14" t="s">
        <v>171</v>
      </c>
      <c r="C77" s="18" t="s">
        <v>202</v>
      </c>
      <c r="D77" s="18" t="s">
        <v>209</v>
      </c>
      <c r="E77" s="18" t="s">
        <v>333</v>
      </c>
      <c r="F77" s="29" t="n">
        <v>31.99</v>
      </c>
      <c r="G77" s="29" t="n">
        <v>27.99</v>
      </c>
      <c r="H77" s="27" t="n">
        <f aca="false">G77/F77-1</f>
        <v>-0.125039074710847</v>
      </c>
      <c r="I77" s="39" t="n">
        <v>19.3333333333333</v>
      </c>
      <c r="J77" s="39" t="n">
        <v>12.4285714285714</v>
      </c>
      <c r="K77" s="39" t="n">
        <f aca="false">IF(OR(I77="",J77=""),"",J77-I77)</f>
        <v>-6.9047619047619</v>
      </c>
    </row>
    <row r="78" customFormat="false" ht="15" hidden="false" customHeight="false" outlineLevel="0" collapsed="false">
      <c r="A78" s="18" t="s">
        <v>130</v>
      </c>
      <c r="B78" s="14" t="s">
        <v>171</v>
      </c>
      <c r="C78" s="18" t="s">
        <v>202</v>
      </c>
      <c r="D78" s="18" t="s">
        <v>209</v>
      </c>
      <c r="E78" s="18" t="s">
        <v>334</v>
      </c>
      <c r="F78" s="29" t="n">
        <v>27.99</v>
      </c>
      <c r="G78" s="29" t="n">
        <v>31.99</v>
      </c>
      <c r="H78" s="27" t="n">
        <f aca="false">G78/F78-1</f>
        <v>0.142908181493391</v>
      </c>
      <c r="I78" s="39" t="n">
        <v>9.42857142857143</v>
      </c>
      <c r="J78" s="39" t="n">
        <v>10</v>
      </c>
      <c r="K78" s="39" t="n">
        <f aca="false">IF(OR(I78="",J78=""),"",J78-I78)</f>
        <v>0.571428571428571</v>
      </c>
    </row>
    <row r="79" customFormat="false" ht="15" hidden="false" customHeight="false" outlineLevel="0" collapsed="false">
      <c r="A79" s="18" t="s">
        <v>130</v>
      </c>
      <c r="B79" s="14" t="s">
        <v>171</v>
      </c>
      <c r="C79" s="18" t="s">
        <v>202</v>
      </c>
      <c r="D79" s="18" t="s">
        <v>209</v>
      </c>
      <c r="E79" s="18" t="s">
        <v>345</v>
      </c>
      <c r="F79" s="29" t="n">
        <v>31.99</v>
      </c>
      <c r="G79" s="29" t="n">
        <v>36.99</v>
      </c>
      <c r="H79" s="27" t="n">
        <f aca="false">G79/F79-1</f>
        <v>0.156298843388559</v>
      </c>
      <c r="I79" s="39" t="n">
        <v>1.14285714285714</v>
      </c>
      <c r="J79" s="39" t="n">
        <v>0.2</v>
      </c>
      <c r="K79" s="39" t="n">
        <f aca="false">IF(OR(I79="",J79=""),"",J79-I79)</f>
        <v>-0.942857142857143</v>
      </c>
    </row>
    <row r="80" customFormat="false" ht="15" hidden="false" customHeight="false" outlineLevel="0" collapsed="false">
      <c r="A80" s="18" t="s">
        <v>130</v>
      </c>
      <c r="B80" s="14" t="s">
        <v>171</v>
      </c>
      <c r="C80" s="18" t="s">
        <v>202</v>
      </c>
      <c r="D80" s="18" t="s">
        <v>323</v>
      </c>
      <c r="E80" s="18" t="s">
        <v>325</v>
      </c>
      <c r="F80" s="29" t="n">
        <v>36.99</v>
      </c>
      <c r="G80" s="29" t="n">
        <v>33.29</v>
      </c>
      <c r="H80" s="27" t="n">
        <f aca="false">G80/F80-1</f>
        <v>-0.100027034333604</v>
      </c>
      <c r="I80" s="39" t="n">
        <v>5.57142857142857</v>
      </c>
      <c r="J80" s="39" t="n">
        <v>15.8571428571429</v>
      </c>
      <c r="K80" s="39" t="n">
        <f aca="false">IF(OR(I80="",J80=""),"",J80-I80)</f>
        <v>10.2857142857143</v>
      </c>
    </row>
    <row r="81" customFormat="false" ht="15" hidden="false" customHeight="false" outlineLevel="0" collapsed="false">
      <c r="A81" s="18" t="s">
        <v>130</v>
      </c>
      <c r="B81" s="14" t="s">
        <v>171</v>
      </c>
      <c r="C81" s="18" t="s">
        <v>202</v>
      </c>
      <c r="D81" s="18" t="s">
        <v>323</v>
      </c>
      <c r="E81" s="18" t="s">
        <v>326</v>
      </c>
      <c r="F81" s="29" t="n">
        <v>33.29</v>
      </c>
      <c r="G81" s="29" t="n">
        <v>36.99</v>
      </c>
      <c r="H81" s="27" t="n">
        <f aca="false">G81/F81-1</f>
        <v>0.111144487834185</v>
      </c>
      <c r="I81" s="39" t="n">
        <v>21.8571428571429</v>
      </c>
      <c r="J81" s="39" t="n">
        <v>18.7142857142857</v>
      </c>
      <c r="K81" s="39" t="n">
        <f aca="false">IF(OR(I81="",J81=""),"",J81-I81)</f>
        <v>-3.14285714285714</v>
      </c>
    </row>
    <row r="82" customFormat="false" ht="15" hidden="false" customHeight="false" outlineLevel="0" collapsed="false">
      <c r="A82" s="18" t="s">
        <v>130</v>
      </c>
      <c r="B82" s="14" t="s">
        <v>171</v>
      </c>
      <c r="C82" s="18" t="s">
        <v>129</v>
      </c>
      <c r="D82" s="18" t="s">
        <v>201</v>
      </c>
      <c r="E82" s="18" t="s">
        <v>327</v>
      </c>
      <c r="F82" s="29" t="n">
        <v>36.99</v>
      </c>
      <c r="G82" s="29" t="n">
        <v>33.29</v>
      </c>
      <c r="H82" s="27" t="n">
        <f aca="false">G82/F82-1</f>
        <v>-0.100027034333604</v>
      </c>
      <c r="I82" s="39" t="n">
        <v>5.42857142857143</v>
      </c>
      <c r="J82" s="39" t="n">
        <v>9.57142857142857</v>
      </c>
      <c r="K82" s="39" t="n">
        <f aca="false">IF(OR(I82="",J82=""),"",J82-I82)</f>
        <v>4.14285714285714</v>
      </c>
    </row>
    <row r="83" customFormat="false" ht="15" hidden="false" customHeight="false" outlineLevel="0" collapsed="false">
      <c r="A83" s="18" t="s">
        <v>130</v>
      </c>
      <c r="B83" s="14" t="s">
        <v>171</v>
      </c>
      <c r="C83" s="18" t="s">
        <v>129</v>
      </c>
      <c r="D83" s="18" t="s">
        <v>201</v>
      </c>
      <c r="E83" s="18" t="s">
        <v>324</v>
      </c>
      <c r="F83" s="29" t="n">
        <v>33.29</v>
      </c>
      <c r="G83" s="29" t="n">
        <v>36.99</v>
      </c>
      <c r="H83" s="27" t="n">
        <f aca="false">G83/F83-1</f>
        <v>0.111144487834185</v>
      </c>
      <c r="I83" s="39" t="n">
        <v>11.4285714285714</v>
      </c>
      <c r="J83" s="39" t="n">
        <v>8.14285714285714</v>
      </c>
      <c r="K83" s="39" t="n">
        <f aca="false">IF(OR(I83="",J83=""),"",J83-I83)</f>
        <v>-3.28571428571429</v>
      </c>
    </row>
    <row r="84" customFormat="false" ht="15" hidden="false" customHeight="false" outlineLevel="0" collapsed="false">
      <c r="A84" s="18" t="s">
        <v>130</v>
      </c>
      <c r="B84" s="14" t="s">
        <v>171</v>
      </c>
      <c r="C84" s="18" t="s">
        <v>228</v>
      </c>
      <c r="D84" s="18" t="s">
        <v>201</v>
      </c>
      <c r="E84" s="18" t="s">
        <v>327</v>
      </c>
      <c r="F84" s="29" t="n">
        <v>59.99</v>
      </c>
      <c r="G84" s="29" t="n">
        <v>53.99</v>
      </c>
      <c r="H84" s="27" t="n">
        <f aca="false">G84/F84-1</f>
        <v>-0.100016669444908</v>
      </c>
      <c r="I84" s="39" t="n">
        <v>2.42857142857143</v>
      </c>
      <c r="J84" s="39" t="n">
        <v>4.71428571428571</v>
      </c>
      <c r="K84" s="39" t="n">
        <f aca="false">IF(OR(I84="",J84=""),"",J84-I84)</f>
        <v>2.28571428571429</v>
      </c>
    </row>
    <row r="85" customFormat="false" ht="15" hidden="false" customHeight="false" outlineLevel="0" collapsed="false">
      <c r="A85" s="18" t="s">
        <v>130</v>
      </c>
      <c r="B85" s="14" t="s">
        <v>171</v>
      </c>
      <c r="C85" s="18" t="s">
        <v>228</v>
      </c>
      <c r="D85" s="18" t="s">
        <v>201</v>
      </c>
      <c r="E85" s="18" t="s">
        <v>324</v>
      </c>
      <c r="F85" s="29" t="n">
        <v>53.99</v>
      </c>
      <c r="G85" s="29" t="n">
        <v>59.99</v>
      </c>
      <c r="H85" s="27" t="n">
        <f aca="false">G85/F85-1</f>
        <v>0.111131691053899</v>
      </c>
      <c r="I85" s="39" t="n">
        <v>3.42857142857143</v>
      </c>
      <c r="J85" s="39" t="n">
        <v>4</v>
      </c>
      <c r="K85" s="39" t="n">
        <f aca="false">IF(OR(I85="",J85=""),"",J85-I85)</f>
        <v>0.571428571428572</v>
      </c>
    </row>
    <row r="86" customFormat="false" ht="15" hidden="false" customHeight="false" outlineLevel="0" collapsed="false">
      <c r="A86" s="18" t="s">
        <v>185</v>
      </c>
      <c r="B86" s="14" t="s">
        <v>186</v>
      </c>
      <c r="C86" s="18" t="s">
        <v>277</v>
      </c>
      <c r="D86" s="18" t="s">
        <v>209</v>
      </c>
      <c r="E86" s="18" t="s">
        <v>348</v>
      </c>
      <c r="F86" s="29" t="n">
        <v>56.99</v>
      </c>
      <c r="G86" s="29" t="n">
        <v>59.99</v>
      </c>
      <c r="H86" s="27" t="n">
        <f aca="false">G86/F86-1</f>
        <v>0.052640814177926</v>
      </c>
      <c r="I86" s="39" t="n">
        <v>0</v>
      </c>
      <c r="J86" s="39" t="n">
        <v>0</v>
      </c>
      <c r="K86" s="39" t="n">
        <f aca="false">IF(OR(I86="",J86=""),"",J86-I86)</f>
        <v>0</v>
      </c>
    </row>
    <row r="87" customFormat="false" ht="15" hidden="false" customHeight="false" outlineLevel="0" collapsed="false">
      <c r="A87" s="18" t="s">
        <v>181</v>
      </c>
      <c r="B87" s="14" t="s">
        <v>182</v>
      </c>
      <c r="C87" s="18" t="s">
        <v>270</v>
      </c>
      <c r="D87" s="18" t="s">
        <v>209</v>
      </c>
      <c r="E87" s="18" t="s">
        <v>327</v>
      </c>
      <c r="F87" s="29" t="n">
        <v>43.99</v>
      </c>
      <c r="G87" s="29" t="n">
        <v>29.25</v>
      </c>
      <c r="H87" s="27" t="n">
        <f aca="false">G87/F87-1</f>
        <v>-0.335076153671289</v>
      </c>
      <c r="I87" s="39" t="n">
        <v>0.142857142857143</v>
      </c>
      <c r="J87" s="39" t="n">
        <v>0.571428571428571</v>
      </c>
      <c r="K87" s="39" t="n">
        <f aca="false">IF(OR(I87="",J87=""),"",J87-I87)</f>
        <v>0.428571428571429</v>
      </c>
    </row>
    <row r="88" customFormat="false" ht="15" hidden="false" customHeight="false" outlineLevel="0" collapsed="false">
      <c r="A88" s="18" t="s">
        <v>181</v>
      </c>
      <c r="B88" s="14" t="s">
        <v>182</v>
      </c>
      <c r="C88" s="18" t="s">
        <v>270</v>
      </c>
      <c r="D88" s="18" t="s">
        <v>209</v>
      </c>
      <c r="E88" s="18" t="s">
        <v>340</v>
      </c>
      <c r="F88" s="29" t="n">
        <v>28.99</v>
      </c>
      <c r="G88" s="29" t="n">
        <v>26.99</v>
      </c>
      <c r="H88" s="27" t="n">
        <f aca="false">G88/F88-1</f>
        <v>-0.0689893066574681</v>
      </c>
      <c r="I88" s="39" t="n">
        <v>0.142857142857143</v>
      </c>
      <c r="J88" s="39" t="n">
        <v>1</v>
      </c>
      <c r="K88" s="39" t="n">
        <f aca="false">IF(OR(I88="",J88=""),"",J88-I88)</f>
        <v>0.857142857142857</v>
      </c>
    </row>
    <row r="89" customFormat="false" ht="15" hidden="false" customHeight="false" outlineLevel="0" collapsed="false">
      <c r="A89" s="18" t="s">
        <v>181</v>
      </c>
      <c r="B89" s="14" t="s">
        <v>182</v>
      </c>
      <c r="C89" s="18" t="s">
        <v>270</v>
      </c>
      <c r="D89" s="18" t="s">
        <v>209</v>
      </c>
      <c r="E89" s="18" t="s">
        <v>356</v>
      </c>
      <c r="F89" s="29" t="n">
        <v>26.99</v>
      </c>
      <c r="G89" s="29" t="n">
        <v>24.99</v>
      </c>
      <c r="H89" s="27" t="n">
        <f aca="false">G89/F89-1</f>
        <v>-0.0741015190811412</v>
      </c>
      <c r="I89" s="39" t="n">
        <v>0.428571428571429</v>
      </c>
      <c r="J89" s="39" t="n">
        <v>0.285714285714286</v>
      </c>
      <c r="K89" s="39" t="n">
        <f aca="false">IF(OR(I89="",J89=""),"",J89-I89)</f>
        <v>-0.142857142857143</v>
      </c>
    </row>
    <row r="90" customFormat="false" ht="15" hidden="false" customHeight="false" outlineLevel="0" collapsed="false">
      <c r="A90" s="18" t="s">
        <v>181</v>
      </c>
      <c r="B90" s="14" t="s">
        <v>182</v>
      </c>
      <c r="C90" s="18" t="s">
        <v>270</v>
      </c>
      <c r="D90" s="18" t="s">
        <v>209</v>
      </c>
      <c r="E90" s="18" t="s">
        <v>349</v>
      </c>
      <c r="F90" s="29" t="n">
        <v>23.99</v>
      </c>
      <c r="G90" s="29" t="n">
        <v>25.64</v>
      </c>
      <c r="H90" s="27" t="n">
        <f aca="false">G90/F90-1</f>
        <v>0.0687786577740726</v>
      </c>
      <c r="I90" s="39" t="n">
        <v>0.142857142857143</v>
      </c>
      <c r="J90" s="39" t="n">
        <v>0.142857142857143</v>
      </c>
      <c r="K90" s="39" t="n">
        <f aca="false">IF(OR(I90="",J90=""),"",J90-I90)</f>
        <v>0</v>
      </c>
    </row>
    <row r="91" customFormat="false" ht="15" hidden="false" customHeight="false" outlineLevel="0" collapsed="false">
      <c r="A91" s="18" t="s">
        <v>181</v>
      </c>
      <c r="B91" s="14" t="s">
        <v>182</v>
      </c>
      <c r="C91" s="18" t="s">
        <v>270</v>
      </c>
      <c r="D91" s="18" t="s">
        <v>209</v>
      </c>
      <c r="E91" s="18" t="s">
        <v>352</v>
      </c>
      <c r="F91" s="29" t="n">
        <v>25.64</v>
      </c>
      <c r="G91" s="29" t="n">
        <v>23.99</v>
      </c>
      <c r="H91" s="27" t="n">
        <f aca="false">G91/F91-1</f>
        <v>-0.0643525741029642</v>
      </c>
      <c r="I91" s="39" t="n">
        <v>0.285714285714286</v>
      </c>
      <c r="J91" s="39" t="n">
        <v>0.142857142857143</v>
      </c>
      <c r="K91" s="39" t="n">
        <f aca="false">IF(OR(I91="",J91=""),"",J91-I91)</f>
        <v>-0.142857142857143</v>
      </c>
    </row>
    <row r="92" customFormat="false" ht="15" hidden="false" customHeight="false" outlineLevel="0" collapsed="false">
      <c r="A92" s="18" t="s">
        <v>179</v>
      </c>
      <c r="B92" s="14" t="s">
        <v>180</v>
      </c>
      <c r="C92" s="18" t="s">
        <v>239</v>
      </c>
      <c r="D92" s="18" t="s">
        <v>337</v>
      </c>
      <c r="E92" s="18" t="s">
        <v>352</v>
      </c>
      <c r="F92" s="29" t="n">
        <v>32.97</v>
      </c>
      <c r="G92" s="29" t="n">
        <v>31.23</v>
      </c>
      <c r="H92" s="27" t="n">
        <f aca="false">G92/F92-1</f>
        <v>-0.0527752502274795</v>
      </c>
      <c r="I92" s="39" t="n">
        <v>0.857142857142857</v>
      </c>
      <c r="J92" s="39" t="n">
        <v>0.142857142857143</v>
      </c>
      <c r="K92" s="39" t="n">
        <f aca="false">IF(OR(I92="",J92=""),"",J92-I92)</f>
        <v>-0.714285714285714</v>
      </c>
    </row>
    <row r="93" customFormat="false" ht="15" hidden="false" customHeight="false" outlineLevel="0" collapsed="false">
      <c r="A93" s="18" t="s">
        <v>179</v>
      </c>
      <c r="B93" s="14" t="s">
        <v>180</v>
      </c>
      <c r="C93" s="18" t="s">
        <v>239</v>
      </c>
      <c r="D93" s="18" t="s">
        <v>209</v>
      </c>
      <c r="E93" s="18" t="s">
        <v>327</v>
      </c>
      <c r="F93" s="29" t="n">
        <v>29.99</v>
      </c>
      <c r="G93" s="29" t="n">
        <v>19.94</v>
      </c>
      <c r="H93" s="27" t="n">
        <f aca="false">G93/F93-1</f>
        <v>-0.3351117039013</v>
      </c>
      <c r="I93" s="39" t="n">
        <v>0.428571428571429</v>
      </c>
      <c r="J93" s="39" t="n">
        <v>2.14285714285714</v>
      </c>
      <c r="K93" s="39" t="n">
        <f aca="false">IF(OR(I93="",J93=""),"",J93-I93)</f>
        <v>1.71428571428571</v>
      </c>
    </row>
    <row r="94" customFormat="false" ht="15" hidden="false" customHeight="false" outlineLevel="0" collapsed="false">
      <c r="A94" s="18" t="s">
        <v>179</v>
      </c>
      <c r="B94" s="14" t="s">
        <v>180</v>
      </c>
      <c r="C94" s="18" t="s">
        <v>239</v>
      </c>
      <c r="D94" s="18" t="s">
        <v>209</v>
      </c>
      <c r="E94" s="18" t="s">
        <v>340</v>
      </c>
      <c r="F94" s="29" t="n">
        <v>18.99</v>
      </c>
      <c r="G94" s="29" t="n">
        <v>17.99</v>
      </c>
      <c r="H94" s="27" t="n">
        <f aca="false">G94/F94-1</f>
        <v>-0.0526592943654555</v>
      </c>
      <c r="I94" s="39" t="n">
        <v>1.42857142857143</v>
      </c>
      <c r="J94" s="39" t="n">
        <v>2.42857142857143</v>
      </c>
      <c r="K94" s="39" t="n">
        <f aca="false">IF(OR(I94="",J94=""),"",J94-I94)</f>
        <v>0.999999999999999</v>
      </c>
    </row>
    <row r="95" customFormat="false" ht="15" hidden="false" customHeight="false" outlineLevel="0" collapsed="false">
      <c r="A95" s="18" t="s">
        <v>179</v>
      </c>
      <c r="B95" s="14" t="s">
        <v>180</v>
      </c>
      <c r="C95" s="18" t="s">
        <v>239</v>
      </c>
      <c r="D95" s="18" t="s">
        <v>209</v>
      </c>
      <c r="E95" s="18" t="s">
        <v>324</v>
      </c>
      <c r="F95" s="29" t="n">
        <v>17.99</v>
      </c>
      <c r="G95" s="29" t="n">
        <v>17.09</v>
      </c>
      <c r="H95" s="27" t="n">
        <f aca="false">G95/F95-1</f>
        <v>-0.0500277932184546</v>
      </c>
      <c r="I95" s="39" t="n">
        <v>2.57142857142857</v>
      </c>
      <c r="J95" s="39" t="n">
        <v>1.42857142857143</v>
      </c>
      <c r="K95" s="39" t="n">
        <f aca="false">IF(OR(I95="",J95=""),"",J95-I95)</f>
        <v>-1.14285714285714</v>
      </c>
    </row>
    <row r="96" customFormat="false" ht="15" hidden="false" customHeight="false" outlineLevel="0" collapsed="false">
      <c r="A96" s="18" t="s">
        <v>179</v>
      </c>
      <c r="B96" s="14" t="s">
        <v>180</v>
      </c>
      <c r="C96" s="18" t="s">
        <v>239</v>
      </c>
      <c r="D96" s="18" t="s">
        <v>209</v>
      </c>
      <c r="E96" s="18" t="s">
        <v>357</v>
      </c>
      <c r="F96" s="29" t="n">
        <v>16.99</v>
      </c>
      <c r="G96" s="29" t="n">
        <v>29.99</v>
      </c>
      <c r="H96" s="27" t="n">
        <f aca="false">G96/F96-1</f>
        <v>0.765155974102413</v>
      </c>
      <c r="I96" s="39" t="n">
        <v>1.85714285714286</v>
      </c>
      <c r="J96" s="39" t="n">
        <v>1</v>
      </c>
      <c r="K96" s="39" t="n">
        <f aca="false">IF(OR(I96="",J96=""),"",J96-I96)</f>
        <v>-0.857142857142857</v>
      </c>
    </row>
    <row r="97" customFormat="false" ht="15" hidden="false" customHeight="false" outlineLevel="0" collapsed="false">
      <c r="A97" s="18" t="s">
        <v>179</v>
      </c>
      <c r="B97" s="14" t="s">
        <v>180</v>
      </c>
      <c r="C97" s="18" t="s">
        <v>239</v>
      </c>
      <c r="D97" s="18" t="s">
        <v>209</v>
      </c>
      <c r="E97" s="18" t="s">
        <v>345</v>
      </c>
      <c r="F97" s="29" t="n">
        <v>29.99</v>
      </c>
      <c r="G97" s="29" t="n">
        <v>16.23</v>
      </c>
      <c r="H97" s="27" t="n">
        <f aca="false">G97/F97-1</f>
        <v>-0.458819606535512</v>
      </c>
      <c r="I97" s="39" t="n">
        <v>1.28571428571429</v>
      </c>
      <c r="J97" s="39" t="n">
        <v>1.8</v>
      </c>
      <c r="K97" s="39" t="n">
        <f aca="false">IF(OR(I97="",J97=""),"",J97-I97)</f>
        <v>0.514285714285714</v>
      </c>
    </row>
    <row r="98" customFormat="false" ht="15" hidden="false" customHeight="false" outlineLevel="0" collapsed="false">
      <c r="A98" s="18" t="s">
        <v>179</v>
      </c>
      <c r="B98" s="14" t="s">
        <v>180</v>
      </c>
      <c r="C98" s="18" t="s">
        <v>237</v>
      </c>
      <c r="D98" s="18" t="s">
        <v>201</v>
      </c>
      <c r="E98" s="18" t="s">
        <v>331</v>
      </c>
      <c r="F98" s="29" t="n">
        <v>55.99</v>
      </c>
      <c r="G98" s="29" t="n">
        <v>53.19</v>
      </c>
      <c r="H98" s="27" t="n">
        <f aca="false">G98/F98-1</f>
        <v>-0.0500089301661012</v>
      </c>
      <c r="I98" s="39" t="n">
        <v>0</v>
      </c>
      <c r="J98" s="39" t="n">
        <v>0.142857142857143</v>
      </c>
      <c r="K98" s="39" t="n">
        <f aca="false">IF(OR(I98="",J98=""),"",J98-I98)</f>
        <v>0.142857142857143</v>
      </c>
    </row>
    <row r="99" customFormat="false" ht="15" hidden="false" customHeight="false" outlineLevel="0" collapsed="false">
      <c r="A99" s="18" t="s">
        <v>179</v>
      </c>
      <c r="B99" s="14" t="s">
        <v>180</v>
      </c>
      <c r="C99" s="18" t="s">
        <v>237</v>
      </c>
      <c r="D99" s="18" t="s">
        <v>201</v>
      </c>
      <c r="E99" s="18" t="s">
        <v>332</v>
      </c>
      <c r="F99" s="29" t="n">
        <v>53.19</v>
      </c>
      <c r="G99" s="29" t="n">
        <v>49.99</v>
      </c>
      <c r="H99" s="27" t="n">
        <f aca="false">G99/F99-1</f>
        <v>-0.0601616845271666</v>
      </c>
      <c r="I99" s="39" t="n">
        <v>0.2</v>
      </c>
      <c r="J99" s="39" t="n">
        <v>0.142857142857143</v>
      </c>
      <c r="K99" s="39" t="n">
        <f aca="false">IF(OR(I99="",J99=""),"",J99-I99)</f>
        <v>-0.0571428571428572</v>
      </c>
    </row>
    <row r="100" customFormat="false" ht="15" hidden="false" customHeight="false" outlineLevel="0" collapsed="false">
      <c r="A100" s="18" t="s">
        <v>179</v>
      </c>
      <c r="B100" s="14" t="s">
        <v>180</v>
      </c>
      <c r="C100" s="18" t="s">
        <v>237</v>
      </c>
      <c r="D100" s="18" t="s">
        <v>201</v>
      </c>
      <c r="E100" s="18" t="s">
        <v>346</v>
      </c>
      <c r="F100" s="29" t="n">
        <v>49.99</v>
      </c>
      <c r="G100" s="29" t="n">
        <v>42.99</v>
      </c>
      <c r="H100" s="27" t="n">
        <f aca="false">G100/F100-1</f>
        <v>-0.14002800560112</v>
      </c>
      <c r="I100" s="39" t="n">
        <v>0.142857142857143</v>
      </c>
      <c r="J100" s="39" t="n">
        <v>0.428571428571429</v>
      </c>
      <c r="K100" s="39" t="n">
        <f aca="false">IF(OR(I100="",J100=""),"",J100-I100)</f>
        <v>0.285714285714286</v>
      </c>
    </row>
    <row r="101" customFormat="false" ht="15" hidden="false" customHeight="false" outlineLevel="0" collapsed="false">
      <c r="A101" s="18" t="s">
        <v>179</v>
      </c>
      <c r="B101" s="14" t="s">
        <v>180</v>
      </c>
      <c r="C101" s="18" t="s">
        <v>237</v>
      </c>
      <c r="D101" s="18" t="s">
        <v>201</v>
      </c>
      <c r="E101" s="18" t="s">
        <v>340</v>
      </c>
      <c r="F101" s="29" t="n">
        <v>42.99</v>
      </c>
      <c r="G101" s="29" t="n">
        <v>39.99</v>
      </c>
      <c r="H101" s="27" t="n">
        <f aca="false">G101/F101-1</f>
        <v>-0.0697836706210747</v>
      </c>
      <c r="I101" s="39" t="n">
        <v>0.142857142857143</v>
      </c>
      <c r="J101" s="39" t="n">
        <v>0.285714285714286</v>
      </c>
      <c r="K101" s="39" t="n">
        <f aca="false">IF(OR(I101="",J101=""),"",J101-I101)</f>
        <v>0.142857142857143</v>
      </c>
    </row>
    <row r="102" customFormat="false" ht="15" hidden="false" customHeight="false" outlineLevel="0" collapsed="false">
      <c r="A102" s="18" t="s">
        <v>179</v>
      </c>
      <c r="B102" s="14" t="s">
        <v>180</v>
      </c>
      <c r="C102" s="18" t="s">
        <v>237</v>
      </c>
      <c r="D102" s="18" t="s">
        <v>201</v>
      </c>
      <c r="E102" s="18" t="s">
        <v>358</v>
      </c>
      <c r="F102" s="29" t="n">
        <v>39.99</v>
      </c>
      <c r="G102" s="29" t="n">
        <v>55.99</v>
      </c>
      <c r="H102" s="27" t="n">
        <f aca="false">G102/F102-1</f>
        <v>0.400100025006252</v>
      </c>
      <c r="I102" s="39" t="n">
        <v>0.857142857142857</v>
      </c>
      <c r="J102" s="39" t="n">
        <v>0.142857142857143</v>
      </c>
      <c r="K102" s="39" t="n">
        <f aca="false">IF(OR(I102="",J102=""),"",J102-I102)</f>
        <v>-0.714285714285714</v>
      </c>
    </row>
    <row r="103" customFormat="false" ht="15" hidden="false" customHeight="false" outlineLevel="0" collapsed="false">
      <c r="A103" s="18" t="s">
        <v>179</v>
      </c>
      <c r="B103" s="14" t="s">
        <v>180</v>
      </c>
      <c r="C103" s="18" t="s">
        <v>237</v>
      </c>
      <c r="D103" s="18" t="s">
        <v>201</v>
      </c>
      <c r="E103" s="18" t="s">
        <v>325</v>
      </c>
      <c r="F103" s="29" t="n">
        <v>55.99</v>
      </c>
      <c r="G103" s="29" t="n">
        <v>36.99</v>
      </c>
      <c r="H103" s="27" t="n">
        <f aca="false">G103/F103-1</f>
        <v>-0.3393463118414</v>
      </c>
      <c r="I103" s="39" t="n">
        <v>0.857142857142857</v>
      </c>
      <c r="J103" s="39" t="n">
        <v>0.142857142857143</v>
      </c>
      <c r="K103" s="39" t="n">
        <f aca="false">IF(OR(I103="",J103=""),"",J103-I103)</f>
        <v>-0.714285714285714</v>
      </c>
    </row>
    <row r="104" customFormat="false" ht="15" hidden="false" customHeight="false" outlineLevel="0" collapsed="false">
      <c r="A104" s="18" t="s">
        <v>179</v>
      </c>
      <c r="B104" s="14" t="s">
        <v>180</v>
      </c>
      <c r="C104" s="18" t="s">
        <v>237</v>
      </c>
      <c r="D104" s="18" t="s">
        <v>201</v>
      </c>
      <c r="E104" s="18" t="s">
        <v>359</v>
      </c>
      <c r="F104" s="29" t="n">
        <v>36.99</v>
      </c>
      <c r="G104" s="29" t="n">
        <v>55.99</v>
      </c>
      <c r="H104" s="27" t="n">
        <f aca="false">G104/F104-1</f>
        <v>0.513652338469857</v>
      </c>
      <c r="I104" s="39" t="n">
        <v>0.142857142857143</v>
      </c>
      <c r="J104" s="39" t="n">
        <v>0.428571428571429</v>
      </c>
      <c r="K104" s="39" t="n">
        <f aca="false">IF(OR(I104="",J104=""),"",J104-I104)</f>
        <v>0.285714285714286</v>
      </c>
    </row>
    <row r="105" customFormat="false" ht="15" hidden="false" customHeight="false" outlineLevel="0" collapsed="false">
      <c r="A105" s="18" t="s">
        <v>179</v>
      </c>
      <c r="B105" s="14" t="s">
        <v>180</v>
      </c>
      <c r="C105" s="18" t="s">
        <v>237</v>
      </c>
      <c r="D105" s="18" t="s">
        <v>201</v>
      </c>
      <c r="E105" s="18" t="s">
        <v>338</v>
      </c>
      <c r="F105" s="29" t="n">
        <v>55.99</v>
      </c>
      <c r="G105" s="29" t="n">
        <v>37.99</v>
      </c>
      <c r="H105" s="27" t="n">
        <f aca="false">G105/F105-1</f>
        <v>-0.321485979639221</v>
      </c>
      <c r="I105" s="39" t="n">
        <v>0.428571428571429</v>
      </c>
      <c r="J105" s="39" t="n">
        <v>1</v>
      </c>
      <c r="K105" s="39" t="n">
        <f aca="false">IF(OR(I105="",J105=""),"",J105-I105)</f>
        <v>0.571428571428572</v>
      </c>
    </row>
    <row r="106" customFormat="false" ht="15" hidden="false" customHeight="false" outlineLevel="0" collapsed="false">
      <c r="A106" s="18" t="s">
        <v>179</v>
      </c>
      <c r="B106" s="14" t="s">
        <v>180</v>
      </c>
      <c r="C106" s="18" t="s">
        <v>272</v>
      </c>
      <c r="D106" s="18" t="s">
        <v>209</v>
      </c>
      <c r="E106" s="18" t="s">
        <v>327</v>
      </c>
      <c r="F106" s="29" t="n">
        <v>43.99</v>
      </c>
      <c r="G106" s="29" t="n">
        <v>41.79</v>
      </c>
      <c r="H106" s="27" t="n">
        <f aca="false">G106/F106-1</f>
        <v>-0.0500113662195955</v>
      </c>
      <c r="I106" s="39" t="n">
        <v>0</v>
      </c>
      <c r="J106" s="39" t="n">
        <v>0</v>
      </c>
      <c r="K106" s="39" t="n">
        <f aca="false">IF(OR(I106="",J106=""),"",J106-I106)</f>
        <v>0</v>
      </c>
    </row>
    <row r="107" customFormat="false" ht="15" hidden="false" customHeight="false" outlineLevel="0" collapsed="false">
      <c r="A107" s="18" t="s">
        <v>179</v>
      </c>
      <c r="B107" s="14" t="s">
        <v>180</v>
      </c>
      <c r="C107" s="18" t="s">
        <v>272</v>
      </c>
      <c r="D107" s="18" t="s">
        <v>209</v>
      </c>
      <c r="E107" s="18" t="s">
        <v>340</v>
      </c>
      <c r="F107" s="29" t="n">
        <v>39.99</v>
      </c>
      <c r="G107" s="29" t="n">
        <v>36.99</v>
      </c>
      <c r="H107" s="27" t="n">
        <f aca="false">G107/F107-1</f>
        <v>-0.0750187546886721</v>
      </c>
      <c r="I107" s="39" t="n">
        <v>0</v>
      </c>
      <c r="J107" s="39" t="n">
        <v>0.142857142857143</v>
      </c>
      <c r="K107" s="39" t="n">
        <f aca="false">IF(OR(I107="",J107=""),"",J107-I107)</f>
        <v>0.142857142857143</v>
      </c>
    </row>
    <row r="108" customFormat="false" ht="15" hidden="false" customHeight="false" outlineLevel="0" collapsed="false">
      <c r="A108" s="18" t="s">
        <v>179</v>
      </c>
      <c r="B108" s="14" t="s">
        <v>180</v>
      </c>
      <c r="C108" s="18" t="s">
        <v>272</v>
      </c>
      <c r="D108" s="18" t="s">
        <v>209</v>
      </c>
      <c r="E108" s="18" t="s">
        <v>356</v>
      </c>
      <c r="F108" s="29" t="n">
        <v>36.99</v>
      </c>
      <c r="G108" s="29" t="n">
        <v>33.99</v>
      </c>
      <c r="H108" s="27" t="n">
        <f aca="false">G108/F108-1</f>
        <v>-0.0811030008110301</v>
      </c>
      <c r="I108" s="39" t="n">
        <v>0.285714285714286</v>
      </c>
      <c r="J108" s="39" t="n">
        <v>0.285714285714286</v>
      </c>
      <c r="K108" s="39" t="n">
        <f aca="false">IF(OR(I108="",J108=""),"",J108-I108)</f>
        <v>0</v>
      </c>
    </row>
    <row r="109" customFormat="false" ht="15" hidden="false" customHeight="false" outlineLevel="0" collapsed="false">
      <c r="A109" s="18" t="s">
        <v>179</v>
      </c>
      <c r="B109" s="14" t="s">
        <v>180</v>
      </c>
      <c r="C109" s="18" t="s">
        <v>272</v>
      </c>
      <c r="D109" s="18" t="s">
        <v>209</v>
      </c>
      <c r="E109" s="18" t="s">
        <v>351</v>
      </c>
      <c r="F109" s="29" t="n">
        <v>33.99</v>
      </c>
      <c r="G109" s="29" t="n">
        <v>29.25</v>
      </c>
      <c r="H109" s="27" t="n">
        <f aca="false">G109/F109-1</f>
        <v>-0.139452780229479</v>
      </c>
      <c r="I109" s="39" t="n">
        <v>0.285714285714286</v>
      </c>
      <c r="J109" s="39" t="n">
        <v>0.285714285714286</v>
      </c>
      <c r="K109" s="39" t="n">
        <f aca="false">IF(OR(I109="",J109=""),"",J109-I109)</f>
        <v>0</v>
      </c>
    </row>
    <row r="110" customFormat="false" ht="15" hidden="false" customHeight="false" outlineLevel="0" collapsed="false">
      <c r="A110" s="18" t="s">
        <v>179</v>
      </c>
      <c r="B110" s="14" t="s">
        <v>180</v>
      </c>
      <c r="C110" s="18" t="s">
        <v>272</v>
      </c>
      <c r="D110" s="18" t="s">
        <v>209</v>
      </c>
      <c r="E110" s="18" t="s">
        <v>360</v>
      </c>
      <c r="F110" s="29" t="n">
        <v>28.99</v>
      </c>
      <c r="G110" s="29" t="n">
        <v>43.99</v>
      </c>
      <c r="H110" s="27" t="n">
        <f aca="false">G110/F110-1</f>
        <v>0.517419799931011</v>
      </c>
      <c r="I110" s="39" t="n">
        <v>0.428571428571429</v>
      </c>
      <c r="J110" s="39" t="n">
        <v>0.142857142857143</v>
      </c>
      <c r="K110" s="39" t="n">
        <f aca="false">IF(OR(I110="",J110=""),"",J110-I110)</f>
        <v>-0.285714285714286</v>
      </c>
    </row>
    <row r="111" customFormat="false" ht="15" hidden="false" customHeight="false" outlineLevel="0" collapsed="false">
      <c r="A111" s="18" t="s">
        <v>179</v>
      </c>
      <c r="B111" s="14" t="s">
        <v>180</v>
      </c>
      <c r="C111" s="18" t="s">
        <v>272</v>
      </c>
      <c r="D111" s="18" t="s">
        <v>209</v>
      </c>
      <c r="E111" s="18" t="s">
        <v>330</v>
      </c>
      <c r="F111" s="29" t="n">
        <v>43.99</v>
      </c>
      <c r="G111" s="29" t="n">
        <v>27.78</v>
      </c>
      <c r="H111" s="27" t="n">
        <f aca="false">G111/F111-1</f>
        <v>-0.368492839281655</v>
      </c>
      <c r="I111" s="39" t="n">
        <v>0.428571428571429</v>
      </c>
      <c r="J111" s="39" t="n">
        <v>0.428571428571429</v>
      </c>
      <c r="K111" s="39" t="n">
        <f aca="false">IF(OR(I111="",J111=""),"",J111-I111)</f>
        <v>0</v>
      </c>
    </row>
    <row r="112" customFormat="false" ht="15" hidden="false" customHeight="false" outlineLevel="0" collapsed="false">
      <c r="A112" s="18" t="s">
        <v>179</v>
      </c>
      <c r="B112" s="14" t="s">
        <v>180</v>
      </c>
      <c r="C112" s="18" t="s">
        <v>272</v>
      </c>
      <c r="D112" s="18" t="s">
        <v>209</v>
      </c>
      <c r="E112" s="18" t="s">
        <v>352</v>
      </c>
      <c r="F112" s="29" t="n">
        <v>27.78</v>
      </c>
      <c r="G112" s="29" t="n">
        <v>25.99</v>
      </c>
      <c r="H112" s="27" t="n">
        <f aca="false">G112/F112-1</f>
        <v>-0.0644348452123831</v>
      </c>
      <c r="I112" s="39" t="n">
        <v>0.142857142857143</v>
      </c>
      <c r="J112" s="39" t="n">
        <v>0.571428571428571</v>
      </c>
      <c r="K112" s="39" t="n">
        <f aca="false">IF(OR(I112="",J112=""),"",J112-I112)</f>
        <v>0.428571428571429</v>
      </c>
    </row>
    <row r="113" customFormat="false" ht="15" hidden="false" customHeight="false" outlineLevel="0" collapsed="false">
      <c r="A113" s="18" t="s">
        <v>138</v>
      </c>
      <c r="B113" s="14" t="s">
        <v>178</v>
      </c>
      <c r="C113" s="18" t="s">
        <v>137</v>
      </c>
      <c r="D113" s="18" t="s">
        <v>201</v>
      </c>
      <c r="E113" s="18" t="s">
        <v>331</v>
      </c>
      <c r="F113" s="29" t="n">
        <v>69.99</v>
      </c>
      <c r="G113" s="29" t="n">
        <v>66.49</v>
      </c>
      <c r="H113" s="27" t="n">
        <f aca="false">G113/F113-1</f>
        <v>-0.0500071438776968</v>
      </c>
      <c r="I113" s="39" t="n">
        <v>1</v>
      </c>
      <c r="J113" s="39" t="n">
        <v>0.714285714285714</v>
      </c>
      <c r="K113" s="39" t="n">
        <f aca="false">IF(OR(I113="",J113=""),"",J113-I113)</f>
        <v>-0.285714285714286</v>
      </c>
    </row>
    <row r="114" customFormat="false" ht="15" hidden="false" customHeight="false" outlineLevel="0" collapsed="false">
      <c r="A114" s="18" t="s">
        <v>138</v>
      </c>
      <c r="B114" s="14" t="s">
        <v>178</v>
      </c>
      <c r="C114" s="18" t="s">
        <v>137</v>
      </c>
      <c r="D114" s="18" t="s">
        <v>201</v>
      </c>
      <c r="E114" s="18" t="s">
        <v>346</v>
      </c>
      <c r="F114" s="29" t="n">
        <v>66.49</v>
      </c>
      <c r="G114" s="29" t="n">
        <v>59.99</v>
      </c>
      <c r="H114" s="27" t="n">
        <f aca="false">G114/F114-1</f>
        <v>-0.0977590615130094</v>
      </c>
      <c r="I114" s="39" t="n">
        <v>0.428571428571429</v>
      </c>
      <c r="J114" s="39" t="n">
        <v>1</v>
      </c>
      <c r="K114" s="39" t="n">
        <f aca="false">IF(OR(I114="",J114=""),"",J114-I114)</f>
        <v>0.571428571428572</v>
      </c>
    </row>
    <row r="115" customFormat="false" ht="15" hidden="false" customHeight="false" outlineLevel="0" collapsed="false">
      <c r="A115" s="18" t="s">
        <v>138</v>
      </c>
      <c r="B115" s="14" t="s">
        <v>178</v>
      </c>
      <c r="C115" s="18" t="s">
        <v>137</v>
      </c>
      <c r="D115" s="18" t="s">
        <v>201</v>
      </c>
      <c r="E115" s="18" t="s">
        <v>340</v>
      </c>
      <c r="F115" s="29" t="n">
        <v>59.99</v>
      </c>
      <c r="G115" s="29" t="n">
        <v>56.99</v>
      </c>
      <c r="H115" s="27" t="n">
        <f aca="false">G115/F115-1</f>
        <v>-0.0500083347224537</v>
      </c>
      <c r="I115" s="39" t="n">
        <v>0.571428571428571</v>
      </c>
      <c r="J115" s="39" t="n">
        <v>0.571428571428571</v>
      </c>
      <c r="K115" s="39" t="n">
        <f aca="false">IF(OR(I115="",J115=""),"",J115-I115)</f>
        <v>0</v>
      </c>
    </row>
    <row r="116" customFormat="false" ht="15" hidden="false" customHeight="false" outlineLevel="0" collapsed="false">
      <c r="A116" s="18" t="s">
        <v>138</v>
      </c>
      <c r="B116" s="14" t="s">
        <v>178</v>
      </c>
      <c r="C116" s="18" t="s">
        <v>137</v>
      </c>
      <c r="D116" s="18" t="s">
        <v>201</v>
      </c>
      <c r="E116" s="18" t="s">
        <v>325</v>
      </c>
      <c r="F116" s="29" t="n">
        <v>56.99</v>
      </c>
      <c r="G116" s="29" t="n">
        <v>53.99</v>
      </c>
      <c r="H116" s="27" t="n">
        <f aca="false">G116/F116-1</f>
        <v>-0.052640814177926</v>
      </c>
      <c r="I116" s="39" t="n">
        <v>0.714285714285714</v>
      </c>
      <c r="J116" s="39" t="n">
        <v>0.714285714285714</v>
      </c>
      <c r="K116" s="39" t="n">
        <f aca="false">IF(OR(I116="",J116=""),"",J116-I116)</f>
        <v>0</v>
      </c>
    </row>
    <row r="117" customFormat="false" ht="15" hidden="false" customHeight="false" outlineLevel="0" collapsed="false">
      <c r="A117" s="18" t="s">
        <v>138</v>
      </c>
      <c r="B117" s="14" t="s">
        <v>178</v>
      </c>
      <c r="C117" s="18" t="s">
        <v>137</v>
      </c>
      <c r="D117" s="18" t="s">
        <v>201</v>
      </c>
      <c r="E117" s="18" t="s">
        <v>335</v>
      </c>
      <c r="F117" s="29" t="n">
        <v>53.99</v>
      </c>
      <c r="G117" s="29" t="n">
        <v>69.99</v>
      </c>
      <c r="H117" s="27" t="n">
        <f aca="false">G117/F117-1</f>
        <v>0.29635117614373</v>
      </c>
      <c r="I117" s="39" t="n">
        <v>0.714285714285714</v>
      </c>
      <c r="J117" s="39" t="n">
        <v>1</v>
      </c>
      <c r="K117" s="39" t="n">
        <f aca="false">IF(OR(I117="",J117=""),"",J117-I117)</f>
        <v>0.285714285714286</v>
      </c>
    </row>
    <row r="118" customFormat="false" ht="15" hidden="false" customHeight="false" outlineLevel="0" collapsed="false">
      <c r="A118" s="18" t="s">
        <v>138</v>
      </c>
      <c r="B118" s="14" t="s">
        <v>178</v>
      </c>
      <c r="C118" s="18" t="s">
        <v>137</v>
      </c>
      <c r="D118" s="18" t="s">
        <v>201</v>
      </c>
      <c r="E118" s="18" t="s">
        <v>330</v>
      </c>
      <c r="F118" s="29" t="n">
        <v>69.99</v>
      </c>
      <c r="G118" s="29" t="n">
        <v>66.49</v>
      </c>
      <c r="H118" s="27" t="n">
        <f aca="false">G118/F118-1</f>
        <v>-0.0500071438776968</v>
      </c>
      <c r="I118" s="39" t="n">
        <v>1.42857142857143</v>
      </c>
      <c r="J118" s="39" t="n">
        <v>0.571428571428571</v>
      </c>
      <c r="K118" s="39" t="n">
        <f aca="false">IF(OR(I118="",J118=""),"",J118-I118)</f>
        <v>-0.857142857142858</v>
      </c>
    </row>
    <row r="119" customFormat="false" ht="15" hidden="false" customHeight="false" outlineLevel="0" collapsed="false">
      <c r="A119" s="18" t="s">
        <v>138</v>
      </c>
      <c r="B119" s="14" t="s">
        <v>178</v>
      </c>
      <c r="C119" s="18" t="s">
        <v>137</v>
      </c>
      <c r="D119" s="18" t="s">
        <v>201</v>
      </c>
      <c r="E119" s="18" t="s">
        <v>345</v>
      </c>
      <c r="F119" s="29" t="n">
        <v>63.99</v>
      </c>
      <c r="G119" s="29" t="n">
        <v>45.99</v>
      </c>
      <c r="H119" s="27" t="n">
        <f aca="false">G119/F119-1</f>
        <v>-0.281293952180028</v>
      </c>
      <c r="I119" s="39" t="n">
        <v>1.28571428571429</v>
      </c>
      <c r="J119" s="39" t="n">
        <v>1.4</v>
      </c>
      <c r="K119" s="39" t="n">
        <f aca="false">IF(OR(I119="",J119=""),"",J119-I119)</f>
        <v>0.114285714285714</v>
      </c>
    </row>
    <row r="120" customFormat="false" ht="15" hidden="false" customHeight="false" outlineLevel="0" collapsed="false">
      <c r="A120" s="18" t="s">
        <v>138</v>
      </c>
      <c r="B120" s="14" t="s">
        <v>178</v>
      </c>
      <c r="C120" s="18" t="s">
        <v>244</v>
      </c>
      <c r="D120" s="18" t="s">
        <v>209</v>
      </c>
      <c r="E120" s="18" t="s">
        <v>361</v>
      </c>
      <c r="F120" s="29" t="n">
        <v>59.99</v>
      </c>
      <c r="G120" s="29" t="n">
        <v>36.49</v>
      </c>
      <c r="H120" s="27" t="n">
        <f aca="false">G120/F120-1</f>
        <v>-0.391731955325888</v>
      </c>
      <c r="I120" s="39" t="n">
        <v>1</v>
      </c>
      <c r="J120" s="39" t="n">
        <v>0.428571428571429</v>
      </c>
      <c r="K120" s="39" t="n">
        <f aca="false">IF(OR(I120="",J120=""),"",J120-I120)</f>
        <v>-0.571428571428572</v>
      </c>
    </row>
    <row r="121" customFormat="false" ht="15" hidden="false" customHeight="false" outlineLevel="0" collapsed="false">
      <c r="A121" s="18" t="s">
        <v>138</v>
      </c>
      <c r="B121" s="14" t="s">
        <v>178</v>
      </c>
      <c r="C121" s="18" t="s">
        <v>244</v>
      </c>
      <c r="D121" s="18" t="s">
        <v>209</v>
      </c>
      <c r="E121" s="18" t="s">
        <v>342</v>
      </c>
      <c r="F121" s="29" t="n">
        <v>36.49</v>
      </c>
      <c r="G121" s="29" t="n">
        <v>59.99</v>
      </c>
      <c r="H121" s="27" t="n">
        <f aca="false">G121/F121-1</f>
        <v>0.644012058098109</v>
      </c>
      <c r="I121" s="39" t="n">
        <v>0.428571428571429</v>
      </c>
      <c r="J121" s="39" t="n">
        <v>0.142857142857143</v>
      </c>
      <c r="K121" s="39" t="n">
        <f aca="false">IF(OR(I121="",J121=""),"",J121-I121)</f>
        <v>-0.285714285714286</v>
      </c>
    </row>
    <row r="122" customFormat="false" ht="15" hidden="false" customHeight="false" outlineLevel="0" collapsed="false">
      <c r="A122" s="18" t="s">
        <v>138</v>
      </c>
      <c r="B122" s="14" t="s">
        <v>178</v>
      </c>
      <c r="C122" s="18" t="s">
        <v>244</v>
      </c>
      <c r="D122" s="18" t="s">
        <v>209</v>
      </c>
      <c r="E122" s="18" t="s">
        <v>347</v>
      </c>
      <c r="F122" s="29" t="n">
        <v>59.99</v>
      </c>
      <c r="G122" s="29" t="n">
        <v>34.66</v>
      </c>
      <c r="H122" s="27" t="n">
        <f aca="false">G122/F122-1</f>
        <v>-0.422237039506585</v>
      </c>
      <c r="I122" s="39" t="n">
        <v>0.285714285714286</v>
      </c>
      <c r="J122" s="39" t="n">
        <v>0.285714285714286</v>
      </c>
      <c r="K122" s="39" t="n">
        <f aca="false">IF(OR(I122="",J122=""),"",J122-I122)</f>
        <v>0</v>
      </c>
    </row>
    <row r="123" customFormat="false" ht="15" hidden="false" customHeight="false" outlineLevel="0" collapsed="false">
      <c r="A123" s="18" t="s">
        <v>138</v>
      </c>
      <c r="B123" s="14" t="s">
        <v>178</v>
      </c>
      <c r="C123" s="18" t="s">
        <v>244</v>
      </c>
      <c r="D123" s="18" t="s">
        <v>209</v>
      </c>
      <c r="E123" s="18" t="s">
        <v>359</v>
      </c>
      <c r="F123" s="29" t="n">
        <v>33.99</v>
      </c>
      <c r="G123" s="29" t="n">
        <v>32.29</v>
      </c>
      <c r="H123" s="27" t="n">
        <f aca="false">G123/F123-1</f>
        <v>-0.050014710208885</v>
      </c>
      <c r="I123" s="39" t="n">
        <v>1.28571428571429</v>
      </c>
      <c r="J123" s="39" t="n">
        <v>0.571428571428571</v>
      </c>
      <c r="K123" s="39" t="n">
        <f aca="false">IF(OR(I123="",J123=""),"",J123-I123)</f>
        <v>-0.714285714285715</v>
      </c>
    </row>
    <row r="124" customFormat="false" ht="15" hidden="false" customHeight="false" outlineLevel="0" collapsed="false">
      <c r="A124" s="18" t="s">
        <v>138</v>
      </c>
      <c r="B124" s="14" t="s">
        <v>178</v>
      </c>
      <c r="C124" s="18" t="s">
        <v>244</v>
      </c>
      <c r="D124" s="18" t="s">
        <v>209</v>
      </c>
      <c r="E124" s="18" t="s">
        <v>345</v>
      </c>
      <c r="F124" s="29" t="n">
        <v>31.99</v>
      </c>
      <c r="G124" s="29" t="n">
        <v>45.99</v>
      </c>
      <c r="H124" s="27" t="n">
        <f aca="false">G124/F124-1</f>
        <v>0.437636761487965</v>
      </c>
      <c r="I124" s="39" t="n">
        <v>0.714285714285714</v>
      </c>
      <c r="J124" s="39" t="n">
        <v>0.8</v>
      </c>
      <c r="K124" s="39" t="n">
        <f aca="false">IF(OR(I124="",J124=""),"",J124-I124)</f>
        <v>0.0857142857142857</v>
      </c>
    </row>
    <row r="125" customFormat="false" ht="15" hidden="false" customHeight="false" outlineLevel="0" collapsed="false">
      <c r="A125" s="18" t="s">
        <v>84</v>
      </c>
      <c r="B125" s="14" t="s">
        <v>175</v>
      </c>
      <c r="C125" s="18" t="s">
        <v>256</v>
      </c>
      <c r="D125" s="18" t="s">
        <v>209</v>
      </c>
      <c r="E125" s="18" t="s">
        <v>361</v>
      </c>
      <c r="F125" s="29" t="n">
        <v>59.99</v>
      </c>
      <c r="G125" s="29" t="n">
        <v>39.99</v>
      </c>
      <c r="H125" s="27" t="n">
        <f aca="false">G125/F125-1</f>
        <v>-0.333388898149692</v>
      </c>
      <c r="I125" s="39" t="n">
        <v>0</v>
      </c>
      <c r="J125" s="39" t="n">
        <v>0.142857142857143</v>
      </c>
      <c r="K125" s="39" t="n">
        <f aca="false">IF(OR(I125="",J125=""),"",J125-I125)</f>
        <v>0.142857142857143</v>
      </c>
    </row>
    <row r="126" customFormat="false" ht="15" hidden="false" customHeight="false" outlineLevel="0" collapsed="false">
      <c r="A126" s="18" t="s">
        <v>84</v>
      </c>
      <c r="B126" s="14" t="s">
        <v>175</v>
      </c>
      <c r="C126" s="18" t="s">
        <v>256</v>
      </c>
      <c r="D126" s="18" t="s">
        <v>209</v>
      </c>
      <c r="E126" s="18" t="s">
        <v>342</v>
      </c>
      <c r="F126" s="29" t="n">
        <v>39.99</v>
      </c>
      <c r="G126" s="29" t="n">
        <v>59.99</v>
      </c>
      <c r="H126" s="27" t="n">
        <f aca="false">G126/F126-1</f>
        <v>0.500125031257815</v>
      </c>
      <c r="I126" s="39" t="n">
        <v>0</v>
      </c>
      <c r="J126" s="39" t="n">
        <v>0.857142857142857</v>
      </c>
      <c r="K126" s="39" t="n">
        <f aca="false">IF(OR(I126="",J126=""),"",J126-I126)</f>
        <v>0.857142857142857</v>
      </c>
    </row>
    <row r="127" customFormat="false" ht="15" hidden="false" customHeight="false" outlineLevel="0" collapsed="false">
      <c r="A127" s="18" t="s">
        <v>84</v>
      </c>
      <c r="B127" s="14" t="s">
        <v>175</v>
      </c>
      <c r="C127" s="18" t="s">
        <v>256</v>
      </c>
      <c r="D127" s="18" t="s">
        <v>209</v>
      </c>
      <c r="E127" s="18" t="s">
        <v>347</v>
      </c>
      <c r="F127" s="29" t="n">
        <v>59.99</v>
      </c>
      <c r="G127" s="29" t="n">
        <v>39.99</v>
      </c>
      <c r="H127" s="27" t="n">
        <f aca="false">G127/F127-1</f>
        <v>-0.333388898149692</v>
      </c>
      <c r="I127" s="39" t="n">
        <v>0</v>
      </c>
      <c r="J127" s="39" t="n">
        <v>1</v>
      </c>
      <c r="K127" s="39" t="n">
        <f aca="false">IF(OR(I127="",J127=""),"",J127-I127)</f>
        <v>1</v>
      </c>
    </row>
    <row r="128" customFormat="false" ht="15" hidden="false" customHeight="false" outlineLevel="0" collapsed="false">
      <c r="A128" s="18" t="s">
        <v>84</v>
      </c>
      <c r="B128" s="14" t="s">
        <v>175</v>
      </c>
      <c r="C128" s="18" t="s">
        <v>256</v>
      </c>
      <c r="D128" s="18" t="s">
        <v>209</v>
      </c>
      <c r="E128" s="18" t="s">
        <v>356</v>
      </c>
      <c r="F128" s="29" t="n">
        <v>39.99</v>
      </c>
      <c r="G128" s="29" t="n">
        <v>34.99</v>
      </c>
      <c r="H128" s="27" t="n">
        <f aca="false">G128/F128-1</f>
        <v>-0.125031257814454</v>
      </c>
      <c r="I128" s="39" t="n">
        <v>0.428571428571429</v>
      </c>
      <c r="J128" s="39" t="n">
        <v>0.714285714285714</v>
      </c>
      <c r="K128" s="39" t="n">
        <f aca="false">IF(OR(I128="",J128=""),"",J128-I128)</f>
        <v>0.285714285714286</v>
      </c>
    </row>
    <row r="129" customFormat="false" ht="15" hidden="false" customHeight="false" outlineLevel="0" collapsed="false">
      <c r="A129" s="18" t="s">
        <v>84</v>
      </c>
      <c r="B129" s="14" t="s">
        <v>175</v>
      </c>
      <c r="C129" s="18" t="s">
        <v>256</v>
      </c>
      <c r="D129" s="18" t="s">
        <v>209</v>
      </c>
      <c r="E129" s="18" t="s">
        <v>349</v>
      </c>
      <c r="F129" s="29" t="n">
        <v>34.99</v>
      </c>
      <c r="G129" s="29" t="n">
        <v>56.99</v>
      </c>
      <c r="H129" s="27" t="n">
        <f aca="false">G129/F129-1</f>
        <v>0.628751071734781</v>
      </c>
      <c r="I129" s="39" t="n">
        <v>0.571428571428571</v>
      </c>
      <c r="J129" s="39" t="n">
        <v>0.142857142857143</v>
      </c>
      <c r="K129" s="39" t="n">
        <f aca="false">IF(OR(I129="",J129=""),"",J129-I129)</f>
        <v>-0.428571428571429</v>
      </c>
    </row>
    <row r="130" customFormat="false" ht="15" hidden="false" customHeight="false" outlineLevel="0" collapsed="false">
      <c r="A130" s="18" t="s">
        <v>84</v>
      </c>
      <c r="B130" s="14" t="s">
        <v>175</v>
      </c>
      <c r="C130" s="18" t="s">
        <v>256</v>
      </c>
      <c r="D130" s="18" t="s">
        <v>209</v>
      </c>
      <c r="E130" s="18" t="s">
        <v>352</v>
      </c>
      <c r="F130" s="29" t="n">
        <v>56.99</v>
      </c>
      <c r="G130" s="29" t="n">
        <v>42.99</v>
      </c>
      <c r="H130" s="27" t="n">
        <f aca="false">G130/F130-1</f>
        <v>-0.245657132830321</v>
      </c>
      <c r="I130" s="39" t="n">
        <v>0.285714285714286</v>
      </c>
      <c r="J130" s="39" t="n">
        <v>0</v>
      </c>
      <c r="K130" s="39" t="n">
        <f aca="false">IF(OR(I130="",J130=""),"",J130-I130)</f>
        <v>-0.285714285714286</v>
      </c>
    </row>
    <row r="131" customFormat="false" ht="15" hidden="false" customHeight="false" outlineLevel="0" collapsed="false">
      <c r="A131" s="18" t="s">
        <v>84</v>
      </c>
      <c r="B131" s="14" t="s">
        <v>175</v>
      </c>
      <c r="C131" s="18" t="s">
        <v>256</v>
      </c>
      <c r="D131" s="18" t="s">
        <v>209</v>
      </c>
      <c r="E131" s="18" t="s">
        <v>345</v>
      </c>
      <c r="F131" s="29" t="n">
        <v>42.99</v>
      </c>
      <c r="G131" s="29" t="n">
        <v>45.99</v>
      </c>
      <c r="H131" s="27" t="n">
        <f aca="false">G131/F131-1</f>
        <v>0.0697836706210746</v>
      </c>
      <c r="I131" s="39" t="n">
        <v>0</v>
      </c>
      <c r="J131" s="39" t="n">
        <v>0</v>
      </c>
      <c r="K131" s="39" t="n">
        <f aca="false">IF(OR(I131="",J131=""),"",J131-I131)</f>
        <v>0</v>
      </c>
    </row>
    <row r="132" customFormat="false" ht="15" hidden="false" customHeight="false" outlineLevel="0" collapsed="false">
      <c r="A132" s="18" t="s">
        <v>84</v>
      </c>
      <c r="B132" s="14" t="s">
        <v>175</v>
      </c>
      <c r="C132" s="18" t="s">
        <v>83</v>
      </c>
      <c r="D132" s="18" t="s">
        <v>201</v>
      </c>
      <c r="E132" s="18" t="s">
        <v>331</v>
      </c>
      <c r="F132" s="29" t="n">
        <v>69.99</v>
      </c>
      <c r="G132" s="29" t="n">
        <v>66.49</v>
      </c>
      <c r="H132" s="27" t="n">
        <f aca="false">G132/F132-1</f>
        <v>-0.0500071438776968</v>
      </c>
      <c r="I132" s="39" t="n">
        <v>0.333333333333333</v>
      </c>
      <c r="J132" s="39" t="n">
        <v>0.142857142857143</v>
      </c>
      <c r="K132" s="39" t="n">
        <f aca="false">IF(OR(I132="",J132=""),"",J132-I132)</f>
        <v>-0.190476190476191</v>
      </c>
    </row>
    <row r="133" customFormat="false" ht="15" hidden="false" customHeight="false" outlineLevel="0" collapsed="false">
      <c r="A133" s="18" t="s">
        <v>84</v>
      </c>
      <c r="B133" s="14" t="s">
        <v>175</v>
      </c>
      <c r="C133" s="18" t="s">
        <v>83</v>
      </c>
      <c r="D133" s="18" t="s">
        <v>201</v>
      </c>
      <c r="E133" s="18" t="s">
        <v>346</v>
      </c>
      <c r="F133" s="29" t="n">
        <v>66.49</v>
      </c>
      <c r="G133" s="29" t="n">
        <v>59.99</v>
      </c>
      <c r="H133" s="27" t="n">
        <f aca="false">G133/F133-1</f>
        <v>-0.0977590615130094</v>
      </c>
      <c r="I133" s="39" t="n">
        <v>0.142857142857143</v>
      </c>
      <c r="J133" s="39" t="n">
        <v>0.571428571428571</v>
      </c>
      <c r="K133" s="39" t="n">
        <f aca="false">IF(OR(I133="",J133=""),"",J133-I133)</f>
        <v>0.428571428571429</v>
      </c>
    </row>
    <row r="134" customFormat="false" ht="15" hidden="false" customHeight="false" outlineLevel="0" collapsed="false">
      <c r="A134" s="18" t="s">
        <v>84</v>
      </c>
      <c r="B134" s="14" t="s">
        <v>175</v>
      </c>
      <c r="C134" s="18" t="s">
        <v>83</v>
      </c>
      <c r="D134" s="18" t="s">
        <v>201</v>
      </c>
      <c r="E134" s="18" t="s">
        <v>340</v>
      </c>
      <c r="F134" s="29" t="n">
        <v>59.99</v>
      </c>
      <c r="G134" s="29" t="n">
        <v>56.99</v>
      </c>
      <c r="H134" s="27" t="n">
        <f aca="false">G134/F134-1</f>
        <v>-0.0500083347224537</v>
      </c>
      <c r="I134" s="39" t="n">
        <v>0.142857142857143</v>
      </c>
      <c r="J134" s="39" t="n">
        <v>0.714285714285714</v>
      </c>
      <c r="K134" s="39" t="n">
        <f aca="false">IF(OR(I134="",J134=""),"",J134-I134)</f>
        <v>0.571428571428572</v>
      </c>
    </row>
    <row r="135" customFormat="false" ht="15" hidden="false" customHeight="false" outlineLevel="0" collapsed="false">
      <c r="A135" s="18" t="s">
        <v>84</v>
      </c>
      <c r="B135" s="14" t="s">
        <v>175</v>
      </c>
      <c r="C135" s="18" t="s">
        <v>83</v>
      </c>
      <c r="D135" s="18" t="s">
        <v>201</v>
      </c>
      <c r="E135" s="18" t="s">
        <v>325</v>
      </c>
      <c r="F135" s="29" t="n">
        <v>56.99</v>
      </c>
      <c r="G135" s="29" t="n">
        <v>53.99</v>
      </c>
      <c r="H135" s="27" t="n">
        <f aca="false">G135/F135-1</f>
        <v>-0.052640814177926</v>
      </c>
      <c r="I135" s="39" t="n">
        <v>0.571428571428571</v>
      </c>
      <c r="J135" s="39" t="n">
        <v>0.714285714285714</v>
      </c>
      <c r="K135" s="39" t="n">
        <f aca="false">IF(OR(I135="",J135=""),"",J135-I135)</f>
        <v>0.142857142857143</v>
      </c>
    </row>
    <row r="136" customFormat="false" ht="15" hidden="false" customHeight="false" outlineLevel="0" collapsed="false">
      <c r="A136" s="18" t="s">
        <v>84</v>
      </c>
      <c r="B136" s="14" t="s">
        <v>175</v>
      </c>
      <c r="C136" s="18" t="s">
        <v>83</v>
      </c>
      <c r="D136" s="18" t="s">
        <v>201</v>
      </c>
      <c r="E136" s="18" t="s">
        <v>359</v>
      </c>
      <c r="F136" s="29" t="n">
        <v>53.99</v>
      </c>
      <c r="G136" s="29" t="n">
        <v>69.99</v>
      </c>
      <c r="H136" s="27" t="n">
        <f aca="false">G136/F136-1</f>
        <v>0.29635117614373</v>
      </c>
      <c r="I136" s="39" t="n">
        <v>0.857142857142857</v>
      </c>
      <c r="J136" s="39" t="n">
        <v>0.571428571428571</v>
      </c>
      <c r="K136" s="39" t="n">
        <f aca="false">IF(OR(I136="",J136=""),"",J136-I136)</f>
        <v>-0.285714285714286</v>
      </c>
    </row>
    <row r="137" customFormat="false" ht="15" hidden="false" customHeight="false" outlineLevel="0" collapsed="false">
      <c r="A137" s="18" t="s">
        <v>84</v>
      </c>
      <c r="B137" s="14" t="s">
        <v>175</v>
      </c>
      <c r="C137" s="18" t="s">
        <v>83</v>
      </c>
      <c r="D137" s="18" t="s">
        <v>201</v>
      </c>
      <c r="E137" s="18" t="s">
        <v>338</v>
      </c>
      <c r="F137" s="29" t="n">
        <v>69.99</v>
      </c>
      <c r="G137" s="29" t="n">
        <v>66.49</v>
      </c>
      <c r="H137" s="27" t="n">
        <f aca="false">G137/F137-1</f>
        <v>-0.0500071438776968</v>
      </c>
      <c r="I137" s="39" t="n">
        <v>0.571428571428571</v>
      </c>
      <c r="J137" s="39" t="n">
        <v>0.142857142857143</v>
      </c>
      <c r="K137" s="39" t="n">
        <f aca="false">IF(OR(I137="",J137=""),"",J137-I137)</f>
        <v>-0.428571428571429</v>
      </c>
    </row>
    <row r="138" customFormat="false" ht="15" hidden="false" customHeight="false" outlineLevel="0" collapsed="false">
      <c r="A138" s="18" t="s">
        <v>84</v>
      </c>
      <c r="B138" s="14" t="s">
        <v>175</v>
      </c>
      <c r="C138" s="18" t="s">
        <v>83</v>
      </c>
      <c r="D138" s="18" t="s">
        <v>201</v>
      </c>
      <c r="E138" s="18" t="s">
        <v>362</v>
      </c>
      <c r="F138" s="29" t="n">
        <v>63.99</v>
      </c>
      <c r="G138" s="29" t="n">
        <v>69.99</v>
      </c>
      <c r="H138" s="27" t="n">
        <f aca="false">G138/F138-1</f>
        <v>0.0937646507266758</v>
      </c>
      <c r="I138" s="39" t="n">
        <v>0.142857142857143</v>
      </c>
      <c r="J138" s="39" t="n">
        <v>0.142857142857143</v>
      </c>
      <c r="K138" s="39" t="n">
        <f aca="false">IF(OR(I138="",J138=""),"",J138-I138)</f>
        <v>0</v>
      </c>
    </row>
    <row r="139" customFormat="false" ht="15" hidden="false" customHeight="false" outlineLevel="0" collapsed="false">
      <c r="A139" s="18" t="s">
        <v>84</v>
      </c>
      <c r="B139" s="14" t="s">
        <v>175</v>
      </c>
      <c r="C139" s="18" t="s">
        <v>83</v>
      </c>
      <c r="D139" s="18" t="s">
        <v>201</v>
      </c>
      <c r="E139" s="18" t="s">
        <v>345</v>
      </c>
      <c r="F139" s="29" t="n">
        <v>69.99</v>
      </c>
      <c r="G139" s="29" t="n">
        <v>45.99</v>
      </c>
      <c r="H139" s="27" t="n">
        <f aca="false">G139/F139-1</f>
        <v>-0.342906129447064</v>
      </c>
      <c r="I139" s="39" t="n">
        <v>0.285714285714286</v>
      </c>
      <c r="J139" s="39" t="n">
        <v>0</v>
      </c>
      <c r="K139" s="39" t="n">
        <f aca="false">IF(OR(I139="",J139=""),"",J139-I139)</f>
        <v>-0.285714285714286</v>
      </c>
    </row>
    <row r="140" customFormat="false" ht="15" hidden="false" customHeight="false" outlineLevel="0" collapsed="false">
      <c r="A140" s="18" t="s">
        <v>98</v>
      </c>
      <c r="B140" s="14" t="s">
        <v>173</v>
      </c>
      <c r="C140" s="18" t="s">
        <v>217</v>
      </c>
      <c r="D140" s="18" t="s">
        <v>201</v>
      </c>
      <c r="E140" s="18" t="s">
        <v>331</v>
      </c>
      <c r="F140" s="29" t="n">
        <v>116.99</v>
      </c>
      <c r="G140" s="29" t="n">
        <v>111.14</v>
      </c>
      <c r="H140" s="27" t="n">
        <f aca="false">G140/F140-1</f>
        <v>-0.0500042738695614</v>
      </c>
      <c r="I140" s="39" t="n">
        <v>1</v>
      </c>
      <c r="J140" s="39" t="n">
        <v>1</v>
      </c>
      <c r="K140" s="39" t="n">
        <f aca="false">IF(OR(I140="",J140=""),"",J140-I140)</f>
        <v>0</v>
      </c>
    </row>
    <row r="141" customFormat="false" ht="15" hidden="false" customHeight="false" outlineLevel="0" collapsed="false">
      <c r="A141" s="18" t="s">
        <v>98</v>
      </c>
      <c r="B141" s="14" t="s">
        <v>173</v>
      </c>
      <c r="C141" s="18" t="s">
        <v>217</v>
      </c>
      <c r="D141" s="18" t="s">
        <v>201</v>
      </c>
      <c r="E141" s="18" t="s">
        <v>332</v>
      </c>
      <c r="F141" s="29" t="n">
        <v>111.14</v>
      </c>
      <c r="G141" s="29" t="n">
        <v>99.99</v>
      </c>
      <c r="H141" s="27" t="n">
        <f aca="false">G141/F141-1</f>
        <v>-0.100323915781897</v>
      </c>
      <c r="I141" s="39" t="n">
        <v>0.8</v>
      </c>
      <c r="J141" s="39" t="n">
        <v>1</v>
      </c>
      <c r="K141" s="39" t="n">
        <f aca="false">IF(OR(I141="",J141=""),"",J141-I141)</f>
        <v>0.2</v>
      </c>
    </row>
    <row r="142" customFormat="false" ht="15" hidden="false" customHeight="false" outlineLevel="0" collapsed="false">
      <c r="A142" s="18" t="s">
        <v>98</v>
      </c>
      <c r="B142" s="14" t="s">
        <v>173</v>
      </c>
      <c r="C142" s="18" t="s">
        <v>217</v>
      </c>
      <c r="D142" s="18" t="s">
        <v>201</v>
      </c>
      <c r="E142" s="18" t="s">
        <v>359</v>
      </c>
      <c r="F142" s="29" t="n">
        <v>92.99</v>
      </c>
      <c r="G142" s="29" t="n">
        <v>116.99</v>
      </c>
      <c r="H142" s="27" t="n">
        <f aca="false">G142/F142-1</f>
        <v>0.258092267985805</v>
      </c>
      <c r="I142" s="39" t="n">
        <v>1.42857142857143</v>
      </c>
      <c r="J142" s="39" t="n">
        <v>0.571428571428571</v>
      </c>
      <c r="K142" s="39" t="n">
        <f aca="false">IF(OR(I142="",J142=""),"",J142-I142)</f>
        <v>-0.857142857142858</v>
      </c>
    </row>
    <row r="143" customFormat="false" ht="15" hidden="false" customHeight="false" outlineLevel="0" collapsed="false">
      <c r="A143" s="18" t="s">
        <v>98</v>
      </c>
      <c r="B143" s="14" t="s">
        <v>173</v>
      </c>
      <c r="C143" s="18" t="s">
        <v>97</v>
      </c>
      <c r="D143" s="18" t="s">
        <v>337</v>
      </c>
      <c r="E143" s="18" t="s">
        <v>338</v>
      </c>
      <c r="F143" s="29" t="n">
        <v>104.13</v>
      </c>
      <c r="G143" s="29" t="n">
        <v>98.92</v>
      </c>
      <c r="H143" s="27" t="n">
        <f aca="false">G143/F143-1</f>
        <v>-0.0500336118313646</v>
      </c>
      <c r="I143" s="39" t="n">
        <v>0.571428571428571</v>
      </c>
      <c r="J143" s="39" t="n">
        <v>0.571428571428571</v>
      </c>
      <c r="K143" s="39" t="n">
        <f aca="false">IF(OR(I143="",J143=""),"",J143-I143)</f>
        <v>0</v>
      </c>
    </row>
    <row r="144" customFormat="false" ht="15" hidden="false" customHeight="false" outlineLevel="0" collapsed="false">
      <c r="A144" s="18" t="s">
        <v>98</v>
      </c>
      <c r="B144" s="14" t="s">
        <v>173</v>
      </c>
      <c r="C144" s="18" t="s">
        <v>97</v>
      </c>
      <c r="D144" s="18" t="s">
        <v>209</v>
      </c>
      <c r="E144" s="18" t="s">
        <v>327</v>
      </c>
      <c r="F144" s="29" t="n">
        <v>115.99</v>
      </c>
      <c r="G144" s="29" t="n">
        <v>99.99</v>
      </c>
      <c r="H144" s="27" t="n">
        <f aca="false">G144/F144-1</f>
        <v>-0.13794292611432</v>
      </c>
      <c r="I144" s="39" t="n">
        <v>0.571428571428571</v>
      </c>
      <c r="J144" s="39" t="n">
        <v>1.57142857142857</v>
      </c>
      <c r="K144" s="39" t="n">
        <f aca="false">IF(OR(I144="",J144=""),"",J144-I144)</f>
        <v>1</v>
      </c>
    </row>
    <row r="145" customFormat="false" ht="15" hidden="false" customHeight="false" outlineLevel="0" collapsed="false">
      <c r="A145" s="18" t="s">
        <v>98</v>
      </c>
      <c r="B145" s="14" t="s">
        <v>173</v>
      </c>
      <c r="C145" s="18" t="s">
        <v>97</v>
      </c>
      <c r="D145" s="18" t="s">
        <v>209</v>
      </c>
      <c r="E145" s="18" t="s">
        <v>349</v>
      </c>
      <c r="F145" s="29" t="n">
        <v>88.99</v>
      </c>
      <c r="G145" s="29" t="n">
        <v>110.19</v>
      </c>
      <c r="H145" s="27" t="n">
        <f aca="false">G145/F145-1</f>
        <v>0.238229014496011</v>
      </c>
      <c r="I145" s="39" t="n">
        <v>5.85714285714286</v>
      </c>
      <c r="J145" s="39" t="n">
        <v>1.57142857142857</v>
      </c>
      <c r="K145" s="39" t="n">
        <f aca="false">IF(OR(I145="",J145=""),"",J145-I145)</f>
        <v>-4.28571428571429</v>
      </c>
    </row>
    <row r="146" customFormat="false" ht="15" hidden="false" customHeight="false" outlineLevel="0" collapsed="false">
      <c r="A146" s="18" t="s">
        <v>118</v>
      </c>
      <c r="B146" s="14" t="s">
        <v>174</v>
      </c>
      <c r="C146" s="18" t="s">
        <v>220</v>
      </c>
      <c r="D146" s="18" t="s">
        <v>201</v>
      </c>
      <c r="E146" s="18" t="s">
        <v>331</v>
      </c>
      <c r="F146" s="29" t="n">
        <v>113.99</v>
      </c>
      <c r="G146" s="29" t="n">
        <v>108.29</v>
      </c>
      <c r="H146" s="27" t="n">
        <f aca="false">G146/F146-1</f>
        <v>-0.0500043863496797</v>
      </c>
      <c r="I146" s="39" t="n">
        <v>0</v>
      </c>
      <c r="J146" s="39" t="n">
        <v>1.14285714285714</v>
      </c>
      <c r="K146" s="39" t="n">
        <f aca="false">IF(OR(I146="",J146=""),"",J146-I146)</f>
        <v>1.14285714285714</v>
      </c>
    </row>
    <row r="147" customFormat="false" ht="15" hidden="false" customHeight="false" outlineLevel="0" collapsed="false">
      <c r="A147" s="18" t="s">
        <v>118</v>
      </c>
      <c r="B147" s="14" t="s">
        <v>174</v>
      </c>
      <c r="C147" s="18" t="s">
        <v>220</v>
      </c>
      <c r="D147" s="18" t="s">
        <v>201</v>
      </c>
      <c r="E147" s="18" t="s">
        <v>332</v>
      </c>
      <c r="F147" s="29" t="n">
        <v>108.29</v>
      </c>
      <c r="G147" s="29" t="n">
        <v>99.99</v>
      </c>
      <c r="H147" s="27" t="n">
        <f aca="false">G147/F147-1</f>
        <v>-0.0766460430325978</v>
      </c>
      <c r="I147" s="39" t="n">
        <v>0.8</v>
      </c>
      <c r="J147" s="39" t="n">
        <v>0.857142857142857</v>
      </c>
      <c r="K147" s="39" t="n">
        <f aca="false">IF(OR(I147="",J147=""),"",J147-I147)</f>
        <v>0.0571428571428571</v>
      </c>
    </row>
    <row r="148" customFormat="false" ht="15" hidden="false" customHeight="false" outlineLevel="0" collapsed="false">
      <c r="A148" s="18" t="s">
        <v>118</v>
      </c>
      <c r="B148" s="14" t="s">
        <v>174</v>
      </c>
      <c r="C148" s="18" t="s">
        <v>220</v>
      </c>
      <c r="D148" s="18" t="s">
        <v>201</v>
      </c>
      <c r="E148" s="18" t="s">
        <v>336</v>
      </c>
      <c r="F148" s="29" t="n">
        <v>92.14</v>
      </c>
      <c r="G148" s="29" t="n">
        <v>113.99</v>
      </c>
      <c r="H148" s="27" t="n">
        <f aca="false">G148/F148-1</f>
        <v>0.237139136097243</v>
      </c>
      <c r="I148" s="39" t="n">
        <v>0.714285714285714</v>
      </c>
      <c r="J148" s="39" t="n">
        <v>0.428571428571429</v>
      </c>
      <c r="K148" s="39" t="n">
        <f aca="false">IF(OR(I148="",J148=""),"",J148-I148)</f>
        <v>-0.285714285714286</v>
      </c>
    </row>
    <row r="149" customFormat="false" ht="15" hidden="false" customHeight="false" outlineLevel="0" collapsed="false">
      <c r="A149" s="18" t="s">
        <v>118</v>
      </c>
      <c r="B149" s="14" t="s">
        <v>174</v>
      </c>
      <c r="C149" s="18" t="s">
        <v>220</v>
      </c>
      <c r="D149" s="18" t="s">
        <v>201</v>
      </c>
      <c r="E149" s="18" t="s">
        <v>355</v>
      </c>
      <c r="F149" s="29" t="n">
        <v>113.99</v>
      </c>
      <c r="G149" s="29" t="n">
        <v>92.14</v>
      </c>
      <c r="H149" s="27" t="n">
        <f aca="false">G149/F149-1</f>
        <v>-0.191683481007106</v>
      </c>
      <c r="I149" s="39" t="n">
        <v>0.714285714285714</v>
      </c>
      <c r="J149" s="39" t="n">
        <v>1.28571428571429</v>
      </c>
      <c r="K149" s="39" t="n">
        <f aca="false">IF(OR(I149="",J149=""),"",J149-I149)</f>
        <v>0.571428571428572</v>
      </c>
    </row>
    <row r="150" customFormat="false" ht="15" hidden="false" customHeight="false" outlineLevel="0" collapsed="false">
      <c r="A150" s="18" t="s">
        <v>118</v>
      </c>
      <c r="B150" s="14" t="s">
        <v>174</v>
      </c>
      <c r="C150" s="18" t="s">
        <v>220</v>
      </c>
      <c r="D150" s="18" t="s">
        <v>201</v>
      </c>
      <c r="E150" s="18" t="s">
        <v>335</v>
      </c>
      <c r="F150" s="29" t="n">
        <v>92.14</v>
      </c>
      <c r="G150" s="29" t="n">
        <v>113.99</v>
      </c>
      <c r="H150" s="27" t="n">
        <f aca="false">G150/F150-1</f>
        <v>0.237139136097243</v>
      </c>
      <c r="I150" s="39" t="n">
        <v>0.714285714285714</v>
      </c>
      <c r="J150" s="39" t="n">
        <v>1.71428571428571</v>
      </c>
      <c r="K150" s="39" t="n">
        <f aca="false">IF(OR(I150="",J150=""),"",J150-I150)</f>
        <v>1</v>
      </c>
    </row>
    <row r="151" customFormat="false" ht="15" hidden="false" customHeight="false" outlineLevel="0" collapsed="false">
      <c r="A151" s="18" t="s">
        <v>118</v>
      </c>
      <c r="B151" s="14" t="s">
        <v>174</v>
      </c>
      <c r="C151" s="18" t="s">
        <v>220</v>
      </c>
      <c r="D151" s="18" t="s">
        <v>201</v>
      </c>
      <c r="E151" s="18" t="s">
        <v>338</v>
      </c>
      <c r="F151" s="29" t="n">
        <v>113.99</v>
      </c>
      <c r="G151" s="29" t="n">
        <v>90.24</v>
      </c>
      <c r="H151" s="27" t="n">
        <f aca="false">G151/F151-1</f>
        <v>-0.208351609790333</v>
      </c>
      <c r="I151" s="39" t="n">
        <v>1.85714285714286</v>
      </c>
      <c r="J151" s="39" t="n">
        <v>0.714285714285714</v>
      </c>
      <c r="K151" s="39" t="n">
        <f aca="false">IF(OR(I151="",J151=""),"",J151-I151)</f>
        <v>-1.14285714285714</v>
      </c>
    </row>
    <row r="152" customFormat="false" ht="15" hidden="false" customHeight="false" outlineLevel="0" collapsed="false">
      <c r="A152" s="18" t="s">
        <v>118</v>
      </c>
      <c r="B152" s="14" t="s">
        <v>174</v>
      </c>
      <c r="C152" s="18" t="s">
        <v>117</v>
      </c>
      <c r="D152" s="18" t="s">
        <v>209</v>
      </c>
      <c r="E152" s="18" t="s">
        <v>327</v>
      </c>
      <c r="F152" s="29" t="n">
        <v>115.99</v>
      </c>
      <c r="G152" s="29" t="n">
        <v>99.99</v>
      </c>
      <c r="H152" s="27" t="n">
        <f aca="false">G152/F152-1</f>
        <v>-0.13794292611432</v>
      </c>
      <c r="I152" s="39" t="n">
        <v>0.571428571428571</v>
      </c>
      <c r="J152" s="39" t="n">
        <v>1.28571428571429</v>
      </c>
      <c r="K152" s="39" t="n">
        <f aca="false">IF(OR(I152="",J152=""),"",J152-I152)</f>
        <v>0.714285714285715</v>
      </c>
    </row>
    <row r="153" customFormat="false" ht="15" hidden="false" customHeight="false" outlineLevel="0" collapsed="false">
      <c r="A153" s="18" t="s">
        <v>118</v>
      </c>
      <c r="B153" s="14" t="s">
        <v>174</v>
      </c>
      <c r="C153" s="18" t="s">
        <v>117</v>
      </c>
      <c r="D153" s="18" t="s">
        <v>209</v>
      </c>
      <c r="E153" s="18" t="s">
        <v>349</v>
      </c>
      <c r="F153" s="29" t="n">
        <v>88.99</v>
      </c>
      <c r="G153" s="29" t="n">
        <v>110.19</v>
      </c>
      <c r="H153" s="27" t="n">
        <f aca="false">G153/F153-1</f>
        <v>0.238229014496011</v>
      </c>
      <c r="I153" s="39" t="n">
        <v>5.42857142857143</v>
      </c>
      <c r="J153" s="39" t="n">
        <v>1.71428571428571</v>
      </c>
      <c r="K153" s="39" t="n">
        <f aca="false">IF(OR(I153="",J153=""),"",J153-I153)</f>
        <v>-3.71428571428572</v>
      </c>
    </row>
    <row r="154" customFormat="false" ht="15" hidden="false" customHeight="false" outlineLevel="0" collapsed="false">
      <c r="A154" s="18" t="s">
        <v>90</v>
      </c>
      <c r="B154" s="14" t="s">
        <v>176</v>
      </c>
      <c r="C154" s="18" t="s">
        <v>246</v>
      </c>
      <c r="D154" s="18" t="s">
        <v>201</v>
      </c>
      <c r="E154" s="18" t="s">
        <v>331</v>
      </c>
      <c r="F154" s="29" t="n">
        <v>109.99</v>
      </c>
      <c r="G154" s="29" t="n">
        <v>104.49</v>
      </c>
      <c r="H154" s="27" t="n">
        <f aca="false">G154/F154-1</f>
        <v>-0.0500045458678061</v>
      </c>
      <c r="I154" s="39" t="n">
        <v>0.333333333333333</v>
      </c>
      <c r="J154" s="39" t="n">
        <v>0.285714285714286</v>
      </c>
      <c r="K154" s="39" t="n">
        <f aca="false">IF(OR(I154="",J154=""),"",J154-I154)</f>
        <v>-0.0476190476190476</v>
      </c>
    </row>
    <row r="155" customFormat="false" ht="15" hidden="false" customHeight="false" outlineLevel="0" collapsed="false">
      <c r="A155" s="18" t="s">
        <v>90</v>
      </c>
      <c r="B155" s="14" t="s">
        <v>176</v>
      </c>
      <c r="C155" s="18" t="s">
        <v>246</v>
      </c>
      <c r="D155" s="18" t="s">
        <v>201</v>
      </c>
      <c r="E155" s="18" t="s">
        <v>355</v>
      </c>
      <c r="F155" s="29" t="n">
        <v>92.99</v>
      </c>
      <c r="G155" s="29" t="n">
        <v>109.99</v>
      </c>
      <c r="H155" s="27" t="n">
        <f aca="false">G155/F155-1</f>
        <v>0.182815356489945</v>
      </c>
      <c r="I155" s="39" t="n">
        <v>0</v>
      </c>
      <c r="J155" s="39" t="n">
        <v>0.142857142857143</v>
      </c>
      <c r="K155" s="39" t="n">
        <f aca="false">IF(OR(I155="",J155=""),"",J155-I155)</f>
        <v>0.142857142857143</v>
      </c>
    </row>
    <row r="156" customFormat="false" ht="15" hidden="false" customHeight="false" outlineLevel="0" collapsed="false">
      <c r="A156" s="18" t="s">
        <v>90</v>
      </c>
      <c r="B156" s="14" t="s">
        <v>176</v>
      </c>
      <c r="C156" s="18" t="s">
        <v>246</v>
      </c>
      <c r="D156" s="18" t="s">
        <v>201</v>
      </c>
      <c r="E156" s="18" t="s">
        <v>330</v>
      </c>
      <c r="F156" s="29" t="n">
        <v>109.99</v>
      </c>
      <c r="G156" s="29" t="n">
        <v>94.99</v>
      </c>
      <c r="H156" s="27" t="n">
        <f aca="false">G156/F156-1</f>
        <v>-0.136376034184926</v>
      </c>
      <c r="I156" s="39" t="n">
        <v>0.142857142857143</v>
      </c>
      <c r="J156" s="39" t="n">
        <v>0.571428571428571</v>
      </c>
      <c r="K156" s="39" t="n">
        <f aca="false">IF(OR(I156="",J156=""),"",J156-I156)</f>
        <v>0.428571428571429</v>
      </c>
    </row>
    <row r="157" customFormat="false" ht="15" hidden="false" customHeight="false" outlineLevel="0" collapsed="false">
      <c r="A157" s="18" t="s">
        <v>90</v>
      </c>
      <c r="B157" s="14" t="s">
        <v>176</v>
      </c>
      <c r="C157" s="18" t="s">
        <v>246</v>
      </c>
      <c r="D157" s="18" t="s">
        <v>201</v>
      </c>
      <c r="E157" s="18" t="s">
        <v>362</v>
      </c>
      <c r="F157" s="29" t="n">
        <v>92.14</v>
      </c>
      <c r="G157" s="29" t="n">
        <v>109.99</v>
      </c>
      <c r="H157" s="27" t="n">
        <f aca="false">G157/F157-1</f>
        <v>0.193726937269373</v>
      </c>
      <c r="I157" s="39" t="n">
        <v>1</v>
      </c>
      <c r="J157" s="39" t="n">
        <v>0.428571428571429</v>
      </c>
      <c r="K157" s="39" t="n">
        <f aca="false">IF(OR(I157="",J157=""),"",J157-I157)</f>
        <v>-0.571428571428572</v>
      </c>
    </row>
    <row r="158" customFormat="false" ht="15" hidden="false" customHeight="false" outlineLevel="0" collapsed="false">
      <c r="A158" s="18" t="s">
        <v>90</v>
      </c>
      <c r="B158" s="14" t="s">
        <v>176</v>
      </c>
      <c r="C158" s="18" t="s">
        <v>246</v>
      </c>
      <c r="D158" s="18" t="s">
        <v>201</v>
      </c>
      <c r="E158" s="18" t="s">
        <v>363</v>
      </c>
      <c r="F158" s="29" t="n">
        <v>109.99</v>
      </c>
      <c r="G158" s="29" t="n">
        <v>90.24</v>
      </c>
      <c r="H158" s="27" t="n">
        <f aca="false">G158/F158-1</f>
        <v>-0.179561778343486</v>
      </c>
      <c r="I158" s="39" t="n">
        <v>0.571428571428571</v>
      </c>
      <c r="J158" s="39" t="n">
        <v>0.25</v>
      </c>
      <c r="K158" s="39" t="n">
        <f aca="false">IF(OR(I158="",J158=""),"",J158-I158)</f>
        <v>-0.321428571428571</v>
      </c>
    </row>
    <row r="159" customFormat="false" ht="15" hidden="false" customHeight="false" outlineLevel="0" collapsed="false">
      <c r="A159" s="18" t="s">
        <v>73</v>
      </c>
      <c r="B159" s="14" t="s">
        <v>170</v>
      </c>
      <c r="C159" s="18" t="s">
        <v>72</v>
      </c>
      <c r="D159" s="18" t="s">
        <v>201</v>
      </c>
      <c r="E159" s="18" t="s">
        <v>333</v>
      </c>
      <c r="F159" s="29" t="n">
        <v>41.99</v>
      </c>
      <c r="G159" s="29" t="n">
        <v>37.79</v>
      </c>
      <c r="H159" s="27" t="n">
        <f aca="false">G159/F159-1</f>
        <v>-0.100023815194094</v>
      </c>
      <c r="I159" s="39" t="n">
        <v>2.33333333333333</v>
      </c>
      <c r="J159" s="39" t="n">
        <v>4.14285714285714</v>
      </c>
      <c r="K159" s="39" t="n">
        <f aca="false">IF(OR(I159="",J159=""),"",J159-I159)</f>
        <v>1.80952380952381</v>
      </c>
    </row>
    <row r="160" customFormat="false" ht="15" hidden="false" customHeight="false" outlineLevel="0" collapsed="false">
      <c r="A160" s="18" t="s">
        <v>73</v>
      </c>
      <c r="B160" s="14" t="s">
        <v>170</v>
      </c>
      <c r="C160" s="18" t="s">
        <v>72</v>
      </c>
      <c r="D160" s="18" t="s">
        <v>201</v>
      </c>
      <c r="E160" s="18" t="s">
        <v>356</v>
      </c>
      <c r="F160" s="29" t="n">
        <v>37.79</v>
      </c>
      <c r="G160" s="29" t="n">
        <v>41.99</v>
      </c>
      <c r="H160" s="27" t="n">
        <f aca="false">G160/F160-1</f>
        <v>0.111140513363324</v>
      </c>
      <c r="I160" s="39" t="n">
        <v>8.14285714285714</v>
      </c>
      <c r="J160" s="39" t="n">
        <v>4.71428571428571</v>
      </c>
      <c r="K160" s="39" t="n">
        <f aca="false">IF(OR(I160="",J160=""),"",J160-I160)</f>
        <v>-3.42857142857143</v>
      </c>
    </row>
    <row r="161" customFormat="false" ht="15" hidden="false" customHeight="false" outlineLevel="0" collapsed="false">
      <c r="A161" s="18" t="s">
        <v>73</v>
      </c>
      <c r="B161" s="14" t="s">
        <v>170</v>
      </c>
      <c r="C161" s="18" t="s">
        <v>78</v>
      </c>
      <c r="D161" s="18" t="s">
        <v>201</v>
      </c>
      <c r="E161" s="18" t="s">
        <v>333</v>
      </c>
      <c r="F161" s="29" t="n">
        <v>46.99</v>
      </c>
      <c r="G161" s="29" t="n">
        <v>42.29</v>
      </c>
      <c r="H161" s="27" t="n">
        <f aca="false">G161/F161-1</f>
        <v>-0.100021281123643</v>
      </c>
      <c r="I161" s="39" t="n">
        <v>1.83333333333333</v>
      </c>
      <c r="J161" s="39" t="n">
        <v>1.28571428571429</v>
      </c>
      <c r="K161" s="39" t="n">
        <f aca="false">IF(OR(I161="",J161=""),"",J161-I161)</f>
        <v>-0.547619047619047</v>
      </c>
    </row>
    <row r="162" customFormat="false" ht="15" hidden="false" customHeight="false" outlineLevel="0" collapsed="false">
      <c r="A162" s="18" t="s">
        <v>73</v>
      </c>
      <c r="B162" s="14" t="s">
        <v>170</v>
      </c>
      <c r="C162" s="18" t="s">
        <v>78</v>
      </c>
      <c r="D162" s="18" t="s">
        <v>201</v>
      </c>
      <c r="E162" s="18" t="s">
        <v>356</v>
      </c>
      <c r="F162" s="29" t="n">
        <v>42.29</v>
      </c>
      <c r="G162" s="29" t="n">
        <v>46.99</v>
      </c>
      <c r="H162" s="27" t="n">
        <f aca="false">G162/F162-1</f>
        <v>0.111137384724521</v>
      </c>
      <c r="I162" s="39" t="n">
        <v>2.85714285714286</v>
      </c>
      <c r="J162" s="39" t="n">
        <v>2</v>
      </c>
      <c r="K162" s="39" t="n">
        <f aca="false">IF(OR(I162="",J162=""),"",J162-I162)</f>
        <v>-0.857142857142857</v>
      </c>
    </row>
    <row r="163" customFormat="false" ht="15" hidden="false" customHeight="false" outlineLevel="0" collapsed="false">
      <c r="A163" s="18" t="s">
        <v>73</v>
      </c>
      <c r="B163" s="14" t="s">
        <v>170</v>
      </c>
      <c r="C163" s="18" t="s">
        <v>200</v>
      </c>
      <c r="D163" s="18" t="s">
        <v>201</v>
      </c>
      <c r="E163" s="18" t="s">
        <v>333</v>
      </c>
      <c r="F163" s="29" t="n">
        <v>42.99</v>
      </c>
      <c r="G163" s="29" t="n">
        <v>38.69</v>
      </c>
      <c r="H163" s="27" t="n">
        <f aca="false">G163/F163-1</f>
        <v>-0.10002326122354</v>
      </c>
      <c r="I163" s="39" t="n">
        <v>10.1666666666667</v>
      </c>
      <c r="J163" s="39" t="n">
        <v>13.2857142857143</v>
      </c>
      <c r="K163" s="39" t="n">
        <f aca="false">IF(OR(I163="",J163=""),"",J163-I163)</f>
        <v>3.11904761904762</v>
      </c>
    </row>
    <row r="164" customFormat="false" ht="15" hidden="false" customHeight="false" outlineLevel="0" collapsed="false">
      <c r="A164" s="18" t="s">
        <v>73</v>
      </c>
      <c r="B164" s="14" t="s">
        <v>170</v>
      </c>
      <c r="C164" s="18" t="s">
        <v>200</v>
      </c>
      <c r="D164" s="18" t="s">
        <v>201</v>
      </c>
      <c r="E164" s="18" t="s">
        <v>356</v>
      </c>
      <c r="F164" s="29" t="n">
        <v>38.69</v>
      </c>
      <c r="G164" s="29" t="n">
        <v>42.99</v>
      </c>
      <c r="H164" s="27" t="n">
        <f aca="false">G164/F164-1</f>
        <v>0.111139829413285</v>
      </c>
      <c r="I164" s="39" t="n">
        <v>12.1428571428571</v>
      </c>
      <c r="J164" s="39" t="n">
        <v>7.28571428571429</v>
      </c>
      <c r="K164" s="39" t="n">
        <f aca="false">IF(OR(I164="",J164=""),"",J164-I164)</f>
        <v>-4.85714285714286</v>
      </c>
    </row>
  </sheetData>
  <autoFilter ref="A4:K164"/>
  <conditionalFormatting sqref="H5:H164">
    <cfRule type="expression" priority="2" aboveAverage="0" equalAverage="0" bottom="0" percent="0" rank="0" text="" dxfId="7">
      <formula>H5&gt;0</formula>
    </cfRule>
    <cfRule type="expression" priority="3" aboveAverage="0" equalAverage="0" bottom="0" percent="0" rank="0" text="" dxfId="9">
      <formula>H5&lt;0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7" min="1" style="0" width="11"/>
  </cols>
  <sheetData>
    <row r="1" customFormat="false" ht="19.4" hidden="false" customHeight="false" outlineLevel="0" collapsed="false">
      <c r="A1" s="35" t="s">
        <v>364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52" t="s">
        <v>313</v>
      </c>
      <c r="B3" s="9" t="s">
        <v>167</v>
      </c>
      <c r="C3" s="9" t="s">
        <v>67</v>
      </c>
      <c r="D3" s="9" t="s">
        <v>73</v>
      </c>
      <c r="E3" s="9" t="s">
        <v>130</v>
      </c>
      <c r="F3" s="9" t="s">
        <v>104</v>
      </c>
      <c r="G3" s="9" t="s">
        <v>98</v>
      </c>
      <c r="H3" s="9" t="s">
        <v>118</v>
      </c>
      <c r="I3" s="9" t="s">
        <v>84</v>
      </c>
      <c r="J3" s="9" t="s">
        <v>90</v>
      </c>
      <c r="K3" s="9" t="s">
        <v>109</v>
      </c>
      <c r="L3" s="9" t="s">
        <v>138</v>
      </c>
      <c r="M3" s="9" t="s">
        <v>179</v>
      </c>
      <c r="N3" s="9" t="s">
        <v>181</v>
      </c>
      <c r="O3" s="9" t="s">
        <v>183</v>
      </c>
      <c r="P3" s="9" t="s">
        <v>185</v>
      </c>
      <c r="Q3" s="9" t="s">
        <v>187</v>
      </c>
    </row>
    <row r="4" customFormat="false" ht="15" hidden="false" customHeight="false" outlineLevel="0" collapsed="false">
      <c r="A4" s="5" t="s">
        <v>365</v>
      </c>
      <c r="B4" s="53" t="n">
        <v>29.8020930232558</v>
      </c>
      <c r="C4" s="53" t="n">
        <v>34.3</v>
      </c>
      <c r="D4" s="53" t="n">
        <v>43.9233333333333</v>
      </c>
      <c r="E4" s="53" t="n">
        <v>38.1233333333333</v>
      </c>
      <c r="F4" s="53" t="n">
        <v>33.63</v>
      </c>
      <c r="G4" s="53"/>
      <c r="H4" s="53" t="n">
        <v>110.19</v>
      </c>
      <c r="I4" s="53"/>
      <c r="J4" s="53" t="n">
        <v>115.99</v>
      </c>
      <c r="K4" s="53" t="n">
        <v>25.64</v>
      </c>
      <c r="L4" s="53" t="n">
        <v>61.615</v>
      </c>
      <c r="M4" s="53" t="n">
        <v>29.99</v>
      </c>
      <c r="N4" s="53" t="n">
        <v>29.99</v>
      </c>
      <c r="O4" s="53" t="n">
        <v>26.2385714285714</v>
      </c>
      <c r="P4" s="53"/>
      <c r="Q4" s="53"/>
    </row>
    <row r="5" customFormat="false" ht="15" hidden="false" customHeight="false" outlineLevel="0" collapsed="false">
      <c r="A5" s="5" t="s">
        <v>361</v>
      </c>
      <c r="B5" s="53" t="n">
        <v>32.6654716981132</v>
      </c>
      <c r="C5" s="53" t="n">
        <v>37.5706666666667</v>
      </c>
      <c r="D5" s="53" t="n">
        <v>43.5233333333333</v>
      </c>
      <c r="E5" s="53" t="n">
        <v>39.9351282051282</v>
      </c>
      <c r="F5" s="53" t="n">
        <v>36.4790909090909</v>
      </c>
      <c r="G5" s="53" t="n">
        <v>116.99</v>
      </c>
      <c r="H5" s="53"/>
      <c r="I5" s="53" t="n">
        <v>69.99</v>
      </c>
      <c r="J5" s="53"/>
      <c r="K5" s="53" t="n">
        <v>26.99</v>
      </c>
      <c r="L5" s="53"/>
      <c r="M5" s="53"/>
      <c r="N5" s="53" t="n">
        <v>29.49</v>
      </c>
      <c r="O5" s="53" t="n">
        <v>27.99</v>
      </c>
      <c r="P5" s="53"/>
      <c r="Q5" s="53"/>
    </row>
    <row r="6" customFormat="false" ht="15" hidden="false" customHeight="false" outlineLevel="0" collapsed="false">
      <c r="A6" s="5" t="s">
        <v>366</v>
      </c>
      <c r="B6" s="53" t="n">
        <v>33.3902941176471</v>
      </c>
      <c r="C6" s="53" t="n">
        <v>31.9017647058824</v>
      </c>
      <c r="D6" s="53" t="n">
        <v>42.8352380952381</v>
      </c>
      <c r="E6" s="53" t="n">
        <v>42.31875</v>
      </c>
      <c r="F6" s="53" t="n">
        <v>34.394347826087</v>
      </c>
      <c r="G6" s="53" t="n">
        <v>113.565</v>
      </c>
      <c r="H6" s="53"/>
      <c r="I6" s="53"/>
      <c r="J6" s="53" t="n">
        <v>110.09</v>
      </c>
      <c r="K6" s="53" t="n">
        <v>26.99</v>
      </c>
      <c r="L6" s="53" t="n">
        <v>36.49</v>
      </c>
      <c r="M6" s="53"/>
      <c r="N6" s="53"/>
      <c r="O6" s="53" t="n">
        <v>29.39</v>
      </c>
      <c r="P6" s="53"/>
      <c r="Q6" s="53"/>
    </row>
    <row r="7" customFormat="false" ht="15" hidden="false" customHeight="false" outlineLevel="0" collapsed="false">
      <c r="A7" s="5" t="s">
        <v>331</v>
      </c>
      <c r="B7" s="53" t="n">
        <v>30.6934375</v>
      </c>
      <c r="C7" s="53" t="n">
        <v>33.7011538461538</v>
      </c>
      <c r="D7" s="53" t="n">
        <v>43.4792857142857</v>
      </c>
      <c r="E7" s="53" t="n">
        <v>41.7473469387755</v>
      </c>
      <c r="F7" s="53" t="n">
        <v>38.1285714285714</v>
      </c>
      <c r="G7" s="53" t="n">
        <v>111.14</v>
      </c>
      <c r="H7" s="53" t="n">
        <v>113.423333333333</v>
      </c>
      <c r="I7" s="53"/>
      <c r="J7" s="53"/>
      <c r="K7" s="53"/>
      <c r="L7" s="53" t="n">
        <v>66.49</v>
      </c>
      <c r="M7" s="53" t="n">
        <v>53.19</v>
      </c>
      <c r="N7" s="53" t="n">
        <v>29.69</v>
      </c>
      <c r="O7" s="53" t="n">
        <v>26.99</v>
      </c>
      <c r="P7" s="53"/>
      <c r="Q7" s="53"/>
    </row>
    <row r="8" customFormat="false" ht="15" hidden="false" customHeight="false" outlineLevel="0" collapsed="false">
      <c r="A8" s="5" t="s">
        <v>367</v>
      </c>
      <c r="B8" s="53" t="n">
        <v>35.086875</v>
      </c>
      <c r="C8" s="53" t="n">
        <v>33.34</v>
      </c>
      <c r="D8" s="53" t="n">
        <v>43.365</v>
      </c>
      <c r="E8" s="53" t="n">
        <v>38.2782926829268</v>
      </c>
      <c r="F8" s="53" t="n">
        <v>34.2416666666667</v>
      </c>
      <c r="G8" s="53" t="n">
        <v>115.99</v>
      </c>
      <c r="H8" s="53" t="n">
        <v>104.683333333333</v>
      </c>
      <c r="I8" s="53"/>
      <c r="J8" s="53"/>
      <c r="K8" s="53"/>
      <c r="L8" s="53" t="n">
        <v>66.49</v>
      </c>
      <c r="M8" s="53"/>
      <c r="N8" s="53" t="n">
        <v>43.99</v>
      </c>
      <c r="O8" s="53" t="n">
        <v>30.99</v>
      </c>
      <c r="P8" s="53"/>
      <c r="Q8" s="53"/>
    </row>
    <row r="9" customFormat="false" ht="15" hidden="false" customHeight="false" outlineLevel="0" collapsed="false">
      <c r="A9" s="5" t="s">
        <v>332</v>
      </c>
      <c r="B9" s="53" t="n">
        <v>28.7004347826087</v>
      </c>
      <c r="C9" s="53" t="n">
        <v>34.6263636363636</v>
      </c>
      <c r="D9" s="53" t="n">
        <v>43.4185714285714</v>
      </c>
      <c r="E9" s="53" t="n">
        <v>41.3517021276596</v>
      </c>
      <c r="F9" s="53" t="n">
        <v>33.31</v>
      </c>
      <c r="G9" s="53" t="n">
        <v>110.656666666667</v>
      </c>
      <c r="H9" s="53" t="n">
        <v>115.99</v>
      </c>
      <c r="I9" s="53"/>
      <c r="J9" s="53" t="n">
        <v>115.99</v>
      </c>
      <c r="K9" s="53" t="n">
        <v>22.815</v>
      </c>
      <c r="L9" s="53"/>
      <c r="M9" s="53"/>
      <c r="N9" s="53"/>
      <c r="O9" s="53" t="n">
        <v>26.99</v>
      </c>
      <c r="P9" s="53"/>
      <c r="Q9" s="53"/>
    </row>
    <row r="10" customFormat="false" ht="15" hidden="false" customHeight="false" outlineLevel="0" collapsed="false">
      <c r="A10" s="5" t="s">
        <v>333</v>
      </c>
      <c r="B10" s="53" t="n">
        <v>33.4446875</v>
      </c>
      <c r="C10" s="53" t="n">
        <v>31.3195652173913</v>
      </c>
      <c r="D10" s="53" t="n">
        <v>39.895</v>
      </c>
      <c r="E10" s="53" t="n">
        <v>40.9155319148936</v>
      </c>
      <c r="F10" s="53" t="n">
        <v>33.9905555555556</v>
      </c>
      <c r="G10" s="53" t="n">
        <v>99.99</v>
      </c>
      <c r="H10" s="53" t="n">
        <v>99.99</v>
      </c>
      <c r="I10" s="53" t="n">
        <v>66.49</v>
      </c>
      <c r="J10" s="53" t="n">
        <v>115.99</v>
      </c>
      <c r="K10" s="53" t="n">
        <v>26.99</v>
      </c>
      <c r="L10" s="53" t="n">
        <v>36.49</v>
      </c>
      <c r="M10" s="53" t="n">
        <v>19.94</v>
      </c>
      <c r="N10" s="53" t="n">
        <v>29.99</v>
      </c>
      <c r="O10" s="53" t="n">
        <v>28.99</v>
      </c>
      <c r="P10" s="53"/>
      <c r="Q10" s="53"/>
    </row>
    <row r="11" customFormat="false" ht="15" hidden="false" customHeight="false" outlineLevel="0" collapsed="false">
      <c r="A11" s="5" t="s">
        <v>327</v>
      </c>
      <c r="B11" s="53" t="n">
        <v>23.718813559322</v>
      </c>
      <c r="C11" s="53" t="n">
        <v>24.5</v>
      </c>
      <c r="D11" s="53" t="n">
        <v>39.2828571428571</v>
      </c>
      <c r="E11" s="53" t="n">
        <v>37.2840425531915</v>
      </c>
      <c r="F11" s="53" t="n">
        <v>31.4323076923077</v>
      </c>
      <c r="G11" s="53" t="n">
        <v>99.99</v>
      </c>
      <c r="H11" s="53" t="n">
        <v>99.99</v>
      </c>
      <c r="I11" s="53" t="n">
        <v>39.99</v>
      </c>
      <c r="J11" s="53" t="n">
        <v>99.99</v>
      </c>
      <c r="K11" s="53"/>
      <c r="L11" s="53"/>
      <c r="M11" s="53" t="n">
        <v>19.94</v>
      </c>
      <c r="N11" s="53" t="n">
        <v>29.99</v>
      </c>
      <c r="O11" s="53" t="n">
        <v>26.99</v>
      </c>
      <c r="P11" s="53"/>
      <c r="Q11" s="53"/>
    </row>
    <row r="12" customFormat="false" ht="15" hidden="false" customHeight="false" outlineLevel="0" collapsed="false">
      <c r="A12" s="5" t="s">
        <v>368</v>
      </c>
      <c r="B12" s="53" t="n">
        <v>23.1956164383562</v>
      </c>
      <c r="C12" s="53" t="n">
        <v>24.9245454545455</v>
      </c>
      <c r="D12" s="53" t="n">
        <v>39.96</v>
      </c>
      <c r="E12" s="53" t="n">
        <v>38.8508695652174</v>
      </c>
      <c r="F12" s="53" t="n">
        <v>31.2286666666667</v>
      </c>
      <c r="G12" s="53" t="n">
        <v>99.99</v>
      </c>
      <c r="H12" s="53" t="n">
        <v>99.99</v>
      </c>
      <c r="I12" s="53"/>
      <c r="J12" s="53"/>
      <c r="K12" s="53" t="n">
        <v>26.99</v>
      </c>
      <c r="L12" s="53"/>
      <c r="M12" s="53" t="n">
        <v>19.94</v>
      </c>
      <c r="N12" s="53"/>
      <c r="O12" s="53" t="n">
        <v>32.99</v>
      </c>
      <c r="P12" s="53"/>
      <c r="Q12" s="53"/>
    </row>
    <row r="13" customFormat="false" ht="15" hidden="false" customHeight="false" outlineLevel="0" collapsed="false">
      <c r="A13" s="5" t="s">
        <v>346</v>
      </c>
      <c r="B13" s="53" t="n">
        <v>24.0175342465753</v>
      </c>
      <c r="C13" s="53" t="n">
        <v>23.8025</v>
      </c>
      <c r="D13" s="53" t="n">
        <v>39.24</v>
      </c>
      <c r="E13" s="53" t="n">
        <v>35.8320930232558</v>
      </c>
      <c r="F13" s="53" t="n">
        <v>35.59</v>
      </c>
      <c r="G13" s="53" t="n">
        <v>96.74</v>
      </c>
      <c r="H13" s="53" t="n">
        <v>95.99</v>
      </c>
      <c r="I13" s="53"/>
      <c r="J13" s="53" t="n">
        <v>96.49</v>
      </c>
      <c r="K13" s="53"/>
      <c r="L13" s="53" t="n">
        <v>52.1566666666667</v>
      </c>
      <c r="M13" s="53" t="n">
        <v>18.99</v>
      </c>
      <c r="N13" s="53" t="n">
        <v>29.99</v>
      </c>
      <c r="O13" s="53" t="n">
        <v>30.99</v>
      </c>
      <c r="P13" s="53"/>
      <c r="Q13" s="53"/>
    </row>
    <row r="14" customFormat="false" ht="15" hidden="false" customHeight="false" outlineLevel="0" collapsed="false">
      <c r="A14" s="5" t="s">
        <v>339</v>
      </c>
      <c r="B14" s="53" t="n">
        <v>23.274262295082</v>
      </c>
      <c r="C14" s="53" t="n">
        <v>25.7312244897959</v>
      </c>
      <c r="D14" s="53" t="n">
        <v>38.69</v>
      </c>
      <c r="E14" s="53" t="n">
        <v>42.29</v>
      </c>
      <c r="F14" s="53" t="n">
        <v>32.6027272727273</v>
      </c>
      <c r="G14" s="53" t="n">
        <v>95.99</v>
      </c>
      <c r="H14" s="53" t="n">
        <v>96.49</v>
      </c>
      <c r="I14" s="53"/>
      <c r="J14" s="53" t="n">
        <v>96.49</v>
      </c>
      <c r="K14" s="53"/>
      <c r="L14" s="53" t="n">
        <v>48.24</v>
      </c>
      <c r="M14" s="53" t="n">
        <v>26.99</v>
      </c>
      <c r="N14" s="53"/>
      <c r="O14" s="53"/>
      <c r="P14" s="53"/>
      <c r="Q14" s="53"/>
    </row>
    <row r="15" customFormat="false" ht="15" hidden="false" customHeight="false" outlineLevel="0" collapsed="false">
      <c r="A15" s="5" t="s">
        <v>340</v>
      </c>
      <c r="B15" s="53" t="n">
        <v>25.3444303797468</v>
      </c>
      <c r="C15" s="53" t="n">
        <v>22.4344444444444</v>
      </c>
      <c r="D15" s="53" t="n">
        <v>39.2311764705882</v>
      </c>
      <c r="E15" s="53" t="n">
        <v>39.7255555555556</v>
      </c>
      <c r="F15" s="53" t="n">
        <v>33.199375</v>
      </c>
      <c r="G15" s="53" t="n">
        <v>61.9933333333333</v>
      </c>
      <c r="H15" s="53" t="n">
        <v>94.99</v>
      </c>
      <c r="I15" s="53" t="n">
        <v>56.99</v>
      </c>
      <c r="J15" s="53" t="n">
        <v>94.99</v>
      </c>
      <c r="K15" s="53"/>
      <c r="L15" s="53"/>
      <c r="M15" s="53" t="n">
        <v>21.99</v>
      </c>
      <c r="N15" s="53" t="n">
        <v>29.99</v>
      </c>
      <c r="O15" s="53" t="n">
        <v>28.99</v>
      </c>
      <c r="P15" s="53"/>
      <c r="Q15" s="53"/>
    </row>
    <row r="16" customFormat="false" ht="15" hidden="false" customHeight="false" outlineLevel="0" collapsed="false">
      <c r="A16" s="5" t="s">
        <v>341</v>
      </c>
      <c r="B16" s="53" t="n">
        <v>23.7090804597701</v>
      </c>
      <c r="C16" s="53" t="n">
        <v>23.968</v>
      </c>
      <c r="D16" s="53" t="n">
        <v>38.6316666666667</v>
      </c>
      <c r="E16" s="53" t="n">
        <v>40.1503921568627</v>
      </c>
      <c r="F16" s="53" t="n">
        <v>32.7904545454545</v>
      </c>
      <c r="G16" s="53" t="n">
        <v>93.6566666666667</v>
      </c>
      <c r="H16" s="53" t="n">
        <v>93.99</v>
      </c>
      <c r="I16" s="53" t="n">
        <v>56.99</v>
      </c>
      <c r="J16" s="53" t="n">
        <v>92.99</v>
      </c>
      <c r="K16" s="53" t="n">
        <v>24.6566666666667</v>
      </c>
      <c r="L16" s="53" t="n">
        <v>56.99</v>
      </c>
      <c r="M16" s="53" t="n">
        <v>32.6566666666667</v>
      </c>
      <c r="N16" s="53" t="n">
        <v>28.49</v>
      </c>
      <c r="O16" s="53" t="n">
        <v>26.99</v>
      </c>
      <c r="P16" s="53"/>
      <c r="Q16" s="53"/>
    </row>
    <row r="17" customFormat="false" ht="15" hidden="false" customHeight="false" outlineLevel="0" collapsed="false">
      <c r="A17" s="5" t="s">
        <v>369</v>
      </c>
      <c r="B17" s="53" t="n">
        <v>25.0456666666667</v>
      </c>
      <c r="C17" s="53" t="n">
        <v>24.0003174603175</v>
      </c>
      <c r="D17" s="53" t="n">
        <v>38.9861538461539</v>
      </c>
      <c r="E17" s="53" t="n">
        <v>39.0226190476191</v>
      </c>
      <c r="F17" s="53" t="n">
        <v>32.9638461538462</v>
      </c>
      <c r="G17" s="53" t="n">
        <v>93.6566666666667</v>
      </c>
      <c r="H17" s="53" t="n">
        <v>93.6566666666667</v>
      </c>
      <c r="I17" s="53"/>
      <c r="J17" s="53" t="n">
        <v>93.49</v>
      </c>
      <c r="K17" s="53" t="n">
        <v>19.99</v>
      </c>
      <c r="L17" s="53" t="n">
        <v>36.49</v>
      </c>
      <c r="M17" s="53" t="n">
        <v>17.99</v>
      </c>
      <c r="N17" s="53" t="n">
        <v>29.99</v>
      </c>
      <c r="O17" s="53" t="n">
        <v>29.99</v>
      </c>
      <c r="P17" s="53"/>
      <c r="Q17" s="53"/>
    </row>
    <row r="18" customFormat="false" ht="15" hidden="false" customHeight="false" outlineLevel="0" collapsed="false">
      <c r="A18" s="5" t="s">
        <v>370</v>
      </c>
      <c r="B18" s="53" t="n">
        <v>23.5535135135135</v>
      </c>
      <c r="C18" s="53" t="n">
        <v>23.1764406779661</v>
      </c>
      <c r="D18" s="53" t="n">
        <v>39.5683333333333</v>
      </c>
      <c r="E18" s="53" t="n">
        <v>38.6478947368421</v>
      </c>
      <c r="F18" s="53" t="n">
        <v>34.7194117647059</v>
      </c>
      <c r="G18" s="53" t="n">
        <v>93.99</v>
      </c>
      <c r="H18" s="53" t="n">
        <v>92.99</v>
      </c>
      <c r="I18" s="53"/>
      <c r="J18" s="53" t="n">
        <v>92.99</v>
      </c>
      <c r="K18" s="53" t="n">
        <v>26.99</v>
      </c>
      <c r="L18" s="53" t="n">
        <v>56.99</v>
      </c>
      <c r="M18" s="53" t="n">
        <v>17.99</v>
      </c>
      <c r="N18" s="53" t="n">
        <v>26.99</v>
      </c>
      <c r="O18" s="53" t="n">
        <v>26.99</v>
      </c>
      <c r="P18" s="53"/>
      <c r="Q18" s="53"/>
    </row>
    <row r="19" customFormat="false" ht="15" hidden="false" customHeight="false" outlineLevel="0" collapsed="false">
      <c r="A19" s="5" t="s">
        <v>342</v>
      </c>
      <c r="B19" s="53" t="n">
        <v>23.1484158415842</v>
      </c>
      <c r="C19" s="53" t="n">
        <v>23.9994117647059</v>
      </c>
      <c r="D19" s="53" t="n">
        <v>39.5328571428571</v>
      </c>
      <c r="E19" s="53" t="n">
        <v>40.7433333333333</v>
      </c>
      <c r="F19" s="53" t="n">
        <v>36.2793333333333</v>
      </c>
      <c r="G19" s="53" t="n">
        <v>94.99</v>
      </c>
      <c r="H19" s="53" t="n">
        <v>94.99</v>
      </c>
      <c r="I19" s="53" t="n">
        <v>56.99</v>
      </c>
      <c r="J19" s="53" t="n">
        <v>93.99</v>
      </c>
      <c r="K19" s="53"/>
      <c r="L19" s="53" t="n">
        <v>56.99</v>
      </c>
      <c r="M19" s="53"/>
      <c r="N19" s="53" t="n">
        <v>29.99</v>
      </c>
      <c r="O19" s="53" t="n">
        <v>27.765</v>
      </c>
      <c r="P19" s="53"/>
      <c r="Q19" s="53"/>
    </row>
    <row r="20" customFormat="false" ht="15" hidden="false" customHeight="false" outlineLevel="0" collapsed="false">
      <c r="A20" s="5" t="s">
        <v>353</v>
      </c>
      <c r="B20" s="53" t="n">
        <v>21.484358974359</v>
      </c>
      <c r="C20" s="53" t="n">
        <v>25.6036363636364</v>
      </c>
      <c r="D20" s="53" t="n">
        <v>39.0612121212121</v>
      </c>
      <c r="E20" s="53" t="n">
        <v>37.8566666666667</v>
      </c>
      <c r="F20" s="53" t="n">
        <v>36.13</v>
      </c>
      <c r="G20" s="53" t="n">
        <v>92.99</v>
      </c>
      <c r="H20" s="53" t="n">
        <v>94.99</v>
      </c>
      <c r="I20" s="53" t="n">
        <v>56.99</v>
      </c>
      <c r="J20" s="53" t="n">
        <v>93.99</v>
      </c>
      <c r="K20" s="53" t="n">
        <v>21.99</v>
      </c>
      <c r="L20" s="53"/>
      <c r="M20" s="53" t="n">
        <v>24.3233333333333</v>
      </c>
      <c r="N20" s="53"/>
      <c r="O20" s="53" t="n">
        <v>26.7445454545455</v>
      </c>
      <c r="P20" s="53"/>
      <c r="Q20" s="53"/>
    </row>
    <row r="21" customFormat="false" ht="15" hidden="false" customHeight="false" outlineLevel="0" collapsed="false">
      <c r="A21" s="5" t="s">
        <v>347</v>
      </c>
      <c r="B21" s="53" t="n">
        <v>23.2978313253012</v>
      </c>
      <c r="C21" s="53" t="n">
        <v>24.08</v>
      </c>
      <c r="D21" s="53" t="n">
        <v>38.3438461538462</v>
      </c>
      <c r="E21" s="53" t="n">
        <v>38.3233333333333</v>
      </c>
      <c r="F21" s="53" t="n">
        <v>35.51</v>
      </c>
      <c r="G21" s="53" t="n">
        <v>92.49</v>
      </c>
      <c r="H21" s="53"/>
      <c r="I21" s="53"/>
      <c r="J21" s="53"/>
      <c r="K21" s="53" t="n">
        <v>23.49</v>
      </c>
      <c r="L21" s="53"/>
      <c r="M21" s="53" t="n">
        <v>17.99</v>
      </c>
      <c r="N21" s="53" t="n">
        <v>26.99</v>
      </c>
      <c r="O21" s="53" t="n">
        <v>26.99</v>
      </c>
      <c r="P21" s="53"/>
      <c r="Q21" s="53"/>
    </row>
    <row r="22" customFormat="false" ht="15" hidden="false" customHeight="false" outlineLevel="0" collapsed="false">
      <c r="A22" s="5" t="s">
        <v>334</v>
      </c>
      <c r="B22" s="53" t="n">
        <v>23.294347826087</v>
      </c>
      <c r="C22" s="53" t="n">
        <v>24.962972972973</v>
      </c>
      <c r="D22" s="53" t="n">
        <v>38.3042857142857</v>
      </c>
      <c r="E22" s="53" t="n">
        <v>38.4326470588235</v>
      </c>
      <c r="F22" s="53" t="n">
        <v>36.6007692307692</v>
      </c>
      <c r="G22" s="53" t="n">
        <v>93.3233333333333</v>
      </c>
      <c r="H22" s="53" t="n">
        <v>93.74</v>
      </c>
      <c r="I22" s="53"/>
      <c r="J22" s="53"/>
      <c r="K22" s="53" t="n">
        <v>26.99</v>
      </c>
      <c r="L22" s="53" t="n">
        <v>56.99</v>
      </c>
      <c r="M22" s="53" t="n">
        <v>17.99</v>
      </c>
      <c r="N22" s="53"/>
      <c r="O22" s="53" t="n">
        <v>28.3233333333333</v>
      </c>
      <c r="P22" s="53"/>
      <c r="Q22" s="53"/>
    </row>
    <row r="23" customFormat="false" ht="15" hidden="false" customHeight="false" outlineLevel="0" collapsed="false">
      <c r="A23" s="5" t="s">
        <v>371</v>
      </c>
      <c r="B23" s="53" t="n">
        <v>22.9048936170213</v>
      </c>
      <c r="C23" s="53" t="n">
        <v>25.9445454545455</v>
      </c>
      <c r="D23" s="53" t="n">
        <v>38.6092307692308</v>
      </c>
      <c r="E23" s="53" t="n">
        <v>39.5505263157895</v>
      </c>
      <c r="F23" s="53" t="n">
        <v>35.1214285714286</v>
      </c>
      <c r="G23" s="53" t="n">
        <v>91.24</v>
      </c>
      <c r="H23" s="53" t="n">
        <v>92.49</v>
      </c>
      <c r="I23" s="53" t="n">
        <v>39.99</v>
      </c>
      <c r="J23" s="53" t="n">
        <v>92.99</v>
      </c>
      <c r="K23" s="53"/>
      <c r="L23" s="53" t="n">
        <v>45.825</v>
      </c>
      <c r="M23" s="53" t="n">
        <v>23.8471428571429</v>
      </c>
      <c r="N23" s="53" t="n">
        <v>29.99</v>
      </c>
      <c r="O23" s="53" t="n">
        <v>27.8471428571429</v>
      </c>
      <c r="P23" s="53"/>
      <c r="Q23" s="53"/>
    </row>
    <row r="24" customFormat="false" ht="15" hidden="false" customHeight="false" outlineLevel="0" collapsed="false">
      <c r="A24" s="5" t="s">
        <v>356</v>
      </c>
      <c r="B24" s="53" t="n">
        <v>22.3269473684211</v>
      </c>
      <c r="C24" s="53" t="n">
        <v>23.3201886792453</v>
      </c>
      <c r="D24" s="53" t="n">
        <v>43.7316666666667</v>
      </c>
      <c r="E24" s="53" t="n">
        <v>36.8823076923077</v>
      </c>
      <c r="F24" s="53" t="n">
        <v>30.7009090909091</v>
      </c>
      <c r="G24" s="53" t="n">
        <v>88.99</v>
      </c>
      <c r="H24" s="53" t="n">
        <v>88.99</v>
      </c>
      <c r="I24" s="53" t="n">
        <v>34.99</v>
      </c>
      <c r="J24" s="53" t="n">
        <v>94.99</v>
      </c>
      <c r="K24" s="53" t="n">
        <v>26.99</v>
      </c>
      <c r="L24" s="53"/>
      <c r="M24" s="53" t="n">
        <v>17.99</v>
      </c>
      <c r="N24" s="53" t="n">
        <v>26.6566666666667</v>
      </c>
      <c r="O24" s="53" t="n">
        <v>26.99</v>
      </c>
      <c r="P24" s="53"/>
      <c r="Q24" s="53"/>
    </row>
    <row r="25" customFormat="false" ht="15" hidden="false" customHeight="false" outlineLevel="0" collapsed="false">
      <c r="A25" s="5" t="s">
        <v>324</v>
      </c>
      <c r="B25" s="53" t="n">
        <v>36.6709090909091</v>
      </c>
      <c r="C25" s="53" t="n">
        <v>31.5576470588235</v>
      </c>
      <c r="D25" s="53" t="n">
        <v>44.1316666666667</v>
      </c>
      <c r="E25" s="53" t="n">
        <v>38.1184615384615</v>
      </c>
      <c r="F25" s="53" t="n">
        <v>44.5633333333333</v>
      </c>
      <c r="G25" s="53" t="n">
        <v>89.8471428571429</v>
      </c>
      <c r="H25" s="53" t="n">
        <v>90.49</v>
      </c>
      <c r="I25" s="53" t="n">
        <v>34.99</v>
      </c>
      <c r="J25" s="53" t="n">
        <v>92.99</v>
      </c>
      <c r="K25" s="53" t="n">
        <v>26.99</v>
      </c>
      <c r="L25" s="53"/>
      <c r="M25" s="53" t="n">
        <v>33.4471428571429</v>
      </c>
      <c r="N25" s="53"/>
      <c r="O25" s="53" t="n">
        <v>32.99</v>
      </c>
      <c r="P25" s="53"/>
      <c r="Q25" s="53"/>
    </row>
    <row r="26" customFormat="false" ht="15" hidden="false" customHeight="false" outlineLevel="0" collapsed="false">
      <c r="A26" s="5" t="s">
        <v>351</v>
      </c>
      <c r="B26" s="53" t="n">
        <v>32.9236363636364</v>
      </c>
      <c r="C26" s="53" t="n">
        <v>31.3025</v>
      </c>
      <c r="D26" s="53" t="n">
        <v>43.0704347826087</v>
      </c>
      <c r="E26" s="53" t="n">
        <v>39.465</v>
      </c>
      <c r="F26" s="53" t="n">
        <v>33.578</v>
      </c>
      <c r="G26" s="53" t="n">
        <v>89.99</v>
      </c>
      <c r="H26" s="53" t="n">
        <v>88.99</v>
      </c>
      <c r="I26" s="53" t="n">
        <v>56.99</v>
      </c>
      <c r="J26" s="53" t="n">
        <v>92.99</v>
      </c>
      <c r="K26" s="53" t="n">
        <v>26.99</v>
      </c>
      <c r="L26" s="53" t="n">
        <v>56.99</v>
      </c>
      <c r="M26" s="53" t="n">
        <v>23.17</v>
      </c>
      <c r="N26" s="53"/>
      <c r="O26" s="53" t="n">
        <v>28.19</v>
      </c>
      <c r="P26" s="53"/>
      <c r="Q26" s="53"/>
    </row>
    <row r="27" customFormat="false" ht="15" hidden="false" customHeight="false" outlineLevel="0" collapsed="false">
      <c r="A27" s="5" t="s">
        <v>350</v>
      </c>
      <c r="B27" s="53" t="n">
        <v>31.7008695652174</v>
      </c>
      <c r="C27" s="53" t="n">
        <v>29.419</v>
      </c>
      <c r="D27" s="53" t="n">
        <v>43.1011111111111</v>
      </c>
      <c r="E27" s="53" t="n">
        <v>40.3342424242424</v>
      </c>
      <c r="F27" s="53" t="n">
        <v>35.4611111111111</v>
      </c>
      <c r="G27" s="53" t="n">
        <v>88.99</v>
      </c>
      <c r="H27" s="53" t="n">
        <v>88.99</v>
      </c>
      <c r="I27" s="53" t="n">
        <v>45.99</v>
      </c>
      <c r="J27" s="53" t="n">
        <v>92.99</v>
      </c>
      <c r="K27" s="53" t="n">
        <v>26.315</v>
      </c>
      <c r="L27" s="53" t="n">
        <v>33.99</v>
      </c>
      <c r="M27" s="53" t="n">
        <v>17.09</v>
      </c>
      <c r="N27" s="53"/>
      <c r="O27" s="53" t="n">
        <v>32.99</v>
      </c>
      <c r="P27" s="53"/>
      <c r="Q27" s="53"/>
    </row>
    <row r="28" customFormat="false" ht="15" hidden="false" customHeight="false" outlineLevel="0" collapsed="false">
      <c r="A28" s="5" t="s">
        <v>358</v>
      </c>
      <c r="B28" s="53" t="n">
        <v>34.17</v>
      </c>
      <c r="C28" s="53" t="n">
        <v>35.64</v>
      </c>
      <c r="D28" s="53" t="n">
        <v>42.91</v>
      </c>
      <c r="E28" s="53" t="n">
        <v>40.2260606060606</v>
      </c>
      <c r="F28" s="53" t="n">
        <v>35.6985714285714</v>
      </c>
      <c r="G28" s="53" t="n">
        <v>90.1011111111111</v>
      </c>
      <c r="H28" s="53" t="n">
        <v>89.74</v>
      </c>
      <c r="I28" s="53" t="n">
        <v>56.99</v>
      </c>
      <c r="J28" s="53" t="n">
        <v>92.99</v>
      </c>
      <c r="K28" s="53" t="n">
        <v>19.99</v>
      </c>
      <c r="L28" s="53" t="n">
        <v>41.6566666666667</v>
      </c>
      <c r="M28" s="53" t="n">
        <v>17.09</v>
      </c>
      <c r="N28" s="53" t="n">
        <v>29.99</v>
      </c>
      <c r="O28" s="53" t="n">
        <v>26.99</v>
      </c>
      <c r="P28" s="53"/>
      <c r="Q28" s="53"/>
    </row>
    <row r="29" customFormat="false" ht="15" hidden="false" customHeight="false" outlineLevel="0" collapsed="false">
      <c r="A29" s="5" t="s">
        <v>325</v>
      </c>
      <c r="B29" s="53" t="n">
        <v>31.1494594594595</v>
      </c>
      <c r="C29" s="53" t="n">
        <v>33.0118421052632</v>
      </c>
      <c r="D29" s="53" t="n">
        <v>43.74</v>
      </c>
      <c r="E29" s="53" t="n">
        <v>36.8848275862069</v>
      </c>
      <c r="F29" s="53" t="n">
        <v>35.29</v>
      </c>
      <c r="G29" s="53" t="n">
        <v>88.99</v>
      </c>
      <c r="H29" s="53" t="n">
        <v>89.5614285714286</v>
      </c>
      <c r="I29" s="53"/>
      <c r="J29" s="53" t="n">
        <v>92.99</v>
      </c>
      <c r="K29" s="53"/>
      <c r="L29" s="53" t="n">
        <v>40.6566666666667</v>
      </c>
      <c r="M29" s="53" t="n">
        <v>28.99</v>
      </c>
      <c r="N29" s="53"/>
      <c r="O29" s="53" t="n">
        <v>26.99</v>
      </c>
      <c r="P29" s="53"/>
      <c r="Q29" s="53"/>
    </row>
    <row r="30" customFormat="false" ht="15" hidden="false" customHeight="false" outlineLevel="0" collapsed="false">
      <c r="A30" s="5" t="s">
        <v>372</v>
      </c>
      <c r="B30" s="53" t="n">
        <v>29.4461111111111</v>
      </c>
      <c r="C30" s="53" t="n">
        <v>33.8361538461539</v>
      </c>
      <c r="D30" s="53" t="n">
        <v>39.1727272727273</v>
      </c>
      <c r="E30" s="53" t="n">
        <v>39.0038888888889</v>
      </c>
      <c r="F30" s="53" t="n">
        <v>36.4833333333333</v>
      </c>
      <c r="G30" s="53" t="n">
        <v>76.8485714285714</v>
      </c>
      <c r="H30" s="53" t="n">
        <v>92.5614285714286</v>
      </c>
      <c r="I30" s="53" t="n">
        <v>44.49</v>
      </c>
      <c r="J30" s="53" t="n">
        <v>92.99</v>
      </c>
      <c r="K30" s="53"/>
      <c r="L30" s="53" t="n">
        <v>33.99</v>
      </c>
      <c r="M30" s="53" t="n">
        <v>17.09</v>
      </c>
      <c r="N30" s="53"/>
      <c r="O30" s="53" t="n">
        <v>28.49</v>
      </c>
      <c r="P30" s="53"/>
      <c r="Q30" s="53"/>
    </row>
    <row r="31" customFormat="false" ht="15" hidden="false" customHeight="false" outlineLevel="0" collapsed="false">
      <c r="A31" s="5" t="s">
        <v>343</v>
      </c>
      <c r="B31" s="53" t="n">
        <v>30.2351612903226</v>
      </c>
      <c r="C31" s="53" t="n">
        <v>29.8612903225807</v>
      </c>
      <c r="D31" s="53" t="n">
        <v>42.7172727272727</v>
      </c>
      <c r="E31" s="53" t="n">
        <v>36.9451612903226</v>
      </c>
      <c r="F31" s="53" t="n">
        <v>34.1807692307692</v>
      </c>
      <c r="G31" s="53" t="n">
        <v>91.39</v>
      </c>
      <c r="H31" s="53" t="n">
        <v>88.99</v>
      </c>
      <c r="I31" s="53" t="n">
        <v>53.99</v>
      </c>
      <c r="J31" s="53"/>
      <c r="K31" s="53"/>
      <c r="L31" s="53" t="n">
        <v>43.99</v>
      </c>
      <c r="M31" s="53" t="n">
        <v>23.7233333333333</v>
      </c>
      <c r="N31" s="53"/>
      <c r="O31" s="53" t="n">
        <v>26.99</v>
      </c>
      <c r="P31" s="53"/>
      <c r="Q31" s="53"/>
    </row>
    <row r="32" customFormat="false" ht="15" hidden="false" customHeight="false" outlineLevel="0" collapsed="false">
      <c r="A32" s="5" t="s">
        <v>336</v>
      </c>
      <c r="B32" s="53" t="n">
        <v>33.198</v>
      </c>
      <c r="C32" s="53" t="n">
        <v>31.6757627118644</v>
      </c>
      <c r="D32" s="53" t="n">
        <v>43.3536363636364</v>
      </c>
      <c r="E32" s="53" t="n">
        <v>38.2577419354839</v>
      </c>
      <c r="F32" s="53" t="n">
        <v>38.4435714285714</v>
      </c>
      <c r="G32" s="53" t="n">
        <v>90.3233333333333</v>
      </c>
      <c r="H32" s="53" t="n">
        <v>92.115</v>
      </c>
      <c r="I32" s="53" t="n">
        <v>47.6566666666667</v>
      </c>
      <c r="J32" s="53" t="n">
        <v>92.99</v>
      </c>
      <c r="K32" s="53" t="n">
        <v>19.99</v>
      </c>
      <c r="L32" s="53"/>
      <c r="M32" s="53"/>
      <c r="N32" s="53"/>
      <c r="O32" s="53" t="n">
        <v>26.99</v>
      </c>
      <c r="P32" s="53"/>
      <c r="Q32" s="53"/>
    </row>
    <row r="33" customFormat="false" ht="15" hidden="false" customHeight="false" outlineLevel="0" collapsed="false">
      <c r="A33" s="5" t="s">
        <v>355</v>
      </c>
      <c r="B33" s="53" t="n">
        <v>31.29</v>
      </c>
      <c r="C33" s="53" t="n">
        <v>29.2132142857143</v>
      </c>
      <c r="D33" s="53" t="n">
        <v>42.8788888888889</v>
      </c>
      <c r="E33" s="53" t="n">
        <v>39.6021621621622</v>
      </c>
      <c r="F33" s="53" t="n">
        <v>37.59</v>
      </c>
      <c r="G33" s="53" t="n">
        <v>88.99</v>
      </c>
      <c r="H33" s="53" t="n">
        <v>88.99</v>
      </c>
      <c r="I33" s="53" t="n">
        <v>53.99</v>
      </c>
      <c r="J33" s="53"/>
      <c r="K33" s="53" t="n">
        <v>25.74</v>
      </c>
      <c r="L33" s="53" t="n">
        <v>33.99</v>
      </c>
      <c r="M33" s="53" t="n">
        <v>17.09</v>
      </c>
      <c r="N33" s="53"/>
      <c r="O33" s="53" t="n">
        <v>26.72</v>
      </c>
      <c r="P33" s="53"/>
      <c r="Q33" s="53"/>
    </row>
    <row r="34" customFormat="false" ht="15" hidden="false" customHeight="false" outlineLevel="0" collapsed="false">
      <c r="A34" s="5" t="s">
        <v>354</v>
      </c>
      <c r="B34" s="53" t="n">
        <v>32.4475757575758</v>
      </c>
      <c r="C34" s="53" t="n">
        <v>31.0365517241379</v>
      </c>
      <c r="D34" s="53" t="n">
        <v>42.49</v>
      </c>
      <c r="E34" s="53" t="n">
        <v>40.1384375</v>
      </c>
      <c r="F34" s="53" t="n">
        <v>35.9005882352941</v>
      </c>
      <c r="G34" s="53" t="n">
        <v>88.99</v>
      </c>
      <c r="H34" s="53" t="n">
        <v>89.2763636363636</v>
      </c>
      <c r="I34" s="53"/>
      <c r="J34" s="53" t="n">
        <v>109.99</v>
      </c>
      <c r="K34" s="53" t="n">
        <v>23.49</v>
      </c>
      <c r="L34" s="53" t="n">
        <v>37.99</v>
      </c>
      <c r="M34" s="53" t="n">
        <v>23.04</v>
      </c>
      <c r="N34" s="53" t="n">
        <v>29.99</v>
      </c>
      <c r="O34" s="53" t="n">
        <v>25.675</v>
      </c>
      <c r="P34" s="53"/>
      <c r="Q34" s="53"/>
    </row>
    <row r="35" customFormat="false" ht="15" hidden="false" customHeight="false" outlineLevel="0" collapsed="false">
      <c r="A35" s="5" t="s">
        <v>373</v>
      </c>
      <c r="B35" s="53" t="n">
        <v>29.3794736842105</v>
      </c>
      <c r="C35" s="53" t="n">
        <v>29.35</v>
      </c>
      <c r="D35" s="53" t="n">
        <v>42.5733333333333</v>
      </c>
      <c r="E35" s="53" t="n">
        <v>37.486875</v>
      </c>
      <c r="F35" s="53" t="n">
        <v>33.939</v>
      </c>
      <c r="G35" s="53" t="n">
        <v>90.3233333333333</v>
      </c>
      <c r="H35" s="53" t="n">
        <v>89.62</v>
      </c>
      <c r="I35" s="53" t="n">
        <v>34.99</v>
      </c>
      <c r="J35" s="53"/>
      <c r="K35" s="53"/>
      <c r="L35" s="53" t="n">
        <v>47.3233333333333</v>
      </c>
      <c r="M35" s="53" t="n">
        <v>20.065</v>
      </c>
      <c r="N35" s="53"/>
      <c r="O35" s="53" t="n">
        <v>30.2257142857143</v>
      </c>
      <c r="P35" s="53" t="n">
        <v>59.99</v>
      </c>
      <c r="Q35" s="53"/>
    </row>
    <row r="36" customFormat="false" ht="15" hidden="false" customHeight="false" outlineLevel="0" collapsed="false">
      <c r="A36" s="5" t="s">
        <v>335</v>
      </c>
      <c r="B36" s="53" t="n">
        <v>33.6729787234043</v>
      </c>
      <c r="C36" s="53" t="n">
        <v>28.6477777777778</v>
      </c>
      <c r="D36" s="53" t="n">
        <v>42.4354545454546</v>
      </c>
      <c r="E36" s="53" t="n">
        <v>34.5138095238095</v>
      </c>
      <c r="F36" s="53" t="n">
        <v>35.038</v>
      </c>
      <c r="G36" s="53" t="n">
        <v>88.99</v>
      </c>
      <c r="H36" s="53" t="n">
        <v>88.99</v>
      </c>
      <c r="I36" s="53" t="n">
        <v>52.49</v>
      </c>
      <c r="J36" s="53" t="n">
        <v>92.99</v>
      </c>
      <c r="K36" s="53"/>
      <c r="L36" s="53" t="n">
        <v>57.99</v>
      </c>
      <c r="M36" s="53" t="n">
        <v>21.0566666666667</v>
      </c>
      <c r="N36" s="53"/>
      <c r="O36" s="53" t="n">
        <v>27.8471428571429</v>
      </c>
      <c r="P36" s="53"/>
      <c r="Q36" s="53"/>
    </row>
    <row r="37" customFormat="false" ht="15" hidden="false" customHeight="false" outlineLevel="0" collapsed="false">
      <c r="A37" s="5" t="s">
        <v>359</v>
      </c>
      <c r="B37" s="53" t="n">
        <v>31.6522222222222</v>
      </c>
      <c r="C37" s="53" t="n">
        <v>30.5177777777778</v>
      </c>
      <c r="D37" s="53" t="n">
        <v>42.918125</v>
      </c>
      <c r="E37" s="53" t="n">
        <v>37.1305405405405</v>
      </c>
      <c r="F37" s="53" t="n">
        <v>37.19</v>
      </c>
      <c r="G37" s="53" t="n">
        <v>88.99</v>
      </c>
      <c r="H37" s="53" t="n">
        <v>88.99</v>
      </c>
      <c r="I37" s="53" t="n">
        <v>34.99</v>
      </c>
      <c r="J37" s="53"/>
      <c r="K37" s="53" t="n">
        <v>22.3233333333333</v>
      </c>
      <c r="L37" s="53" t="n">
        <v>69.99</v>
      </c>
      <c r="M37" s="53" t="n">
        <v>17.09</v>
      </c>
      <c r="N37" s="53"/>
      <c r="O37" s="53" t="n">
        <v>28.99</v>
      </c>
      <c r="P37" s="53" t="n">
        <v>59.99</v>
      </c>
      <c r="Q37" s="53"/>
    </row>
    <row r="38" customFormat="false" ht="15" hidden="false" customHeight="false" outlineLevel="0" collapsed="false">
      <c r="A38" s="5" t="s">
        <v>360</v>
      </c>
      <c r="B38" s="53" t="n">
        <v>28.7316666666667</v>
      </c>
      <c r="C38" s="53" t="n">
        <v>28.8873214285714</v>
      </c>
      <c r="D38" s="53" t="n">
        <v>42.5733333333333</v>
      </c>
      <c r="E38" s="53" t="n">
        <v>35.2661904761905</v>
      </c>
      <c r="F38" s="53" t="n">
        <v>38.115</v>
      </c>
      <c r="G38" s="53" t="n">
        <v>88.99</v>
      </c>
      <c r="H38" s="53" t="n">
        <v>88.99</v>
      </c>
      <c r="I38" s="53" t="n">
        <v>34.99</v>
      </c>
      <c r="J38" s="53" t="n">
        <v>92.99</v>
      </c>
      <c r="K38" s="53" t="n">
        <v>23.49</v>
      </c>
      <c r="L38" s="53"/>
      <c r="M38" s="53" t="n">
        <v>17.09</v>
      </c>
      <c r="N38" s="53"/>
      <c r="O38" s="53" t="n">
        <v>27.6114285714286</v>
      </c>
      <c r="P38" s="53"/>
      <c r="Q38" s="53"/>
    </row>
    <row r="39" customFormat="false" ht="15" hidden="false" customHeight="false" outlineLevel="0" collapsed="false">
      <c r="A39" s="5" t="s">
        <v>326</v>
      </c>
      <c r="B39" s="53" t="n">
        <v>33.9874789915966</v>
      </c>
      <c r="C39" s="53" t="n">
        <v>29.1543835616438</v>
      </c>
      <c r="D39" s="53" t="n">
        <v>34.7089189189189</v>
      </c>
      <c r="E39" s="53" t="n">
        <v>36.4536</v>
      </c>
      <c r="F39" s="53" t="n">
        <v>31.3348717948718</v>
      </c>
      <c r="G39" s="53" t="n">
        <v>92.1011111111111</v>
      </c>
      <c r="H39" s="53" t="n">
        <v>82.5733333333333</v>
      </c>
      <c r="I39" s="53"/>
      <c r="J39" s="53"/>
      <c r="K39" s="53" t="n">
        <v>21.59</v>
      </c>
      <c r="L39" s="53" t="n">
        <v>41.79</v>
      </c>
      <c r="M39" s="53" t="n">
        <v>23.85</v>
      </c>
      <c r="N39" s="53" t="n">
        <v>23.99</v>
      </c>
      <c r="O39" s="53" t="n">
        <v>25.2366666666667</v>
      </c>
      <c r="P39" s="53" t="n">
        <v>59.99</v>
      </c>
      <c r="Q39" s="53"/>
    </row>
    <row r="40" customFormat="false" ht="15" hidden="false" customHeight="false" outlineLevel="0" collapsed="false">
      <c r="A40" s="5" t="s">
        <v>349</v>
      </c>
      <c r="B40" s="53" t="n">
        <v>29.3467532467533</v>
      </c>
      <c r="C40" s="53" t="n">
        <v>28.430625</v>
      </c>
      <c r="D40" s="53" t="n">
        <v>35.4983333333333</v>
      </c>
      <c r="E40" s="53" t="n">
        <v>37.453829787234</v>
      </c>
      <c r="F40" s="53" t="n">
        <v>29.6958823529412</v>
      </c>
      <c r="G40" s="53" t="n">
        <v>110.19</v>
      </c>
      <c r="H40" s="53" t="n">
        <v>91.78375</v>
      </c>
      <c r="I40" s="53" t="n">
        <v>51.29</v>
      </c>
      <c r="J40" s="53" t="n">
        <v>110.19</v>
      </c>
      <c r="K40" s="53" t="n">
        <v>21.59</v>
      </c>
      <c r="L40" s="53" t="n">
        <v>27.86</v>
      </c>
      <c r="M40" s="53" t="n">
        <v>25.54</v>
      </c>
      <c r="N40" s="53" t="n">
        <v>27.815</v>
      </c>
      <c r="O40" s="53" t="n">
        <v>26.615</v>
      </c>
      <c r="P40" s="53"/>
      <c r="Q40" s="53"/>
    </row>
    <row r="41" customFormat="false" ht="15" hidden="false" customHeight="false" outlineLevel="0" collapsed="false">
      <c r="A41" s="5" t="s">
        <v>330</v>
      </c>
      <c r="B41" s="53" t="n">
        <v>34.5879545454545</v>
      </c>
      <c r="C41" s="53" t="n">
        <v>32.0494736842105</v>
      </c>
      <c r="D41" s="53" t="n">
        <v>43.675</v>
      </c>
      <c r="E41" s="53" t="n">
        <v>39.74</v>
      </c>
      <c r="F41" s="53" t="n">
        <v>34.593</v>
      </c>
      <c r="G41" s="53" t="n">
        <v>113.59</v>
      </c>
      <c r="H41" s="53"/>
      <c r="I41" s="53" t="n">
        <v>66.49</v>
      </c>
      <c r="J41" s="53"/>
      <c r="K41" s="53" t="n">
        <v>26.99</v>
      </c>
      <c r="L41" s="53"/>
      <c r="M41" s="53"/>
      <c r="N41" s="53"/>
      <c r="O41" s="53" t="n">
        <v>29.99</v>
      </c>
      <c r="P41" s="53" t="n">
        <v>59.99</v>
      </c>
      <c r="Q41" s="53"/>
    </row>
    <row r="42" customFormat="false" ht="15" hidden="false" customHeight="false" outlineLevel="0" collapsed="false">
      <c r="A42" s="5" t="s">
        <v>338</v>
      </c>
      <c r="B42" s="53" t="n">
        <v>32.3106153846154</v>
      </c>
      <c r="C42" s="53" t="n">
        <v>32.6427777777778</v>
      </c>
      <c r="D42" s="53" t="n">
        <v>42.66</v>
      </c>
      <c r="E42" s="53" t="n">
        <v>40.19</v>
      </c>
      <c r="F42" s="53" t="n">
        <v>36.1075</v>
      </c>
      <c r="G42" s="53" t="n">
        <v>113.59</v>
      </c>
      <c r="H42" s="53" t="n">
        <v>110.19</v>
      </c>
      <c r="I42" s="53" t="n">
        <v>61.74</v>
      </c>
      <c r="J42" s="53" t="n">
        <v>94.99</v>
      </c>
      <c r="K42" s="53" t="n">
        <v>26.99</v>
      </c>
      <c r="L42" s="53"/>
      <c r="M42" s="53" t="n">
        <v>17.09</v>
      </c>
      <c r="N42" s="53"/>
      <c r="O42" s="53" t="n">
        <v>28.79</v>
      </c>
      <c r="P42" s="53"/>
      <c r="Q42" s="53"/>
    </row>
    <row r="43" customFormat="false" ht="15" hidden="false" customHeight="false" outlineLevel="0" collapsed="false">
      <c r="A43" s="5" t="s">
        <v>348</v>
      </c>
      <c r="B43" s="53" t="n">
        <v>34.1876271186441</v>
      </c>
      <c r="C43" s="53" t="n">
        <v>33.8082051282051</v>
      </c>
      <c r="D43" s="53" t="n">
        <v>43.4605882352941</v>
      </c>
      <c r="E43" s="53" t="n">
        <v>44.036511627907</v>
      </c>
      <c r="F43" s="53" t="n">
        <v>37.5392307692308</v>
      </c>
      <c r="G43" s="53" t="n">
        <v>110.19</v>
      </c>
      <c r="H43" s="53" t="n">
        <v>110.19</v>
      </c>
      <c r="I43" s="53"/>
      <c r="J43" s="53"/>
      <c r="K43" s="53"/>
      <c r="L43" s="53" t="n">
        <v>32.29</v>
      </c>
      <c r="M43" s="53" t="n">
        <v>24.9533333333333</v>
      </c>
      <c r="N43" s="53"/>
      <c r="O43" s="53" t="n">
        <v>28.19</v>
      </c>
      <c r="P43" s="53"/>
      <c r="Q43" s="53"/>
    </row>
    <row r="44" customFormat="false" ht="15" hidden="false" customHeight="false" outlineLevel="0" collapsed="false">
      <c r="A44" s="5" t="s">
        <v>321</v>
      </c>
      <c r="B44" s="53" t="n">
        <v>32.6187341772152</v>
      </c>
      <c r="C44" s="53" t="n">
        <v>33.8818918918919</v>
      </c>
      <c r="D44" s="53" t="n">
        <v>42.9542857142857</v>
      </c>
      <c r="E44" s="53" t="n">
        <v>39.9745454545455</v>
      </c>
      <c r="F44" s="53" t="n">
        <v>29.9669230769231</v>
      </c>
      <c r="G44" s="53"/>
      <c r="H44" s="53" t="n">
        <v>100.215</v>
      </c>
      <c r="I44" s="53"/>
      <c r="J44" s="53" t="n">
        <v>102.59</v>
      </c>
      <c r="K44" s="53" t="n">
        <v>22.3233333333333</v>
      </c>
      <c r="L44" s="53" t="n">
        <v>49.39</v>
      </c>
      <c r="M44" s="53"/>
      <c r="N44" s="53"/>
      <c r="O44" s="53" t="n">
        <v>28.49</v>
      </c>
      <c r="P44" s="53"/>
      <c r="Q44" s="53"/>
    </row>
    <row r="45" customFormat="false" ht="15" hidden="false" customHeight="false" outlineLevel="0" collapsed="false">
      <c r="A45" s="5" t="s">
        <v>352</v>
      </c>
      <c r="B45" s="53" t="n">
        <v>36.2135064935065</v>
      </c>
      <c r="C45" s="53" t="n">
        <v>33.0863461538462</v>
      </c>
      <c r="D45" s="53" t="n">
        <v>43.24</v>
      </c>
      <c r="E45" s="53" t="n">
        <v>40.6207692307692</v>
      </c>
      <c r="F45" s="53" t="n">
        <v>34.5354545454545</v>
      </c>
      <c r="G45" s="53" t="n">
        <v>106.99</v>
      </c>
      <c r="H45" s="53" t="n">
        <v>103.54</v>
      </c>
      <c r="I45" s="53"/>
      <c r="J45" s="53" t="n">
        <v>110.19</v>
      </c>
      <c r="K45" s="53"/>
      <c r="L45" s="53" t="n">
        <v>31.33</v>
      </c>
      <c r="M45" s="53" t="n">
        <v>16.99</v>
      </c>
      <c r="N45" s="53"/>
      <c r="O45" s="53" t="n">
        <v>28.0775</v>
      </c>
      <c r="P45" s="53"/>
      <c r="Q45" s="53"/>
    </row>
    <row r="46" customFormat="false" ht="15" hidden="false" customHeight="false" outlineLevel="0" collapsed="false">
      <c r="A46" s="5" t="s">
        <v>329</v>
      </c>
      <c r="B46" s="53" t="n">
        <v>26.9695901639344</v>
      </c>
      <c r="C46" s="53" t="n">
        <v>29.9890476190476</v>
      </c>
      <c r="D46" s="53" t="n">
        <v>40.4405882352941</v>
      </c>
      <c r="E46" s="53" t="n">
        <v>40.6361666666667</v>
      </c>
      <c r="F46" s="53" t="n">
        <v>33.3782352941177</v>
      </c>
      <c r="G46" s="53" t="n">
        <v>106.99</v>
      </c>
      <c r="H46" s="53" t="n">
        <v>110.19</v>
      </c>
      <c r="I46" s="53"/>
      <c r="J46" s="53" t="n">
        <v>92.79</v>
      </c>
      <c r="K46" s="53"/>
      <c r="L46" s="53" t="n">
        <v>43.49</v>
      </c>
      <c r="M46" s="53" t="n">
        <v>30.616</v>
      </c>
      <c r="N46" s="53"/>
      <c r="O46" s="53" t="n">
        <v>28.99</v>
      </c>
      <c r="P46" s="53"/>
      <c r="Q46" s="53"/>
    </row>
    <row r="47" customFormat="false" ht="15" hidden="false" customHeight="false" outlineLevel="0" collapsed="false">
      <c r="A47" s="5" t="s">
        <v>344</v>
      </c>
      <c r="B47" s="53" t="n">
        <v>27.1164285714286</v>
      </c>
      <c r="C47" s="53" t="n">
        <v>25.4943820224719</v>
      </c>
      <c r="D47" s="53" t="n">
        <v>45.7288888888889</v>
      </c>
      <c r="E47" s="53" t="n">
        <v>43.722131147541</v>
      </c>
      <c r="F47" s="53" t="n">
        <v>30.2657894736842</v>
      </c>
      <c r="G47" s="53" t="n">
        <v>106.99</v>
      </c>
      <c r="H47" s="53" t="n">
        <v>106.694285714286</v>
      </c>
      <c r="I47" s="53"/>
      <c r="J47" s="53" t="n">
        <v>98.1566666666667</v>
      </c>
      <c r="K47" s="53" t="n">
        <v>26.99</v>
      </c>
      <c r="L47" s="53" t="n">
        <v>53.3233333333333</v>
      </c>
      <c r="M47" s="53" t="n">
        <v>16.99</v>
      </c>
      <c r="N47" s="53"/>
      <c r="O47" s="53" t="n">
        <v>26.99</v>
      </c>
      <c r="P47" s="53"/>
      <c r="Q47" s="53"/>
    </row>
    <row r="48" customFormat="false" ht="15" hidden="false" customHeight="false" outlineLevel="0" collapsed="false">
      <c r="A48" s="5" t="s">
        <v>374</v>
      </c>
      <c r="B48" s="53" t="n">
        <v>26.3090311418685</v>
      </c>
      <c r="C48" s="53" t="n">
        <v>23.6420588235294</v>
      </c>
      <c r="D48" s="53" t="n">
        <v>42.5177777777778</v>
      </c>
      <c r="E48" s="53" t="n">
        <v>42.7860784313726</v>
      </c>
      <c r="F48" s="53" t="n">
        <v>33.051</v>
      </c>
      <c r="G48" s="53" t="n">
        <v>106.605</v>
      </c>
      <c r="H48" s="53" t="n">
        <v>110.19</v>
      </c>
      <c r="I48" s="53"/>
      <c r="J48" s="53" t="n">
        <v>96.6525</v>
      </c>
      <c r="K48" s="53" t="n">
        <v>23.49</v>
      </c>
      <c r="L48" s="53" t="n">
        <v>63.99</v>
      </c>
      <c r="M48" s="53" t="n">
        <v>11.3266666666667</v>
      </c>
      <c r="N48" s="53"/>
      <c r="O48" s="53" t="n">
        <v>28.99</v>
      </c>
      <c r="P48" s="53"/>
      <c r="Q48" s="53"/>
    </row>
    <row r="49" customFormat="false" ht="15" hidden="false" customHeight="false" outlineLevel="0" collapsed="false">
      <c r="A49" s="5" t="s">
        <v>375</v>
      </c>
      <c r="B49" s="53" t="n">
        <v>26.4781818181818</v>
      </c>
      <c r="C49" s="53" t="n">
        <v>26.3941791044776</v>
      </c>
      <c r="D49" s="53" t="n">
        <v>44.49</v>
      </c>
      <c r="E49" s="53" t="n">
        <v>43.4567924528302</v>
      </c>
      <c r="F49" s="53" t="n">
        <v>31.9183333333333</v>
      </c>
      <c r="G49" s="53" t="n">
        <v>106.99</v>
      </c>
      <c r="H49" s="53" t="n">
        <v>103.456666666667</v>
      </c>
      <c r="I49" s="53" t="n">
        <v>63.99</v>
      </c>
      <c r="J49" s="53" t="n">
        <v>92.14</v>
      </c>
      <c r="K49" s="53"/>
      <c r="L49" s="53" t="n">
        <v>47.7825</v>
      </c>
      <c r="M49" s="53" t="n">
        <v>16.99</v>
      </c>
      <c r="N49" s="53" t="n">
        <v>29.99</v>
      </c>
      <c r="O49" s="53" t="n">
        <v>32.99</v>
      </c>
      <c r="P49" s="53"/>
      <c r="Q49" s="53"/>
    </row>
    <row r="50" customFormat="false" ht="15" hidden="false" customHeight="false" outlineLevel="0" collapsed="false">
      <c r="A50" s="5" t="s">
        <v>362</v>
      </c>
      <c r="B50" s="53" t="n">
        <v>25.0272727272727</v>
      </c>
      <c r="C50" s="53" t="n">
        <v>24.5853333333333</v>
      </c>
      <c r="D50" s="53" t="n">
        <v>43.14</v>
      </c>
      <c r="E50" s="53" t="n">
        <v>44.0525</v>
      </c>
      <c r="F50" s="53" t="n">
        <v>31.5066666666667</v>
      </c>
      <c r="G50" s="53" t="n">
        <v>106.99</v>
      </c>
      <c r="H50" s="53" t="n">
        <v>102.11</v>
      </c>
      <c r="I50" s="53"/>
      <c r="J50" s="53" t="n">
        <v>110.09</v>
      </c>
      <c r="K50" s="53" t="n">
        <v>19.99</v>
      </c>
      <c r="L50" s="53"/>
      <c r="M50" s="53" t="n">
        <v>16.99</v>
      </c>
      <c r="N50" s="53"/>
      <c r="O50" s="53" t="n">
        <v>26.99</v>
      </c>
      <c r="P50" s="53"/>
      <c r="Q50" s="53"/>
    </row>
    <row r="51" customFormat="false" ht="15" hidden="false" customHeight="false" outlineLevel="0" collapsed="false">
      <c r="A51" s="5" t="s">
        <v>357</v>
      </c>
      <c r="B51" s="53" t="n">
        <v>24.6923404255319</v>
      </c>
      <c r="C51" s="53" t="n">
        <v>25.1190322580645</v>
      </c>
      <c r="D51" s="53" t="n">
        <v>43.79</v>
      </c>
      <c r="E51" s="53" t="n">
        <v>44.3835897435898</v>
      </c>
      <c r="F51" s="53" t="n">
        <v>34.4446666666667</v>
      </c>
      <c r="G51" s="53" t="n">
        <v>106.99</v>
      </c>
      <c r="H51" s="53" t="n">
        <v>99.0225</v>
      </c>
      <c r="I51" s="53" t="n">
        <v>69.99</v>
      </c>
      <c r="J51" s="53" t="n">
        <v>110.09</v>
      </c>
      <c r="K51" s="53" t="n">
        <v>23.49</v>
      </c>
      <c r="L51" s="53" t="n">
        <v>63.99</v>
      </c>
      <c r="M51" s="53" t="n">
        <v>25.99</v>
      </c>
      <c r="N51" s="53" t="n">
        <v>23.99</v>
      </c>
      <c r="O51" s="53" t="n">
        <v>26.99</v>
      </c>
      <c r="P51" s="53"/>
      <c r="Q51" s="53"/>
    </row>
    <row r="52" customFormat="false" ht="15" hidden="false" customHeight="false" outlineLevel="0" collapsed="false">
      <c r="A52" s="5" t="s">
        <v>376</v>
      </c>
      <c r="B52" s="53" t="n">
        <v>25.7165581395349</v>
      </c>
      <c r="C52" s="53" t="n">
        <v>23.1859793814433</v>
      </c>
      <c r="D52" s="53" t="n">
        <v>42.8233333333333</v>
      </c>
      <c r="E52" s="53" t="n">
        <v>44.2923255813954</v>
      </c>
      <c r="F52" s="53" t="n">
        <v>32.9531578947368</v>
      </c>
      <c r="G52" s="53" t="n">
        <v>106.99</v>
      </c>
      <c r="H52" s="53" t="n">
        <v>104.68</v>
      </c>
      <c r="I52" s="53"/>
      <c r="J52" s="53"/>
      <c r="K52" s="53"/>
      <c r="L52" s="53" t="n">
        <v>63.99</v>
      </c>
      <c r="M52" s="53" t="n">
        <v>37.99</v>
      </c>
      <c r="N52" s="53"/>
      <c r="O52" s="53" t="n">
        <v>26.99</v>
      </c>
      <c r="P52" s="53"/>
      <c r="Q52" s="53"/>
    </row>
    <row r="53" customFormat="false" ht="15" hidden="false" customHeight="false" outlineLevel="0" collapsed="false">
      <c r="A53" s="5" t="s">
        <v>377</v>
      </c>
      <c r="B53" s="53" t="n">
        <v>26.7453125</v>
      </c>
      <c r="C53" s="53" t="n">
        <v>23.9257831325301</v>
      </c>
      <c r="D53" s="53" t="n">
        <v>41.965</v>
      </c>
      <c r="E53" s="53" t="n">
        <v>40.4041025641026</v>
      </c>
      <c r="F53" s="53" t="n">
        <v>33.9</v>
      </c>
      <c r="G53" s="53" t="n">
        <v>106.99</v>
      </c>
      <c r="H53" s="53" t="n">
        <v>103.456666666667</v>
      </c>
      <c r="I53" s="53"/>
      <c r="J53" s="53"/>
      <c r="K53" s="53" t="n">
        <v>19.99</v>
      </c>
      <c r="L53" s="53" t="n">
        <v>39.99</v>
      </c>
      <c r="M53" s="53" t="n">
        <v>27.99</v>
      </c>
      <c r="N53" s="53" t="n">
        <v>23.99</v>
      </c>
      <c r="O53" s="53" t="n">
        <v>28.99</v>
      </c>
      <c r="P53" s="53"/>
      <c r="Q53" s="53"/>
    </row>
    <row r="54" customFormat="false" ht="15" hidden="false" customHeight="false" outlineLevel="0" collapsed="false">
      <c r="A54" s="5" t="s">
        <v>378</v>
      </c>
      <c r="B54" s="53" t="n">
        <v>26.5498692810458</v>
      </c>
      <c r="C54" s="53" t="n">
        <v>26.1603157894737</v>
      </c>
      <c r="D54" s="53" t="n">
        <v>45.54</v>
      </c>
      <c r="E54" s="53" t="n">
        <v>43.2146808510638</v>
      </c>
      <c r="F54" s="53" t="n">
        <v>36.8252380952381</v>
      </c>
      <c r="G54" s="53" t="n">
        <v>106.4125</v>
      </c>
      <c r="H54" s="53" t="n">
        <v>97.335</v>
      </c>
      <c r="I54" s="53"/>
      <c r="J54" s="53" t="n">
        <v>92.79</v>
      </c>
      <c r="K54" s="53" t="n">
        <v>18.99</v>
      </c>
      <c r="L54" s="53"/>
      <c r="M54" s="53"/>
      <c r="N54" s="53"/>
      <c r="O54" s="53" t="n">
        <v>26.99</v>
      </c>
      <c r="P54" s="53"/>
      <c r="Q54" s="53"/>
    </row>
    <row r="55" customFormat="false" ht="15" hidden="false" customHeight="false" outlineLevel="0" collapsed="false">
      <c r="A55" s="5" t="s">
        <v>345</v>
      </c>
      <c r="B55" s="53" t="n">
        <v>27.2331147540984</v>
      </c>
      <c r="C55" s="53" t="n">
        <v>24.2765060240964</v>
      </c>
      <c r="D55" s="53" t="n">
        <v>45.49</v>
      </c>
      <c r="E55" s="53" t="n">
        <v>43.425</v>
      </c>
      <c r="F55" s="53" t="n">
        <v>37.5489473684211</v>
      </c>
      <c r="G55" s="53" t="n">
        <v>106.99</v>
      </c>
      <c r="H55" s="53" t="n">
        <v>103.7625</v>
      </c>
      <c r="I55" s="53"/>
      <c r="J55" s="53" t="n">
        <v>100.215</v>
      </c>
      <c r="K55" s="53" t="n">
        <v>24.19</v>
      </c>
      <c r="L55" s="53" t="n">
        <v>45.99</v>
      </c>
      <c r="M55" s="53" t="n">
        <v>16.23</v>
      </c>
      <c r="N55" s="53"/>
      <c r="O55" s="53" t="n">
        <v>32.99</v>
      </c>
      <c r="P55" s="53"/>
      <c r="Q55" s="53"/>
    </row>
    <row r="56" customFormat="false" ht="15" hidden="false" customHeight="false" outlineLevel="0" collapsed="false">
      <c r="A56" s="5" t="s">
        <v>363</v>
      </c>
      <c r="B56" s="53" t="n">
        <v>24.9742328042328</v>
      </c>
      <c r="C56" s="53" t="n">
        <v>23.24025</v>
      </c>
      <c r="D56" s="53" t="n">
        <v>41.99</v>
      </c>
      <c r="E56" s="53" t="n">
        <v>41.7222916666667</v>
      </c>
      <c r="F56" s="53" t="n">
        <v>33.9455555555556</v>
      </c>
      <c r="G56" s="53" t="n">
        <v>106.99</v>
      </c>
      <c r="H56" s="53" t="n">
        <v>102.033333333333</v>
      </c>
      <c r="I56" s="53"/>
      <c r="J56" s="53"/>
      <c r="K56" s="53" t="n">
        <v>19.99</v>
      </c>
      <c r="L56" s="53" t="n">
        <v>45.99</v>
      </c>
      <c r="M56" s="53" t="n">
        <v>16.23</v>
      </c>
      <c r="N56" s="53"/>
      <c r="O56" s="53" t="n">
        <v>30.99</v>
      </c>
      <c r="P56" s="53"/>
      <c r="Q56" s="53"/>
    </row>
    <row r="57" customFormat="false" ht="15" hidden="false" customHeight="false" outlineLevel="0" collapsed="false">
      <c r="A57" s="5" t="s">
        <v>379</v>
      </c>
      <c r="B57" s="53" t="n">
        <v>26.7348366013072</v>
      </c>
      <c r="C57" s="53" t="n">
        <v>24.2720833333333</v>
      </c>
      <c r="D57" s="53" t="n">
        <v>43.6566666666667</v>
      </c>
      <c r="E57" s="53" t="n">
        <v>41.6823076923077</v>
      </c>
      <c r="F57" s="53" t="n">
        <v>43.4027272727273</v>
      </c>
      <c r="G57" s="53" t="n">
        <v>106.528</v>
      </c>
      <c r="H57" s="53" t="n">
        <v>100.09</v>
      </c>
      <c r="I57" s="53"/>
      <c r="J57" s="53" t="n">
        <v>90.24</v>
      </c>
      <c r="K57" s="53" t="n">
        <v>19.99</v>
      </c>
      <c r="L57" s="53" t="n">
        <v>49.424</v>
      </c>
      <c r="M57" s="53" t="n">
        <v>25.99</v>
      </c>
      <c r="N57" s="53" t="n">
        <v>26.99</v>
      </c>
      <c r="O57" s="53" t="n">
        <v>28.49</v>
      </c>
      <c r="P57" s="53"/>
      <c r="Q57" s="53"/>
    </row>
    <row r="58" customFormat="false" ht="15" hidden="false" customHeight="false" outlineLevel="0" collapsed="false">
      <c r="A58" s="5" t="s">
        <v>322</v>
      </c>
      <c r="B58" s="53" t="n">
        <v>25.8064383561644</v>
      </c>
      <c r="C58" s="53" t="n">
        <v>23.662183908046</v>
      </c>
      <c r="D58" s="53" t="n">
        <v>42.24</v>
      </c>
      <c r="E58" s="53" t="n">
        <v>43.3621153846154</v>
      </c>
      <c r="F58" s="53" t="n">
        <v>32.504</v>
      </c>
      <c r="G58" s="53" t="n">
        <v>106.99</v>
      </c>
      <c r="H58" s="53" t="n">
        <v>101.62</v>
      </c>
      <c r="I58" s="53"/>
      <c r="J58" s="53" t="n">
        <v>101.49</v>
      </c>
      <c r="K58" s="53"/>
      <c r="L58" s="53" t="n">
        <v>51.7133333333333</v>
      </c>
      <c r="M58" s="53" t="n">
        <v>21.67</v>
      </c>
      <c r="N58" s="53" t="n">
        <v>29.99</v>
      </c>
      <c r="O58" s="53" t="n">
        <v>28.99</v>
      </c>
      <c r="P58" s="53"/>
      <c r="Q58" s="53"/>
    </row>
    <row r="59" customFormat="false" ht="15" hidden="false" customHeight="false" outlineLevel="0" collapsed="false">
      <c r="A59" s="5" t="s">
        <v>380</v>
      </c>
      <c r="B59" s="53" t="n">
        <v>20.99</v>
      </c>
      <c r="C59" s="53"/>
      <c r="D59" s="53"/>
      <c r="E59" s="53" t="n">
        <v>36.99</v>
      </c>
      <c r="F59" s="53" t="n">
        <v>32.39</v>
      </c>
      <c r="G59" s="53"/>
      <c r="H59" s="53" t="n">
        <v>89.99</v>
      </c>
      <c r="I59" s="53"/>
      <c r="J59" s="53"/>
      <c r="K59" s="53"/>
      <c r="L59" s="53"/>
      <c r="M59" s="53" t="n">
        <v>37.99</v>
      </c>
      <c r="N59" s="53"/>
      <c r="O59" s="53"/>
      <c r="P59" s="53"/>
      <c r="Q59" s="5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2026-10-26T09:37:37Z</dcterms:created>
  <dc:creator>openpyxl</dc:creator>
  <dc:description/>
  <dc:language>en-US</dc:language>
  <cp:lastModifiedBy/>
  <dcterms:modified xsi:type="dcterms:W3CDTF">2026-10-26T09:37:43Z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