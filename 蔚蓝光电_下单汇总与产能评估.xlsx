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产能评估" sheetId="1" state="visible" r:id="rId3"/>
    <sheet name="月度汇总" sheetId="2" state="visible" r:id="rId4"/>
    <sheet name="年度汇总" sheetId="3" state="visible" r:id="rId5"/>
    <sheet name="品类月度(件)" sheetId="4" state="visible" r:id="rId6"/>
    <sheet name="SKU排行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<sst xmlns="http://schemas.openxmlformats.org/spreadsheetml/2006/main" count="859" uniqueCount="511">
  <si>
    <r>
      <rPr>
        <b val="true"/>
        <sz val="14"/>
        <rFont val="WenQuanYi Zen Hei"/>
        <family val="2"/>
      </rPr>
      <t xml:space="preserve">专线产能评估：供应商要求 </t>
    </r>
    <r>
      <rPr>
        <b val="true"/>
        <sz val="14"/>
        <rFont val="Cambria"/>
        <family val="0"/>
        <charset val="1"/>
      </rPr>
      <t xml:space="preserve">4</t>
    </r>
    <r>
      <rPr>
        <b val="true"/>
        <sz val="14"/>
        <rFont val="WenQuanYi Zen Hei"/>
        <family val="2"/>
      </rPr>
      <t xml:space="preserve">万只</t>
    </r>
    <r>
      <rPr>
        <b val="true"/>
        <sz val="14"/>
        <rFont val="Cambria"/>
        <family val="0"/>
        <charset val="1"/>
      </rPr>
      <t xml:space="preserve">/</t>
    </r>
    <r>
      <rPr>
        <b val="true"/>
        <sz val="14"/>
        <rFont val="WenQuanYi Zen Hei"/>
        <family val="2"/>
      </rPr>
      <t xml:space="preserve">月</t>
    </r>
  </si>
  <si>
    <t xml:space="preserve">口径</t>
  </si>
  <si>
    <r>
      <rPr>
        <b val="true"/>
        <sz val="11"/>
        <color rgb="FFFFFFFF"/>
        <rFont val="WenQuanYi Zen Hei"/>
        <family val="2"/>
      </rPr>
      <t xml:space="preserve">全部品类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只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</si>
  <si>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全部品类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件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</si>
  <si>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仅灯具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只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</si>
  <si>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达成率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全部只数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</si>
  <si>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缺口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全部只数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</si>
  <si>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月均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</si>
  <si>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月均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</si>
  <si>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上半年月均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</si>
  <si>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下半年月均</t>
    </r>
  </si>
  <si>
    <r>
      <rPr>
        <sz val="11"/>
        <color theme="1"/>
        <rFont val="WenQuanYi Zen Hei"/>
        <family val="2"/>
      </rPr>
      <t xml:space="preserve">近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个月月均</t>
    </r>
    <r>
      <rPr>
        <sz val="11"/>
        <color theme="1"/>
        <rFont val="Calibri"/>
        <family val="2"/>
        <charset val="1"/>
      </rPr>
      <t xml:space="preserve">(25-02~26-01)</t>
    </r>
  </si>
  <si>
    <r>
      <rPr>
        <sz val="11"/>
        <color theme="1"/>
        <rFont val="WenQuanYi Zen Hei"/>
        <family val="2"/>
      </rPr>
      <t xml:space="preserve">近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个月月均</t>
    </r>
    <r>
      <rPr>
        <sz val="11"/>
        <color theme="1"/>
        <rFont val="Calibri"/>
        <family val="2"/>
        <charset val="1"/>
      </rPr>
      <t xml:space="preserve">(25-08~26-01)</t>
    </r>
  </si>
  <si>
    <r>
      <rPr>
        <sz val="11"/>
        <color theme="1"/>
        <rFont val="WenQuanYi Zen Hei"/>
        <family val="2"/>
      </rPr>
      <t xml:space="preserve">近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个月月均</t>
    </r>
    <r>
      <rPr>
        <sz val="11"/>
        <color theme="1"/>
        <rFont val="Calibri"/>
        <family val="2"/>
        <charset val="1"/>
      </rPr>
      <t xml:space="preserve">(25-11~26-01)</t>
    </r>
  </si>
  <si>
    <t xml:space="preserve">历史峰值月</t>
  </si>
  <si>
    <r>
      <rPr>
        <b val="true"/>
        <sz val="11"/>
        <rFont val="WenQuanYi Zen Hei"/>
        <family val="2"/>
      </rPr>
      <t xml:space="preserve">情景测算：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年要达到月均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万只，需要的增长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</si>
  <si>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全年只数</t>
    </r>
  </si>
  <si>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万只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= 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</si>
  <si>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需同比增长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</si>
  <si>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实际同比增长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</si>
  <si>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保持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增速，预计月均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</si>
  <si>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WenQuanYi Zen Hei"/>
        <family val="2"/>
      </rPr>
      <t xml:space="preserve">单月同比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只</t>
    </r>
    <r>
      <rPr>
        <sz val="11"/>
        <color theme="1"/>
        <rFont val="Calibri"/>
        <family val="2"/>
        <charset val="1"/>
      </rPr>
      <t xml:space="preserve">)</t>
    </r>
  </si>
  <si>
    <t xml:space="preserve">结论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</si>
  <si>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WenQuanYi Zen Hei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全年口径，月均约 </t>
    </r>
    <r>
      <rPr>
        <sz val="11"/>
        <color theme="1"/>
        <rFont val="Calibri"/>
        <family val="2"/>
        <charset val="1"/>
      </rPr>
      <t xml:space="preserve">2.4 </t>
    </r>
    <r>
      <rPr>
        <sz val="11"/>
        <color theme="1"/>
        <rFont val="WenQuanYi Zen Hei"/>
        <family val="2"/>
      </rPr>
      <t xml:space="preserve">万只（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WenQuanYi Zen Hei"/>
        <family val="2"/>
      </rPr>
      <t xml:space="preserve">万件），只有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万只的约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，全年平均还撑不起专线；过去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个月里只有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个月达到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万只（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</si>
  <si>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WenQuanYi Zen Hei"/>
        <family val="2"/>
      </rPr>
      <t xml:space="preserve">下单季节性很强：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是旺季（</t>
    </r>
    <r>
      <rPr>
        <sz val="11"/>
        <color theme="1"/>
        <rFont val="Calibri"/>
        <family val="2"/>
        <charset val="1"/>
      </rPr>
      <t xml:space="preserve">2024-11/12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2025-11/12</t>
    </r>
    <r>
      <rPr>
        <sz val="11"/>
        <color theme="1"/>
        <rFont val="WenQuanYi Zen Hei"/>
        <family val="2"/>
      </rPr>
      <t xml:space="preserve">），上半年明显偏低（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WenQuanYi Zen Hei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3.5 </t>
    </r>
    <r>
      <rPr>
        <sz val="11"/>
        <color theme="1"/>
        <rFont val="WenQuanYi Zen Hei"/>
        <family val="2"/>
      </rPr>
      <t xml:space="preserve">千只）。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WenQuanYi Zen Hei"/>
        <family val="2"/>
      </rPr>
      <t xml:space="preserve">的高点主要来自一笔 </t>
    </r>
    <r>
      <rPr>
        <sz val="11"/>
        <color theme="1"/>
        <rFont val="Calibri"/>
        <family val="2"/>
        <charset val="1"/>
      </rPr>
      <t xml:space="preserve">3.2 </t>
    </r>
    <r>
      <rPr>
        <sz val="11"/>
        <color theme="1"/>
        <rFont val="WenQuanYi Zen Hei"/>
        <family val="2"/>
      </rPr>
      <t xml:space="preserve">万套风扇备货，不能当成常态。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</si>
  <si>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WenQuanYi Zen Hei"/>
        <family val="2"/>
      </rPr>
      <t xml:space="preserve">增长很快：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年只数同比增长约 </t>
    </r>
    <r>
      <rPr>
        <sz val="11"/>
        <color theme="1"/>
        <rFont val="Calibri"/>
        <family val="2"/>
        <charset val="1"/>
      </rPr>
      <t xml:space="preserve">81%</t>
    </r>
    <r>
      <rPr>
        <sz val="11"/>
        <color theme="1"/>
        <rFont val="WenQuanYi Zen Hei"/>
        <family val="2"/>
      </rPr>
      <t xml:space="preserve">，下半年月均约 </t>
    </r>
    <r>
      <rPr>
        <sz val="11"/>
        <color theme="1"/>
        <rFont val="Calibri"/>
        <family val="2"/>
        <charset val="1"/>
      </rPr>
      <t xml:space="preserve">3.4 </t>
    </r>
    <r>
      <rPr>
        <sz val="11"/>
        <color theme="1"/>
        <rFont val="WenQuanYi Zen Hei"/>
        <family val="2"/>
      </rPr>
      <t xml:space="preserve">万只，近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个月月均约 </t>
    </r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WenQuanYi Zen Hei"/>
        <family val="2"/>
      </rPr>
      <t xml:space="preserve">万只，已经接近门槛。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</si>
  <si>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WenQuanYi Zen Hei"/>
        <family val="2"/>
      </rPr>
      <t xml:space="preserve">从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28.9 </t>
    </r>
    <r>
      <rPr>
        <sz val="11"/>
        <color theme="1"/>
        <rFont val="WenQuanYi Zen Hei"/>
        <family val="2"/>
      </rPr>
      <t xml:space="preserve">万只到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WenQuanYi Zen Hei"/>
        <family val="2"/>
      </rPr>
      <t xml:space="preserve">万只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需要再增长约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WenQuanYi Zen Hei"/>
        <family val="2"/>
      </rPr>
      <t xml:space="preserve">；如果能保持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的增速，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月均有望达到约 </t>
    </r>
    <r>
      <rPr>
        <sz val="11"/>
        <color theme="1"/>
        <rFont val="Calibri"/>
        <family val="2"/>
        <charset val="1"/>
      </rPr>
      <t xml:space="preserve">4.4 </t>
    </r>
    <r>
      <rPr>
        <sz val="11"/>
        <color theme="1"/>
        <rFont val="WenQuanYi Zen Hei"/>
        <family val="2"/>
      </rPr>
      <t xml:space="preserve">万只，刚好过线。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</si>
  <si>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WenQuanYi Zen Hei"/>
        <family val="2"/>
      </rPr>
      <t xml:space="preserve">谈判建议：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WenQuanYi Zen Hei"/>
        <family val="2"/>
      </rPr>
      <t xml:space="preserve">以「全年承诺量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WenQuanYi Zen Hei"/>
        <family val="2"/>
      </rPr>
      <t xml:space="preserve">万只」代替「每月硬性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万只」，允许按季节调整，淡季提前备货旺季的量；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WenQuanYi Zen Hei"/>
        <family val="2"/>
      </rPr>
      <t xml:space="preserve">把灯具以外的品类（风扇、测试仪、转换器、逆变器）也算进承诺量；</t>
    </r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WenQuanYi Zen Hei"/>
        <family val="2"/>
      </rPr>
      <t xml:space="preserve">先签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个月阶梯协议，比如淡季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万、旺季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万。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</si>
  <si>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WenQuanYi Zen Hei"/>
        <family val="2"/>
      </rPr>
      <t xml:space="preserve">注意：本表统计的是采购下单量，不是实际销量；下单受备货节奏影响，波动比销量大。建议再拿领星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亚马逊的月销量交叉验证一次。</t>
    </r>
  </si>
  <si>
    <r>
      <rPr>
        <b val="true"/>
        <sz val="13"/>
        <rFont val="WenQuanYi Zen Hei"/>
        <family val="2"/>
      </rPr>
      <t xml:space="preserve">佛山市蔚蓝光电科技有限公司 </t>
    </r>
    <r>
      <rPr>
        <b val="true"/>
        <sz val="13"/>
        <rFont val="Cambria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月度下单汇总（剔除已作废单，按下单时间）</t>
    </r>
  </si>
  <si>
    <r>
      <rPr>
        <b val="true"/>
        <sz val="11"/>
        <rFont val="WenQuanYi Zen Hei"/>
        <family val="2"/>
      </rPr>
      <t xml:space="preserve">产能门槛（只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月）</t>
    </r>
  </si>
  <si>
    <t xml:space="preserve">月份</t>
  </si>
  <si>
    <t xml:space="preserve">采购单数</t>
  </si>
  <si>
    <r>
      <rPr>
        <b val="true"/>
        <sz val="11"/>
        <color rgb="FFFFFFFF"/>
        <rFont val="WenQuanYi Zen Hei"/>
        <family val="2"/>
      </rPr>
      <t xml:space="preserve">下单量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件</t>
    </r>
    <r>
      <rPr>
        <b val="true"/>
        <sz val="11"/>
        <color rgb="FFFFFFFF"/>
        <rFont val="Cambria"/>
        <family val="0"/>
        <charset val="1"/>
      </rPr>
      <t xml:space="preserve">/SKU)</t>
    </r>
  </si>
  <si>
    <t xml:space="preserve">折算只数</t>
  </si>
  <si>
    <r>
      <rPr>
        <b val="true"/>
        <sz val="11"/>
        <color rgb="FFFFFFFF"/>
        <rFont val="WenQuanYi Zen Hei"/>
        <family val="2"/>
      </rPr>
      <t xml:space="preserve">采购金额</t>
    </r>
    <r>
      <rPr>
        <b val="true"/>
        <sz val="11"/>
        <color rgb="FFFFFFFF"/>
        <rFont val="Cambria"/>
        <family val="0"/>
        <charset val="1"/>
      </rPr>
      <t xml:space="preserve">(¥)</t>
    </r>
  </si>
  <si>
    <r>
      <rPr>
        <b val="true"/>
        <sz val="11"/>
        <color rgb="FFFFFFFF"/>
        <rFont val="WenQuanYi Zen Hei"/>
        <family val="2"/>
      </rPr>
      <t xml:space="preserve">环比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件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</si>
  <si>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同比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件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</si>
  <si>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环比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只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</si>
  <si>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同比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只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</si>
  <si>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近</t>
    </r>
    <r>
      <rPr>
        <b val="true"/>
        <sz val="11"/>
        <color rgb="FFFFFFFF"/>
        <rFont val="Cambria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月均值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只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</si>
  <si>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达成门槛</t>
    </r>
    <r>
      <rPr>
        <b val="true"/>
        <sz val="11"/>
        <color rgb="FFFFFFFF"/>
        <rFont val="Cambria"/>
        <family val="0"/>
        <charset val="1"/>
      </rPr>
      <t xml:space="preserve">%(</t>
    </r>
    <r>
      <rPr>
        <b val="true"/>
        <sz val="11"/>
        <color rgb="FFFFFFFF"/>
        <rFont val="WenQuanYi Zen Hei"/>
        <family val="2"/>
      </rPr>
      <t xml:space="preserve">只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</si>
  <si>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其中灯具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件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</si>
  <si>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灯具折算只数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</si>
  <si>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</si>
  <si>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</si>
  <si>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</si>
  <si>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</si>
  <si>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</si>
  <si>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</si>
  <si>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</si>
  <si>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</si>
  <si>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</si>
  <si>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</si>
  <si>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</si>
  <si>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</si>
  <si>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</si>
  <si>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</si>
  <si>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</si>
  <si>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</si>
  <si>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</si>
  <si>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</si>
  <si>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</si>
  <si>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</si>
  <si>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</si>
  <si>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</si>
  <si>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</si>
  <si>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</si>
  <si>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</si>
  <si>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r>
      <rPr>
        <i val="true"/>
        <sz val="11"/>
        <color rgb="FF595959"/>
        <rFont val="WenQuanYi Zen Hei"/>
        <family val="2"/>
      </rPr>
      <t xml:space="preserve">说明：折算只数</t>
    </r>
    <r>
      <rPr>
        <i val="true"/>
        <sz val="11"/>
        <color rgb="FF595959"/>
        <rFont val="Cambria"/>
        <family val="0"/>
        <charset val="1"/>
      </rPr>
      <t xml:space="preserve">=</t>
    </r>
    <r>
      <rPr>
        <i val="true"/>
        <sz val="11"/>
        <color rgb="FF595959"/>
        <rFont val="WenQuanYi Zen Hei"/>
        <family val="2"/>
      </rPr>
      <t xml:space="preserve">下单件数</t>
    </r>
    <r>
      <rPr>
        <i val="true"/>
        <sz val="11"/>
        <color rgb="FF595959"/>
        <rFont val="Cambria"/>
        <family val="0"/>
        <charset val="1"/>
      </rPr>
      <t xml:space="preserve">×</t>
    </r>
    <r>
      <rPr>
        <i val="true"/>
        <sz val="11"/>
        <color rgb="FF595959"/>
        <rFont val="WenQuanYi Zen Hei"/>
        <family val="2"/>
      </rPr>
      <t xml:space="preserve">品名中的</t>
    </r>
    <r>
      <rPr>
        <i val="true"/>
        <sz val="11"/>
        <color rgb="FF595959"/>
        <rFont val="Cambria"/>
        <family val="0"/>
        <charset val="1"/>
      </rPr>
      <t xml:space="preserve">"N</t>
    </r>
    <r>
      <rPr>
        <i val="true"/>
        <sz val="11"/>
        <color rgb="FF595959"/>
        <rFont val="WenQuanYi Zen Hei"/>
        <family val="2"/>
      </rPr>
      <t xml:space="preserve">个装</t>
    </r>
    <r>
      <rPr>
        <i val="true"/>
        <sz val="11"/>
        <color rgb="FF595959"/>
        <rFont val="Cambria"/>
        <family val="0"/>
        <charset val="1"/>
      </rPr>
      <t xml:space="preserve">/N</t>
    </r>
    <r>
      <rPr>
        <i val="true"/>
        <sz val="11"/>
        <color rgb="FF595959"/>
        <rFont val="WenQuanYi Zen Hei"/>
        <family val="2"/>
      </rPr>
      <t xml:space="preserve">件装</t>
    </r>
    <r>
      <rPr>
        <i val="true"/>
        <sz val="11"/>
        <color rgb="FF595959"/>
        <rFont val="Cambria"/>
        <family val="0"/>
        <charset val="1"/>
      </rPr>
      <t xml:space="preserve">"</t>
    </r>
    <r>
      <rPr>
        <i val="true"/>
        <sz val="11"/>
        <color rgb="FF595959"/>
        <rFont val="WenQuanYi Zen Hei"/>
        <family val="2"/>
      </rPr>
      <t xml:space="preserve">（如</t>
    </r>
    <r>
      <rPr>
        <i val="true"/>
        <sz val="11"/>
        <color rgb="FF595959"/>
        <rFont val="Cambria"/>
        <family val="0"/>
        <charset val="1"/>
      </rPr>
      <t xml:space="preserve">2</t>
    </r>
    <r>
      <rPr>
        <i val="true"/>
        <sz val="11"/>
        <color rgb="FF595959"/>
        <rFont val="WenQuanYi Zen Hei"/>
        <family val="2"/>
      </rPr>
      <t xml:space="preserve">个装</t>
    </r>
    <r>
      <rPr>
        <i val="true"/>
        <sz val="11"/>
        <color rgb="FF595959"/>
        <rFont val="Cambria"/>
        <family val="0"/>
        <charset val="1"/>
      </rPr>
      <t xml:space="preserve">=2</t>
    </r>
    <r>
      <rPr>
        <i val="true"/>
        <sz val="11"/>
        <color rgb="FF595959"/>
        <rFont val="WenQuanYi Zen Hei"/>
        <family val="2"/>
      </rPr>
      <t xml:space="preserve">只），其余按</t>
    </r>
    <r>
      <rPr>
        <i val="true"/>
        <sz val="11"/>
        <color rgb="FF595959"/>
        <rFont val="Cambria"/>
        <family val="0"/>
        <charset val="1"/>
      </rPr>
      <t xml:space="preserve">1</t>
    </r>
    <r>
      <rPr>
        <i val="true"/>
        <sz val="11"/>
        <color rgb="FF595959"/>
        <rFont val="WenQuanYi Zen Hei"/>
        <family val="2"/>
      </rPr>
      <t xml:space="preserve">只计；</t>
    </r>
    <r>
      <rPr>
        <i val="true"/>
        <sz val="11"/>
        <color rgb="FF595959"/>
        <rFont val="Cambria"/>
        <family val="0"/>
        <charset val="1"/>
      </rPr>
      <t xml:space="preserve">"6+1</t>
    </r>
    <r>
      <rPr>
        <i val="true"/>
        <sz val="11"/>
        <color rgb="FF595959"/>
        <rFont val="WenQuanYi Zen Hei"/>
        <family val="2"/>
      </rPr>
      <t xml:space="preserve">灯板车库灯</t>
    </r>
    <r>
      <rPr>
        <i val="true"/>
        <sz val="11"/>
        <color rgb="FF595959"/>
        <rFont val="Cambria"/>
        <family val="0"/>
        <charset val="1"/>
      </rPr>
      <t xml:space="preserve">"</t>
    </r>
    <r>
      <rPr>
        <i val="true"/>
        <sz val="11"/>
        <color rgb="FF595959"/>
        <rFont val="WenQuanYi Zen Hei"/>
        <family val="2"/>
      </rPr>
      <t xml:space="preserve">按</t>
    </r>
    <r>
      <rPr>
        <i val="true"/>
        <sz val="11"/>
        <color rgb="FF595959"/>
        <rFont val="Cambria"/>
        <family val="0"/>
        <charset val="1"/>
      </rPr>
      <t xml:space="preserve">1</t>
    </r>
    <r>
      <rPr>
        <i val="true"/>
        <sz val="11"/>
        <color rgb="FF595959"/>
        <rFont val="WenQuanYi Zen Hei"/>
        <family val="2"/>
      </rPr>
      <t xml:space="preserve">套</t>
    </r>
    <r>
      <rPr>
        <i val="true"/>
        <sz val="11"/>
        <color rgb="FF595959"/>
        <rFont val="Cambria"/>
        <family val="0"/>
        <charset val="1"/>
      </rPr>
      <t xml:space="preserve">=1</t>
    </r>
    <r>
      <rPr>
        <i val="true"/>
        <sz val="11"/>
        <color rgb="FF595959"/>
        <rFont val="WenQuanYi Zen Hei"/>
        <family val="2"/>
      </rPr>
      <t xml:space="preserve">只。</t>
    </r>
  </si>
  <si>
    <r>
      <rPr>
        <i val="true"/>
        <sz val="11"/>
        <color rgb="FF595959"/>
        <rFont val="Cambria"/>
        <family val="0"/>
        <charset val="1"/>
      </rPr>
      <t xml:space="preserve">2026</t>
    </r>
    <r>
      <rPr>
        <i val="true"/>
        <sz val="11"/>
        <color rgb="FF595959"/>
        <rFont val="WenQuanYi Zen Hei"/>
        <family val="2"/>
      </rPr>
      <t xml:space="preserve">年仅有</t>
    </r>
    <r>
      <rPr>
        <i val="true"/>
        <sz val="11"/>
        <color rgb="FF595959"/>
        <rFont val="Cambria"/>
        <family val="0"/>
        <charset val="1"/>
      </rPr>
      <t xml:space="preserve">1</t>
    </r>
    <r>
      <rPr>
        <i val="true"/>
        <sz val="11"/>
        <color rgb="FF595959"/>
        <rFont val="WenQuanYi Zen Hei"/>
        <family val="2"/>
      </rPr>
      <t xml:space="preserve">月数据；同比需前一年同月，因此</t>
    </r>
    <r>
      <rPr>
        <i val="true"/>
        <sz val="11"/>
        <color rgb="FF595959"/>
        <rFont val="Cambria"/>
        <family val="0"/>
        <charset val="1"/>
      </rPr>
      <t xml:space="preserve">2024</t>
    </r>
    <r>
      <rPr>
        <i val="true"/>
        <sz val="11"/>
        <color rgb="FF595959"/>
        <rFont val="WenQuanYi Zen Hei"/>
        <family val="2"/>
      </rPr>
      <t xml:space="preserve">年无同比。</t>
    </r>
  </si>
  <si>
    <t xml:space="preserve">年份</t>
  </si>
  <si>
    <t xml:space="preserve">月份数</t>
  </si>
  <si>
    <r>
      <rPr>
        <b val="true"/>
        <sz val="11"/>
        <color rgb="FFFFFFFF"/>
        <rFont val="WenQuanYi Zen Hei"/>
        <family val="2"/>
      </rPr>
      <t xml:space="preserve">下单量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件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</si>
  <si>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月均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件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</si>
  <si>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月均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只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</si>
  <si>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同比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金额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</si>
  <si>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≥4</t>
    </r>
    <r>
      <rPr>
        <b val="true"/>
        <sz val="11"/>
        <color rgb="FFFFFFFF"/>
        <rFont val="WenQuanYi Zen Hei"/>
        <family val="2"/>
      </rPr>
      <t xml:space="preserve">万只的月数</t>
    </r>
  </si>
  <si>
    <r>
      <rPr>
        <b val="true"/>
        <sz val="11"/>
        <color rgb="FFFFFFFF"/>
        <rFont val="WenQuanYi Zen Hei"/>
        <family val="2"/>
      </rPr>
      <t xml:space="preserve">峰值月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只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</si>
  <si>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</si>
  <si>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</si>
  <si>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2026(</t>
    </r>
    <r>
      <rPr>
        <sz val="11"/>
        <color theme="1"/>
        <rFont val="WenQuanYi Zen Hei"/>
        <family val="2"/>
      </rPr>
      <t xml:space="preserve">仅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</si>
  <si>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vs 2025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月 同比（件）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</si>
  <si>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vs 2025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月 同比（只）</t>
    </r>
  </si>
  <si>
    <t xml:space="preserve">灯具</t>
  </si>
  <si>
    <t xml:space="preserve">风扇</t>
  </si>
  <si>
    <t xml:space="preserve">防辐射测试仪</t>
  </si>
  <si>
    <t xml:space="preserve">锂电池转换器</t>
  </si>
  <si>
    <t xml:space="preserve">电源逆变器</t>
  </si>
  <si>
    <t xml:space="preserve">水泵</t>
  </si>
  <si>
    <r>
      <rPr>
        <b val="true"/>
        <sz val="11"/>
        <color rgb="FFFFFFFF"/>
        <rFont val="Cambria"/>
        <family val="0"/>
        <charset val="1"/>
      </rPr>
      <t xml:space="preserve">DIY</t>
    </r>
    <r>
      <rPr>
        <b val="true"/>
        <sz val="11"/>
        <color rgb="FFFFFFFF"/>
        <rFont val="WenQuanYi Zen Hei"/>
        <family val="2"/>
      </rPr>
      <t xml:space="preserve">配件</t>
    </r>
  </si>
  <si>
    <t xml:space="preserve">合计</t>
  </si>
  <si>
    <t xml:space="preserve">SKU</t>
  </si>
  <si>
    <t xml:space="preserve">品名</t>
  </si>
  <si>
    <t xml:space="preserve">品类</t>
  </si>
  <si>
    <t xml:space="preserve">只数占比</t>
  </si>
  <si>
    <t xml:space="preserve">SKU046490001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</si>
  <si>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</t>
    </r>
    <r>
      <rPr>
        <sz val="11"/>
        <color theme="1"/>
        <rFont val="Calibri"/>
        <family val="2"/>
        <charset val="1"/>
      </rPr>
      <t xml:space="preserve">DD Y </t>
    </r>
    <r>
      <rPr>
        <sz val="11"/>
        <color theme="1"/>
        <rFont val="WenQuanYi Zen Hei"/>
        <family val="2"/>
      </rPr>
      <t xml:space="preserve">黑色 磁场防辐射测试仪表检测器（入库前检查：需要纸质包装盒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带说明书 中性 不带</t>
    </r>
    <r>
      <rPr>
        <sz val="11"/>
        <color theme="1"/>
        <rFont val="Calibri"/>
        <family val="2"/>
        <charset val="1"/>
      </rPr>
      <t xml:space="preserve">K-II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USA</t>
    </r>
    <r>
      <rPr>
        <sz val="11"/>
        <color theme="1"/>
        <rFont val="WenQuanYi Zen Hei"/>
        <family val="2"/>
      </rPr>
      <t xml:space="preserve">）</t>
    </r>
  </si>
  <si>
    <t xml:space="preserve">SKU067490007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</si>
  <si>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</si>
  <si>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SKU067490008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</si>
  <si>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红色底座 双开关米沃奇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</si>
  <si>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SKU067170001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</si>
  <si>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模具款 得伟转米沃奇 工具电池转接器（配彩盒，英文说明书，贴</t>
    </r>
    <r>
      <rPr>
        <sz val="11"/>
        <color theme="1"/>
        <rFont val="Calibri"/>
        <family val="2"/>
        <charset val="1"/>
      </rPr>
      <t xml:space="preserve">aikeec</t>
    </r>
    <r>
      <rPr>
        <sz val="11"/>
        <color theme="1"/>
        <rFont val="WenQuanYi Zen Hei"/>
        <family val="2"/>
      </rPr>
      <t xml:space="preserve">）</t>
    </r>
  </si>
  <si>
    <t xml:space="preserve">SKU067610001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</si>
  <si>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</si>
  <si>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SKU067510002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</si>
  <si>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</si>
  <si>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SKU067600002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</si>
  <si>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</si>
  <si>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SKU067510004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</si>
  <si>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</si>
  <si>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SKU067510001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</si>
  <si>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</si>
  <si>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SKU067520004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</si>
  <si>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</si>
  <si>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SKU067120001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</si>
  <si>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寸 金属外壳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Ecarke-</t>
    </r>
    <r>
      <rPr>
        <sz val="11"/>
        <color theme="1"/>
        <rFont val="WenQuanYi Zen Hei"/>
        <family val="2"/>
      </rPr>
      <t xml:space="preserve">加提手</t>
    </r>
  </si>
  <si>
    <t xml:space="preserve">SKU067520002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</si>
  <si>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</si>
  <si>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SKU067490003</t>
  </si>
  <si>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</si>
  <si>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SKU067610002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</si>
  <si>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</si>
  <si>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SKU067510005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</si>
  <si>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</si>
  <si>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SKU13016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</si>
  <si>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套米沃奇款</t>
    </r>
    <r>
      <rPr>
        <sz val="11"/>
        <color theme="1"/>
        <rFont val="Calibri"/>
        <family val="2"/>
        <charset val="1"/>
      </rPr>
      <t xml:space="preserve">6+1</t>
    </r>
    <r>
      <rPr>
        <sz val="11"/>
        <color theme="1"/>
        <rFont val="WenQuanYi Zen Hei"/>
        <family val="2"/>
      </rPr>
      <t xml:space="preserve">灯板车库灯</t>
    </r>
  </si>
  <si>
    <t xml:space="preserve">SKU067490004</t>
  </si>
  <si>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</si>
  <si>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SKU066970008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</si>
  <si>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</si>
  <si>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SKU067600001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</si>
  <si>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</si>
  <si>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SKU067120002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</si>
  <si>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寸 金属外壳 得伟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Ecarke-</t>
    </r>
    <r>
      <rPr>
        <sz val="11"/>
        <color theme="1"/>
        <rFont val="WenQuanYi Zen Hei"/>
        <family val="2"/>
      </rPr>
      <t xml:space="preserve">加提手</t>
    </r>
  </si>
  <si>
    <t xml:space="preserve">SKU067520001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</si>
  <si>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</si>
  <si>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SKU13008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</si>
  <si>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套得伟款</t>
    </r>
    <r>
      <rPr>
        <sz val="11"/>
        <color theme="1"/>
        <rFont val="Calibri"/>
        <family val="2"/>
        <charset val="1"/>
      </rPr>
      <t xml:space="preserve">6+1</t>
    </r>
    <r>
      <rPr>
        <sz val="11"/>
        <color theme="1"/>
        <rFont val="WenQuanYi Zen Hei"/>
        <family val="2"/>
      </rPr>
      <t xml:space="preserve">灯板车库灯</t>
    </r>
  </si>
  <si>
    <t xml:space="preserve">SKU067600004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</si>
  <si>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黄色底座 双开关 得伟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</si>
  <si>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SKU067690001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</si>
  <si>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32W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</si>
  <si>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SKU067100001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</si>
  <si>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寸 金属外壳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LIVOWALNY-</t>
    </r>
    <r>
      <rPr>
        <sz val="11"/>
        <color theme="1"/>
        <rFont val="WenQuanYi Zen Hei"/>
        <family val="2"/>
      </rPr>
      <t xml:space="preserve">加提手</t>
    </r>
  </si>
  <si>
    <t xml:space="preserve">SKU066970007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</si>
  <si>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</si>
  <si>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SKU067610004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</si>
  <si>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红色底座 双开关 米沃奇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</si>
  <si>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SKU067810001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</si>
  <si>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寸 金属外壳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Ecarke-</t>
    </r>
    <r>
      <rPr>
        <sz val="11"/>
        <color theme="1"/>
        <rFont val="WenQuanYi Zen Hei"/>
        <family val="2"/>
      </rPr>
      <t xml:space="preserve">加提手</t>
    </r>
  </si>
  <si>
    <t xml:space="preserve">SKU067170003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</si>
  <si>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升级充电款 得伟转米沃奇 工具电池转接器（</t>
    </r>
    <r>
      <rPr>
        <sz val="11"/>
        <color theme="1"/>
        <rFont val="Calibri"/>
        <family val="2"/>
        <charset val="1"/>
      </rPr>
      <t xml:space="preserve">USB+TYPE C</t>
    </r>
    <r>
      <rPr>
        <sz val="11"/>
        <color theme="1"/>
        <rFont val="WenQuanYi Zen Hei"/>
        <family val="2"/>
      </rPr>
      <t xml:space="preserve">充电，配彩盒，英文说明书，贴</t>
    </r>
    <r>
      <rPr>
        <sz val="11"/>
        <color theme="1"/>
        <rFont val="Calibri"/>
        <family val="2"/>
        <charset val="1"/>
      </rPr>
      <t xml:space="preserve">aikeec</t>
    </r>
    <r>
      <rPr>
        <sz val="11"/>
        <color theme="1"/>
        <rFont val="WenQuanYi Zen Hei"/>
        <family val="2"/>
      </rPr>
      <t xml:space="preserve">）</t>
    </r>
  </si>
  <si>
    <t xml:space="preserve">SKU067520003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</si>
  <si>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</si>
  <si>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SKU067820001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</si>
  <si>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寸 金属外壳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Ecarke-</t>
    </r>
    <r>
      <rPr>
        <sz val="11"/>
        <color theme="1"/>
        <rFont val="WenQuanYi Zen Hei"/>
        <family val="2"/>
      </rPr>
      <t xml:space="preserve">加提手</t>
    </r>
  </si>
  <si>
    <t xml:space="preserve">SKU067510003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</si>
  <si>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</si>
  <si>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</si>
  <si>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金属外壳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Ecarke-</t>
    </r>
    <r>
      <rPr>
        <sz val="11"/>
        <color theme="1"/>
        <rFont val="WenQuanYi Zen Hei"/>
        <family val="2"/>
      </rPr>
      <t xml:space="preserve">加提手</t>
    </r>
  </si>
  <si>
    <t xml:space="preserve">SKU067100002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</si>
  <si>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寸 金属外壳 得伟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LIVOWALNY-</t>
    </r>
    <r>
      <rPr>
        <sz val="11"/>
        <color theme="1"/>
        <rFont val="WenQuanYi Zen Hei"/>
        <family val="2"/>
      </rPr>
      <t xml:space="preserve">加提手</t>
    </r>
  </si>
  <si>
    <t xml:space="preserve">SKU067680001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</si>
  <si>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</si>
  <si>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SKU067520005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</si>
  <si>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</si>
  <si>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SKU067810002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</si>
  <si>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寸 金属外壳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LIVOWALNY-</t>
    </r>
    <r>
      <rPr>
        <sz val="11"/>
        <color theme="1"/>
        <rFont val="WenQuanYi Zen Hei"/>
        <family val="2"/>
      </rPr>
      <t xml:space="preserve">加提手</t>
    </r>
  </si>
  <si>
    <t xml:space="preserve">SKU066970006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</si>
  <si>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</si>
  <si>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SKU067600003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</si>
  <si>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</si>
  <si>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</si>
  <si>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SKU067820002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</si>
  <si>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寸 金属外壳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LIVOWALNY-</t>
    </r>
    <r>
      <rPr>
        <sz val="11"/>
        <color theme="1"/>
        <rFont val="WenQuanYi Zen Hei"/>
        <family val="2"/>
      </rPr>
      <t xml:space="preserve">加提手</t>
    </r>
  </si>
  <si>
    <t xml:space="preserve">SKU070770002</t>
  </si>
  <si>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单头（</t>
    </r>
    <r>
      <rPr>
        <sz val="11"/>
        <color theme="1"/>
        <rFont val="Calibri"/>
        <family val="2"/>
        <charset val="1"/>
      </rPr>
      <t xml:space="preserve">AC</t>
    </r>
    <r>
      <rPr>
        <sz val="11"/>
        <color theme="1"/>
        <rFont val="WenQuanYi Zen Hei"/>
        <family val="2"/>
      </rPr>
      <t xml:space="preserve">美规三头插）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</si>
  <si>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SKU067110002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</si>
  <si>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寸 金属外壳 得伟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MtiolHig-</t>
    </r>
    <r>
      <rPr>
        <sz val="11"/>
        <color theme="1"/>
        <rFont val="WenQuanYi Zen Hei"/>
        <family val="2"/>
      </rPr>
      <t xml:space="preserve">加提手</t>
    </r>
  </si>
  <si>
    <t xml:space="preserve">SKU067610003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</si>
  <si>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</si>
  <si>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SKU066970003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</si>
  <si>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</si>
  <si>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支架高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WenQuanYi Zen Hei"/>
        <family val="2"/>
      </rPr>
      <t xml:space="preserve">米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单头（</t>
    </r>
    <r>
      <rPr>
        <sz val="11"/>
        <color theme="1"/>
        <rFont val="Calibri"/>
        <family val="2"/>
        <charset val="1"/>
      </rPr>
      <t xml:space="preserve">AC</t>
    </r>
    <r>
      <rPr>
        <sz val="11"/>
        <color theme="1"/>
        <rFont val="WenQuanYi Zen Hei"/>
        <family val="2"/>
      </rPr>
      <t xml:space="preserve">美规三头插）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</si>
  <si>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SKU071030011</t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</si>
  <si>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黄色得伟底座</t>
    </r>
    <r>
      <rPr>
        <sz val="11"/>
        <color theme="1"/>
        <rFont val="Calibri"/>
        <family val="2"/>
        <charset val="1"/>
      </rPr>
      <t xml:space="preserve">-Ecarke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</si>
  <si>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SKU066970012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</si>
  <si>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WenQuanYi Zen Hei"/>
        <family val="2"/>
      </rPr>
      <t xml:space="preserve">珠工作灯</t>
    </r>
    <r>
      <rPr>
        <sz val="11"/>
        <color theme="1"/>
        <rFont val="Calibri"/>
        <family val="2"/>
        <charset val="1"/>
      </rPr>
      <t xml:space="preserve">---</t>
    </r>
    <r>
      <rPr>
        <sz val="11"/>
        <color theme="1"/>
        <rFont val="WenQuanYi Zen Hei"/>
        <family val="2"/>
      </rPr>
      <t xml:space="preserve">加提把手（</t>
    </r>
    <r>
      <rPr>
        <sz val="11"/>
        <color theme="1"/>
        <rFont val="Calibri"/>
        <family val="2"/>
        <charset val="1"/>
      </rPr>
      <t xml:space="preserve">48W 4800lm </t>
    </r>
    <r>
      <rPr>
        <sz val="11"/>
        <color theme="1"/>
        <rFont val="WenQuanYi Zen Hei"/>
        <family val="2"/>
      </rPr>
      <t xml:space="preserve">高低亮 彩盒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产品贴标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</si>
  <si>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SKU066970011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</si>
  <si>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 得伟</t>
    </r>
    <r>
      <rPr>
        <sz val="11"/>
        <color theme="1"/>
        <rFont val="Calibri"/>
        <family val="2"/>
        <charset val="1"/>
      </rPr>
      <t xml:space="preserve">18/20V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WenQuanYi Zen Hei"/>
        <family val="2"/>
      </rPr>
      <t xml:space="preserve">珠工作灯</t>
    </r>
    <r>
      <rPr>
        <sz val="11"/>
        <color theme="1"/>
        <rFont val="Calibri"/>
        <family val="2"/>
        <charset val="1"/>
      </rPr>
      <t xml:space="preserve">---</t>
    </r>
    <r>
      <rPr>
        <sz val="11"/>
        <color theme="1"/>
        <rFont val="WenQuanYi Zen Hei"/>
        <family val="2"/>
      </rPr>
      <t xml:space="preserve">加提把手（</t>
    </r>
    <r>
      <rPr>
        <sz val="11"/>
        <color theme="1"/>
        <rFont val="Calibri"/>
        <family val="2"/>
        <charset val="1"/>
      </rPr>
      <t xml:space="preserve">48W 4800lm </t>
    </r>
    <r>
      <rPr>
        <sz val="11"/>
        <color theme="1"/>
        <rFont val="WenQuanYi Zen Hei"/>
        <family val="2"/>
      </rPr>
      <t xml:space="preserve">高低亮 彩盒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产品贴标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</si>
  <si>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SKU067740002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</si>
  <si>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工作灯加提手（贴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</si>
  <si>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SKU066950014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</si>
  <si>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</si>
  <si>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SKU067430003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</si>
  <si>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</si>
  <si>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SKU067170002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</si>
  <si>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 模具款 得伟转米沃奇 工具电池转接器（配彩盒，英文说明书，贴</t>
    </r>
    <r>
      <rPr>
        <sz val="11"/>
        <color theme="1"/>
        <rFont val="Calibri"/>
        <family val="2"/>
        <charset val="1"/>
      </rPr>
      <t xml:space="preserve">aikeec</t>
    </r>
    <r>
      <rPr>
        <sz val="11"/>
        <color theme="1"/>
        <rFont val="WenQuanYi Zen Hei"/>
        <family val="2"/>
      </rPr>
      <t xml:space="preserve">）</t>
    </r>
  </si>
  <si>
    <t xml:space="preserve">SKU067330002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</si>
  <si>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单开关 米沃奇</t>
    </r>
    <r>
      <rPr>
        <sz val="11"/>
        <color theme="1"/>
        <rFont val="Calibri"/>
        <family val="2"/>
        <charset val="1"/>
      </rPr>
      <t xml:space="preserve">18V 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WenQuanYi Zen Hei"/>
        <family val="2"/>
      </rPr>
      <t xml:space="preserve">英寸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悬浮灯带提手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白暖光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贴</t>
    </r>
    <r>
      <rPr>
        <sz val="11"/>
        <color theme="1"/>
        <rFont val="Calibri"/>
        <family val="2"/>
        <charset val="1"/>
      </rPr>
      <t xml:space="preserve">LIVOWALNY</t>
    </r>
  </si>
  <si>
    <t xml:space="preserve">SKU067340002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</si>
  <si>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得伟</t>
    </r>
    <r>
      <rPr>
        <sz val="11"/>
        <color theme="1"/>
        <rFont val="Calibri"/>
        <family val="2"/>
        <charset val="1"/>
      </rPr>
      <t xml:space="preserve">20V 4.5</t>
    </r>
    <r>
      <rPr>
        <sz val="11"/>
        <color theme="1"/>
        <rFont val="WenQuanYi Zen Hei"/>
        <family val="2"/>
      </rPr>
      <t xml:space="preserve">英寸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悬浮灯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白暖光</t>
    </r>
    <r>
      <rPr>
        <sz val="11"/>
        <color theme="1"/>
        <rFont val="Calibri"/>
        <family val="2"/>
        <charset val="1"/>
      </rPr>
      <t xml:space="preserve">)LIVOWALNY</t>
    </r>
  </si>
  <si>
    <t xml:space="preserve">SKU067670002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</si>
  <si>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</si>
  <si>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SKU067670001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</si>
  <si>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</si>
  <si>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米沃奇</t>
    </r>
    <r>
      <rPr>
        <sz val="11"/>
        <color theme="1"/>
        <rFont val="Calibri"/>
        <family val="2"/>
        <charset val="1"/>
      </rPr>
      <t xml:space="preserve">18V 4.5</t>
    </r>
    <r>
      <rPr>
        <sz val="11"/>
        <color theme="1"/>
        <rFont val="WenQuanYi Zen Hei"/>
        <family val="2"/>
      </rPr>
      <t xml:space="preserve">英寸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悬浮灯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白暖光</t>
    </r>
    <r>
      <rPr>
        <sz val="11"/>
        <color theme="1"/>
        <rFont val="Calibri"/>
        <family val="2"/>
        <charset val="1"/>
      </rPr>
      <t xml:space="preserve">)LIVOWALNY</t>
    </r>
  </si>
  <si>
    <t xml:space="preserve">SKU070610001</t>
  </si>
  <si>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支架高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WenQuanYi Zen Hei"/>
        <family val="2"/>
      </rPr>
      <t xml:space="preserve">米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黄色得伟插脚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</si>
  <si>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SKU067620003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</si>
  <si>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12W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</si>
  <si>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SKU066950008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</si>
  <si>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方形低配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珠平面镜工作灯（厚度</t>
    </r>
    <r>
      <rPr>
        <sz val="11"/>
        <color theme="1"/>
        <rFont val="Calibri"/>
        <family val="2"/>
        <charset val="1"/>
      </rPr>
      <t xml:space="preserve">22mm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1900lm</t>
    </r>
    <r>
      <rPr>
        <sz val="11"/>
        <color theme="1"/>
        <rFont val="WenQuanYi Zen Hei"/>
        <family val="2"/>
      </rPr>
      <t xml:space="preserve">，强弱光，泛光灯，色温</t>
    </r>
    <r>
      <rPr>
        <sz val="11"/>
        <color theme="1"/>
        <rFont val="Calibri"/>
        <family val="2"/>
        <charset val="1"/>
      </rPr>
      <t xml:space="preserve">6000-6500k,</t>
    </r>
    <r>
      <rPr>
        <sz val="11"/>
        <color theme="1"/>
        <rFont val="WenQuanYi Zen Hei"/>
        <family val="2"/>
      </rPr>
      <t xml:space="preserve">彩盒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产品贴标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，配英文说明书）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</si>
  <si>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48W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</si>
  <si>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48W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</si>
  <si>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SKU067110001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</si>
  <si>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寸 金属外壳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MtiolHig-</t>
    </r>
    <r>
      <rPr>
        <sz val="11"/>
        <color theme="1"/>
        <rFont val="WenQuanYi Zen Hei"/>
        <family val="2"/>
      </rPr>
      <t xml:space="preserve">加提手</t>
    </r>
  </si>
  <si>
    <t xml:space="preserve">SKU067620002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</si>
  <si>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12W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</si>
  <si>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SKU067430001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</si>
  <si>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</si>
  <si>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SKU067340003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</si>
  <si>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得伟</t>
    </r>
    <r>
      <rPr>
        <sz val="11"/>
        <color theme="1"/>
        <rFont val="Calibri"/>
        <family val="2"/>
        <charset val="1"/>
      </rPr>
      <t xml:space="preserve">20V 4.5</t>
    </r>
    <r>
      <rPr>
        <sz val="11"/>
        <color theme="1"/>
        <rFont val="WenQuanYi Zen Hei"/>
        <family val="2"/>
      </rPr>
      <t xml:space="preserve">英寸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悬浮灯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白暖光</t>
    </r>
    <r>
      <rPr>
        <sz val="11"/>
        <color theme="1"/>
        <rFont val="Calibri"/>
        <family val="2"/>
        <charset val="1"/>
      </rPr>
      <t xml:space="preserve">)MtiolHig</t>
    </r>
  </si>
  <si>
    <t xml:space="preserve">SKU071040009</t>
  </si>
  <si>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-Livowalny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</si>
  <si>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SKU067630002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</si>
  <si>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12W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</si>
  <si>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SKU067800001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</si>
  <si>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寸 金属外壳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Ecarke-</t>
    </r>
    <r>
      <rPr>
        <sz val="11"/>
        <color theme="1"/>
        <rFont val="WenQuanYi Zen Hei"/>
        <family val="2"/>
      </rPr>
      <t xml:space="preserve">加提手</t>
    </r>
  </si>
  <si>
    <t xml:space="preserve">SKU067440003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</si>
  <si>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</si>
  <si>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金属外壳 得伟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LIVOWALNY-</t>
    </r>
    <r>
      <rPr>
        <sz val="11"/>
        <color theme="1"/>
        <rFont val="WenQuanYi Zen Hei"/>
        <family val="2"/>
      </rPr>
      <t xml:space="preserve">加提手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</si>
  <si>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金属外壳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LIVOWALNY-</t>
    </r>
    <r>
      <rPr>
        <sz val="11"/>
        <color theme="1"/>
        <rFont val="WenQuanYi Zen Hei"/>
        <family val="2"/>
      </rPr>
      <t xml:space="preserve">加提手</t>
    </r>
  </si>
  <si>
    <t xml:space="preserve">SKU067600005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</si>
  <si>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黄色底座 双开关 得伟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</si>
  <si>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SKU067730002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</si>
  <si>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</si>
  <si>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SKU067610005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</si>
  <si>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红色底座 双开关 米沃奇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</si>
  <si>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SKU067330003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</si>
  <si>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米沃奇</t>
    </r>
    <r>
      <rPr>
        <sz val="11"/>
        <color theme="1"/>
        <rFont val="Calibri"/>
        <family val="2"/>
        <charset val="1"/>
      </rPr>
      <t xml:space="preserve">18V 4.5</t>
    </r>
    <r>
      <rPr>
        <sz val="11"/>
        <color theme="1"/>
        <rFont val="WenQuanYi Zen Hei"/>
        <family val="2"/>
      </rPr>
      <t xml:space="preserve">英寸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悬浮灯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白暖光</t>
    </r>
    <r>
      <rPr>
        <sz val="11"/>
        <color theme="1"/>
        <rFont val="Calibri"/>
        <family val="2"/>
        <charset val="1"/>
      </rPr>
      <t xml:space="preserve">)MtiolHig</t>
    </r>
  </si>
  <si>
    <t xml:space="preserve">SKU067740004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</si>
  <si>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</si>
  <si>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NBQZ091M0A1</t>
  </si>
  <si>
    <r>
      <rPr>
        <sz val="11"/>
        <color theme="1"/>
        <rFont val="Calibri"/>
        <family val="2"/>
        <charset val="1"/>
      </rPr>
      <t xml:space="preserve">CC-</t>
    </r>
    <r>
      <rPr>
        <sz val="11"/>
        <color theme="1"/>
        <rFont val="WenQuanYi Zen Hei"/>
        <family val="2"/>
      </rPr>
      <t xml:space="preserve">米沃奇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电源逆变器</t>
    </r>
    <r>
      <rPr>
        <sz val="11"/>
        <color theme="1"/>
        <rFont val="Calibri"/>
        <family val="2"/>
        <charset val="1"/>
      </rPr>
      <t xml:space="preserve">-200W-</t>
    </r>
    <r>
      <rPr>
        <sz val="11"/>
        <color theme="1"/>
        <rFont val="WenQuanYi Zen Hei"/>
        <family val="2"/>
      </rPr>
      <t xml:space="preserve">美规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红色</t>
    </r>
    <r>
      <rPr>
        <sz val="11"/>
        <color theme="1"/>
        <rFont val="Calibri"/>
        <family val="2"/>
        <charset val="1"/>
      </rPr>
      <t xml:space="preserve">-Ecarke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</si>
  <si>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</si>
  <si>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SKU070770001</t>
  </si>
  <si>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支架高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WenQuanYi Zen Hei"/>
        <family val="2"/>
      </rPr>
      <t xml:space="preserve">米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单头（</t>
    </r>
    <r>
      <rPr>
        <sz val="11"/>
        <color theme="1"/>
        <rFont val="Calibri"/>
        <family val="2"/>
        <charset val="1"/>
      </rPr>
      <t xml:space="preserve">AC</t>
    </r>
    <r>
      <rPr>
        <sz val="11"/>
        <color theme="1"/>
        <rFont val="WenQuanYi Zen Hei"/>
        <family val="2"/>
      </rPr>
      <t xml:space="preserve">美规三头插）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</si>
  <si>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SKU067820003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</si>
  <si>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寸 金属外壳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MtiolHig-</t>
    </r>
    <r>
      <rPr>
        <sz val="11"/>
        <color theme="1"/>
        <rFont val="WenQuanYi Zen Hei"/>
        <family val="2"/>
      </rPr>
      <t xml:space="preserve">加提手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</si>
  <si>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单开关 得伟</t>
    </r>
    <r>
      <rPr>
        <sz val="11"/>
        <color theme="1"/>
        <rFont val="Calibri"/>
        <family val="2"/>
        <charset val="1"/>
      </rPr>
      <t xml:space="preserve">20V 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WenQuanYi Zen Hei"/>
        <family val="2"/>
      </rPr>
      <t xml:space="preserve">英寸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悬浮灯带提手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白暖光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贴</t>
    </r>
    <r>
      <rPr>
        <sz val="11"/>
        <color theme="1"/>
        <rFont val="Calibri"/>
        <family val="2"/>
        <charset val="1"/>
      </rPr>
      <t xml:space="preserve">LIVOWALNY</t>
    </r>
  </si>
  <si>
    <t xml:space="preserve">SKU066960006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</si>
  <si>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</si>
  <si>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SKU066950012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</si>
  <si>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48W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</si>
  <si>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SKU067800007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</si>
  <si>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寸 金属外壳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LIVOWALNY-</t>
    </r>
    <r>
      <rPr>
        <sz val="11"/>
        <color theme="1"/>
        <rFont val="WenQuanYi Zen Hei"/>
        <family val="2"/>
      </rPr>
      <t xml:space="preserve">加提手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</si>
  <si>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48W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</si>
  <si>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SKU071040011</t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</si>
  <si>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-Ecarke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</si>
  <si>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金属外壳 得伟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Ecarke-</t>
    </r>
    <r>
      <rPr>
        <sz val="11"/>
        <color theme="1"/>
        <rFont val="WenQuanYi Zen Hei"/>
        <family val="2"/>
      </rPr>
      <t xml:space="preserve">加提手</t>
    </r>
  </si>
  <si>
    <t xml:space="preserve">SKU071040010</t>
  </si>
  <si>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-VoLtTech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</si>
  <si>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SKU067800008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</si>
  <si>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寸 金属外壳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Ecarke-</t>
    </r>
    <r>
      <rPr>
        <sz val="11"/>
        <color theme="1"/>
        <rFont val="WenQuanYi Zen Hei"/>
        <family val="2"/>
      </rPr>
      <t xml:space="preserve">加提手</t>
    </r>
  </si>
  <si>
    <t xml:space="preserve">SKU071030010</t>
  </si>
  <si>
    <r>
      <rPr>
        <sz val="11"/>
        <color theme="1"/>
        <rFont val="WenQuanYi Zen Hei"/>
        <family val="2"/>
      </rPr>
      <t xml:space="preserve">黄色得伟底座</t>
    </r>
    <r>
      <rPr>
        <sz val="11"/>
        <color theme="1"/>
        <rFont val="Calibri"/>
        <family val="2"/>
        <charset val="1"/>
      </rPr>
      <t xml:space="preserve">-VoLtTech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</si>
  <si>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黄色得伟底座</t>
    </r>
    <r>
      <rPr>
        <sz val="11"/>
        <color theme="1"/>
        <rFont val="Calibri"/>
        <family val="2"/>
        <charset val="1"/>
      </rPr>
      <t xml:space="preserve">-Ecarke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</si>
  <si>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</si>
  <si>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SKU067740001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</si>
  <si>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工作灯加提手（贴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</si>
  <si>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 得伟</t>
    </r>
    <r>
      <rPr>
        <sz val="11"/>
        <color theme="1"/>
        <rFont val="Calibri"/>
        <family val="2"/>
        <charset val="1"/>
      </rPr>
      <t xml:space="preserve">18/20V</t>
    </r>
    <r>
      <rPr>
        <sz val="11"/>
        <color theme="1"/>
        <rFont val="WenQuanYi Zen Hei"/>
        <family val="2"/>
      </rPr>
      <t xml:space="preserve">方形低配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珠平面镜工作灯（厚度</t>
    </r>
    <r>
      <rPr>
        <sz val="11"/>
        <color theme="1"/>
        <rFont val="Calibri"/>
        <family val="2"/>
        <charset val="1"/>
      </rPr>
      <t xml:space="preserve">22mm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1900lm</t>
    </r>
    <r>
      <rPr>
        <sz val="11"/>
        <color theme="1"/>
        <rFont val="WenQuanYi Zen Hei"/>
        <family val="2"/>
      </rPr>
      <t xml:space="preserve">，强弱光，泛光灯，色温</t>
    </r>
    <r>
      <rPr>
        <sz val="11"/>
        <color theme="1"/>
        <rFont val="Calibri"/>
        <family val="2"/>
        <charset val="1"/>
      </rPr>
      <t xml:space="preserve">6000-6500k,</t>
    </r>
    <r>
      <rPr>
        <sz val="11"/>
        <color theme="1"/>
        <rFont val="WenQuanYi Zen Hei"/>
        <family val="2"/>
      </rPr>
      <t xml:space="preserve">彩盒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产品贴标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，配英文说明书）</t>
    </r>
  </si>
  <si>
    <t xml:space="preserve">SKU12093</t>
  </si>
  <si>
    <r>
      <rPr>
        <sz val="11"/>
        <color theme="1"/>
        <rFont val="WenQuanYi Zen Hei"/>
        <family val="2"/>
      </rPr>
      <t xml:space="preserve">牧田款</t>
    </r>
    <r>
      <rPr>
        <sz val="11"/>
        <color theme="1"/>
        <rFont val="Calibri"/>
        <family val="2"/>
        <charset val="1"/>
      </rPr>
      <t xml:space="preserve">6+1</t>
    </r>
    <r>
      <rPr>
        <sz val="11"/>
        <color theme="1"/>
        <rFont val="WenQuanYi Zen Hei"/>
        <family val="2"/>
      </rPr>
      <t xml:space="preserve">灯板车库灯</t>
    </r>
    <r>
      <rPr>
        <sz val="11"/>
        <color theme="1"/>
        <rFont val="Calibri"/>
        <family val="2"/>
        <charset val="1"/>
      </rPr>
      <t xml:space="preserve">LIVOWALNY</t>
    </r>
  </si>
  <si>
    <t xml:space="preserve">SKU067730003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</si>
  <si>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2</t>
    </r>
    <r>
      <rPr>
        <sz val="11"/>
        <color theme="1"/>
        <rFont val="WenQuanYi Zen Hei"/>
        <family val="2"/>
      </rPr>
      <t xml:space="preserve">个装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</si>
  <si>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SKU070720001</t>
  </si>
  <si>
    <r>
      <rPr>
        <sz val="11"/>
        <color theme="1"/>
        <rFont val="WenQuanYi Zen Hei"/>
        <family val="2"/>
      </rPr>
      <t xml:space="preserve">鹅颈灯带挂钩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件装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得伟插脚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</si>
  <si>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SKU067490006</t>
  </si>
  <si>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</si>
  <si>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SKU067430004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</si>
  <si>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</si>
  <si>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黄色得伟插脚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</si>
  <si>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SKU067170004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</si>
  <si>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 升级充电款 得伟转米沃奇 工具电池转接器（</t>
    </r>
    <r>
      <rPr>
        <sz val="11"/>
        <color theme="1"/>
        <rFont val="Calibri"/>
        <family val="2"/>
        <charset val="1"/>
      </rPr>
      <t xml:space="preserve">USB+TYPE C</t>
    </r>
    <r>
      <rPr>
        <sz val="11"/>
        <color theme="1"/>
        <rFont val="WenQuanYi Zen Hei"/>
        <family val="2"/>
      </rPr>
      <t xml:space="preserve">充电，配彩盒，英文说明书，贴</t>
    </r>
    <r>
      <rPr>
        <sz val="11"/>
        <color theme="1"/>
        <rFont val="Calibri"/>
        <family val="2"/>
        <charset val="1"/>
      </rPr>
      <t xml:space="preserve">aikeec</t>
    </r>
    <r>
      <rPr>
        <sz val="11"/>
        <color theme="1"/>
        <rFont val="WenQuanYi Zen Hei"/>
        <family val="2"/>
      </rPr>
      <t xml:space="preserve">）</t>
    </r>
  </si>
  <si>
    <t xml:space="preserve">SKU067680002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</si>
  <si>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</si>
  <si>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-Ecarke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</si>
  <si>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SKU066960008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</si>
  <si>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</si>
  <si>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SKU067810003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</si>
  <si>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寸 金属外壳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MtiolHig-</t>
    </r>
    <r>
      <rPr>
        <sz val="11"/>
        <color theme="1"/>
        <rFont val="WenQuanYi Zen Hei"/>
        <family val="2"/>
      </rPr>
      <t xml:space="preserve">加提手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</si>
  <si>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金属外壳 得伟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MtiolHig-</t>
    </r>
    <r>
      <rPr>
        <sz val="11"/>
        <color theme="1"/>
        <rFont val="WenQuanYi Zen Hei"/>
        <family val="2"/>
      </rPr>
      <t xml:space="preserve">加提手</t>
    </r>
  </si>
  <si>
    <t xml:space="preserve">GZDZ031M0A01</t>
  </si>
  <si>
    <r>
      <rPr>
        <sz val="11"/>
        <color theme="1"/>
        <rFont val="Calibri"/>
        <family val="2"/>
        <charset val="1"/>
      </rPr>
      <t xml:space="preserve">NA-</t>
    </r>
    <r>
      <rPr>
        <sz val="11"/>
        <color theme="1"/>
        <rFont val="WenQuanYi Zen Hei"/>
        <family val="2"/>
      </rPr>
      <t xml:space="preserve">米沃奇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锂电池工作灯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三头款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通用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红黑</t>
    </r>
    <r>
      <rPr>
        <sz val="11"/>
        <color theme="1"/>
        <rFont val="Calibri"/>
        <family val="2"/>
        <charset val="1"/>
      </rPr>
      <t xml:space="preserve">-LIVOWALNY</t>
    </r>
  </si>
  <si>
    <t xml:space="preserve">GZDZ031D0A01</t>
  </si>
  <si>
    <r>
      <rPr>
        <sz val="11"/>
        <color theme="1"/>
        <rFont val="Calibri"/>
        <family val="2"/>
        <charset val="1"/>
      </rPr>
      <t xml:space="preserve">NA-</t>
    </r>
    <r>
      <rPr>
        <sz val="11"/>
        <color theme="1"/>
        <rFont val="WenQuanYi Zen Hei"/>
        <family val="2"/>
      </rPr>
      <t xml:space="preserve">得伟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锂电池工作灯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三头款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通用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黄黑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</si>
  <si>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SKU071030009</t>
  </si>
  <si>
    <r>
      <rPr>
        <sz val="11"/>
        <color theme="1"/>
        <rFont val="WenQuanYi Zen Hei"/>
        <family val="2"/>
      </rPr>
      <t xml:space="preserve">黄色得伟底座</t>
    </r>
    <r>
      <rPr>
        <sz val="11"/>
        <color theme="1"/>
        <rFont val="Calibri"/>
        <family val="2"/>
        <charset val="1"/>
      </rPr>
      <t xml:space="preserve">-Livowalny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</si>
  <si>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SKU067620001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</si>
  <si>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12W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</si>
  <si>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SKU0701100008</t>
  </si>
  <si>
    <t xml:space="preserve">SKU067430005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</si>
  <si>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</si>
  <si>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SKU067700002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</si>
  <si>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32W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</si>
  <si>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SKU067630003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</si>
  <si>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12W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</si>
  <si>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SKU070610002</t>
  </si>
  <si>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支架高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WenQuanYi Zen Hei"/>
        <family val="2"/>
      </rPr>
      <t xml:space="preserve">米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黄色得伟插脚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</si>
  <si>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SKU066960003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</si>
  <si>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</si>
  <si>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SKU067440001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</si>
  <si>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</si>
  <si>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单头（</t>
    </r>
    <r>
      <rPr>
        <sz val="11"/>
        <color theme="1"/>
        <rFont val="Calibri"/>
        <family val="2"/>
        <charset val="1"/>
      </rPr>
      <t xml:space="preserve">AC</t>
    </r>
    <r>
      <rPr>
        <sz val="11"/>
        <color theme="1"/>
        <rFont val="WenQuanYi Zen Hei"/>
        <family val="2"/>
      </rPr>
      <t xml:space="preserve">美规三头插）</t>
    </r>
    <r>
      <rPr>
        <sz val="11"/>
        <color theme="1"/>
        <rFont val="Calibri"/>
        <family val="2"/>
        <charset val="1"/>
      </rPr>
      <t xml:space="preserve">-Livowalny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</si>
  <si>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</si>
  <si>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件装支架灯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黄色得伟插脚</t>
    </r>
    <r>
      <rPr>
        <sz val="11"/>
        <color theme="1"/>
        <rFont val="Calibri"/>
        <family val="2"/>
        <charset val="1"/>
      </rPr>
      <t xml:space="preserve">-LIVOWALNY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</si>
  <si>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方形低配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珠平面镜工作灯（厚度</t>
    </r>
    <r>
      <rPr>
        <sz val="11"/>
        <color theme="1"/>
        <rFont val="Calibri"/>
        <family val="2"/>
        <charset val="1"/>
      </rPr>
      <t xml:space="preserve">22mm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1900lm</t>
    </r>
    <r>
      <rPr>
        <sz val="11"/>
        <color theme="1"/>
        <rFont val="WenQuanYi Zen Hei"/>
        <family val="2"/>
      </rPr>
      <t xml:space="preserve">，强弱光，泛光灯，色温</t>
    </r>
    <r>
      <rPr>
        <sz val="11"/>
        <color theme="1"/>
        <rFont val="Calibri"/>
        <family val="2"/>
        <charset val="1"/>
      </rPr>
      <t xml:space="preserve">6000-6500k,</t>
    </r>
    <r>
      <rPr>
        <sz val="11"/>
        <color theme="1"/>
        <rFont val="WenQuanYi Zen Hei"/>
        <family val="2"/>
      </rPr>
      <t xml:space="preserve">彩盒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产品贴标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，配英文说明书）</t>
    </r>
  </si>
  <si>
    <t xml:space="preserve">NBQZ071D0A1</t>
  </si>
  <si>
    <r>
      <rPr>
        <sz val="11"/>
        <color theme="1"/>
        <rFont val="Calibri"/>
        <family val="2"/>
        <charset val="1"/>
      </rPr>
      <t xml:space="preserve">CC-</t>
    </r>
    <r>
      <rPr>
        <sz val="11"/>
        <color theme="1"/>
        <rFont val="WenQuanYi Zen Hei"/>
        <family val="2"/>
      </rPr>
      <t xml:space="preserve">得伟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电源逆变器</t>
    </r>
    <r>
      <rPr>
        <sz val="11"/>
        <color theme="1"/>
        <rFont val="Calibri"/>
        <family val="2"/>
        <charset val="1"/>
      </rPr>
      <t xml:space="preserve">-200W-</t>
    </r>
    <r>
      <rPr>
        <sz val="11"/>
        <color theme="1"/>
        <rFont val="WenQuanYi Zen Hei"/>
        <family val="2"/>
      </rPr>
      <t xml:space="preserve">美规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黄色</t>
    </r>
    <r>
      <rPr>
        <sz val="11"/>
        <color theme="1"/>
        <rFont val="Calibri"/>
        <family val="2"/>
        <charset val="1"/>
      </rPr>
      <t xml:space="preserve">-Ecarke</t>
    </r>
  </si>
  <si>
    <t xml:space="preserve">NBQZ051D0A1</t>
  </si>
  <si>
    <r>
      <rPr>
        <sz val="11"/>
        <color theme="1"/>
        <rFont val="Calibri"/>
        <family val="2"/>
        <charset val="1"/>
      </rPr>
      <t xml:space="preserve">CC-</t>
    </r>
    <r>
      <rPr>
        <sz val="11"/>
        <color theme="1"/>
        <rFont val="WenQuanYi Zen Hei"/>
        <family val="2"/>
      </rPr>
      <t xml:space="preserve">得伟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电源逆变器</t>
    </r>
    <r>
      <rPr>
        <sz val="11"/>
        <color theme="1"/>
        <rFont val="Calibri"/>
        <family val="2"/>
        <charset val="1"/>
      </rPr>
      <t xml:space="preserve">-200W-</t>
    </r>
    <r>
      <rPr>
        <sz val="11"/>
        <color theme="1"/>
        <rFont val="WenQuanYi Zen Hei"/>
        <family val="2"/>
      </rPr>
      <t xml:space="preserve">美规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黄色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</si>
  <si>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SKU067740006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</si>
  <si>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</si>
  <si>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SKU067800002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</si>
  <si>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寸 金属外壳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LIVOWALNY-</t>
    </r>
    <r>
      <rPr>
        <sz val="11"/>
        <color theme="1"/>
        <rFont val="WenQuanYi Zen Hei"/>
        <family val="2"/>
      </rPr>
      <t xml:space="preserve">加提手</t>
    </r>
  </si>
  <si>
    <t xml:space="preserve">SKU067340001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</si>
  <si>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得伟</t>
    </r>
    <r>
      <rPr>
        <sz val="11"/>
        <color theme="1"/>
        <rFont val="Calibri"/>
        <family val="2"/>
        <charset val="1"/>
      </rPr>
      <t xml:space="preserve">20V 4.5</t>
    </r>
    <r>
      <rPr>
        <sz val="11"/>
        <color theme="1"/>
        <rFont val="WenQuanYi Zen Hei"/>
        <family val="2"/>
      </rPr>
      <t xml:space="preserve">英寸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悬浮灯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白暖光</t>
    </r>
    <r>
      <rPr>
        <sz val="11"/>
        <color theme="1"/>
        <rFont val="Calibri"/>
        <family val="2"/>
        <charset val="1"/>
      </rPr>
      <t xml:space="preserve">)Ecarke</t>
    </r>
  </si>
  <si>
    <t xml:space="preserve">SKU067330001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</si>
  <si>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米沃奇</t>
    </r>
    <r>
      <rPr>
        <sz val="11"/>
        <color theme="1"/>
        <rFont val="Calibri"/>
        <family val="2"/>
        <charset val="1"/>
      </rPr>
      <t xml:space="preserve">18V 4.5</t>
    </r>
    <r>
      <rPr>
        <sz val="11"/>
        <color theme="1"/>
        <rFont val="WenQuanYi Zen Hei"/>
        <family val="2"/>
      </rPr>
      <t xml:space="preserve">英寸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悬浮灯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白暖光</t>
    </r>
    <r>
      <rPr>
        <sz val="11"/>
        <color theme="1"/>
        <rFont val="Calibri"/>
        <family val="2"/>
        <charset val="1"/>
      </rPr>
      <t xml:space="preserve">)Ecarke</t>
    </r>
  </si>
  <si>
    <t xml:space="preserve">GZDZ011M0A01</t>
  </si>
  <si>
    <r>
      <rPr>
        <sz val="11"/>
        <color theme="1"/>
        <rFont val="Calibri"/>
        <family val="2"/>
        <charset val="1"/>
      </rPr>
      <t xml:space="preserve">NA-</t>
    </r>
    <r>
      <rPr>
        <sz val="11"/>
        <color theme="1"/>
        <rFont val="WenQuanYi Zen Hei"/>
        <family val="2"/>
      </rPr>
      <t xml:space="preserve">米沃奇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锂电池工作灯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三头款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通用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红黑</t>
    </r>
    <r>
      <rPr>
        <sz val="11"/>
        <color theme="1"/>
        <rFont val="Calibri"/>
        <family val="2"/>
        <charset val="1"/>
      </rPr>
      <t xml:space="preserve">-Ecarke</t>
    </r>
  </si>
  <si>
    <t xml:space="preserve">GZDZ011D0A01</t>
  </si>
  <si>
    <r>
      <rPr>
        <sz val="11"/>
        <color theme="1"/>
        <rFont val="Calibri"/>
        <family val="2"/>
        <charset val="1"/>
      </rPr>
      <t xml:space="preserve">NA-</t>
    </r>
    <r>
      <rPr>
        <sz val="11"/>
        <color theme="1"/>
        <rFont val="WenQuanYi Zen Hei"/>
        <family val="2"/>
      </rPr>
      <t xml:space="preserve">得伟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锂电池工作灯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三头款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通用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黄黑</t>
    </r>
    <r>
      <rPr>
        <sz val="11"/>
        <color theme="1"/>
        <rFont val="Calibri"/>
        <family val="2"/>
        <charset val="1"/>
      </rPr>
      <t xml:space="preserve">-Ecarke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</si>
  <si>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</si>
  <si>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</si>
  <si>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</si>
  <si>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SKU067700003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</si>
  <si>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32W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</si>
  <si>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SKU070620001</t>
  </si>
  <si>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支架高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WenQuanYi Zen Hei"/>
        <family val="2"/>
      </rPr>
      <t xml:space="preserve">米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红色米沃奇插脚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</si>
  <si>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SKU070780002</t>
  </si>
  <si>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双头（</t>
    </r>
    <r>
      <rPr>
        <sz val="11"/>
        <color theme="1"/>
        <rFont val="Calibri"/>
        <family val="2"/>
        <charset val="1"/>
      </rPr>
      <t xml:space="preserve">AC</t>
    </r>
    <r>
      <rPr>
        <sz val="11"/>
        <color theme="1"/>
        <rFont val="WenQuanYi Zen Hei"/>
        <family val="2"/>
      </rPr>
      <t xml:space="preserve">美规三头插）</t>
    </r>
    <r>
      <rPr>
        <sz val="11"/>
        <color theme="1"/>
        <rFont val="Calibri"/>
        <family val="2"/>
        <charset val="1"/>
      </rPr>
      <t xml:space="preserve">-Livowalny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</si>
  <si>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</si>
  <si>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SKU067690002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</si>
  <si>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32W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</si>
  <si>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</si>
  <si>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SKU067700001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</si>
  <si>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32W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</si>
  <si>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SKU067800004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</si>
  <si>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个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寸 双开关 金属外壳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Ecarke-</t>
    </r>
    <r>
      <rPr>
        <sz val="11"/>
        <color theme="1"/>
        <rFont val="WenQuanYi Zen Hei"/>
        <family val="2"/>
      </rPr>
      <t xml:space="preserve">加提手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</si>
  <si>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</si>
  <si>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SKU0701100009</t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</si>
  <si>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黄色得伟底座</t>
    </r>
    <r>
      <rPr>
        <sz val="11"/>
        <color theme="1"/>
        <rFont val="Calibri"/>
        <family val="2"/>
        <charset val="1"/>
      </rPr>
      <t xml:space="preserve">-DIYTOOLIFZ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</si>
  <si>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件装支架灯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红色米沃奇插脚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</si>
  <si>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SKU066960007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</si>
  <si>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</si>
  <si>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SKU070770003</t>
  </si>
  <si>
    <r>
      <rPr>
        <sz val="11"/>
        <color theme="1"/>
        <rFont val="Calibri"/>
        <family val="2"/>
        <charset val="1"/>
      </rPr>
      <t xml:space="preserve">(CE</t>
    </r>
    <r>
      <rPr>
        <sz val="11"/>
        <color theme="1"/>
        <rFont val="WenQuanYi Zen Hei"/>
        <family val="2"/>
      </rPr>
      <t xml:space="preserve">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单头（</t>
    </r>
    <r>
      <rPr>
        <sz val="11"/>
        <color theme="1"/>
        <rFont val="Calibri"/>
        <family val="2"/>
        <charset val="1"/>
      </rPr>
      <t xml:space="preserve">AC</t>
    </r>
    <r>
      <rPr>
        <sz val="11"/>
        <color theme="1"/>
        <rFont val="WenQuanYi Zen Hei"/>
        <family val="2"/>
      </rPr>
      <t xml:space="preserve">欧规三头插</t>
    </r>
    <r>
      <rPr>
        <sz val="11"/>
        <color theme="1"/>
        <rFont val="Calibri"/>
        <family val="2"/>
        <charset val="1"/>
      </rPr>
      <t xml:space="preserve">230V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-Livowalny</t>
    </r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</si>
  <si>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-VoLtTech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</si>
  <si>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 薄款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</si>
  <si>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SKU067800003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</si>
  <si>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寸 金属外壳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MtiolHig-</t>
    </r>
    <r>
      <rPr>
        <sz val="11"/>
        <color theme="1"/>
        <rFont val="WenQuanYi Zen Hei"/>
        <family val="2"/>
      </rPr>
      <t xml:space="preserve">加提手</t>
    </r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</si>
  <si>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-(TK)</t>
    </r>
    <r>
      <rPr>
        <sz val="11"/>
        <color theme="1"/>
        <rFont val="WenQuanYi Zen Hei"/>
        <family val="2"/>
      </rPr>
      <t xml:space="preserve">黄色得伟底座</t>
    </r>
    <r>
      <rPr>
        <sz val="11"/>
        <color theme="1"/>
        <rFont val="Calibri"/>
        <family val="2"/>
        <charset val="1"/>
      </rPr>
      <t xml:space="preserve">-DIYTOOLIFZ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</si>
  <si>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SKU067730001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</si>
  <si>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</si>
  <si>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-Livowalny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</si>
  <si>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SKU071030020</t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</si>
  <si>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-2</t>
    </r>
    <r>
      <rPr>
        <sz val="11"/>
        <color theme="1"/>
        <rFont val="WenQuanYi Zen Hei"/>
        <family val="2"/>
      </rPr>
      <t xml:space="preserve">个装黄色得伟底座</t>
    </r>
    <r>
      <rPr>
        <sz val="11"/>
        <color theme="1"/>
        <rFont val="Calibri"/>
        <family val="2"/>
        <charset val="1"/>
      </rPr>
      <t xml:space="preserve">-VoLtTech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</si>
  <si>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SKU067740005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</si>
  <si>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工作灯加提手（贴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</si>
  <si>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SKU067440002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</si>
  <si>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</si>
  <si>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方形低配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珠平面镜工作灯（厚度</t>
    </r>
    <r>
      <rPr>
        <sz val="11"/>
        <color theme="1"/>
        <rFont val="Calibri"/>
        <family val="2"/>
        <charset val="1"/>
      </rPr>
      <t xml:space="preserve">22mm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1900lm</t>
    </r>
    <r>
      <rPr>
        <sz val="11"/>
        <color theme="1"/>
        <rFont val="WenQuanYi Zen Hei"/>
        <family val="2"/>
      </rPr>
      <t xml:space="preserve">，强弱光，泛光灯，色温</t>
    </r>
    <r>
      <rPr>
        <sz val="11"/>
        <color theme="1"/>
        <rFont val="Calibri"/>
        <family val="2"/>
        <charset val="1"/>
      </rPr>
      <t xml:space="preserve">6000-6500k,</t>
    </r>
    <r>
      <rPr>
        <sz val="11"/>
        <color theme="1"/>
        <rFont val="WenQuanYi Zen Hei"/>
        <family val="2"/>
      </rPr>
      <t xml:space="preserve">彩盒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产品贴标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，配英文说明书）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</si>
  <si>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WenQuanYi Zen Hei"/>
        <family val="2"/>
      </rPr>
      <t xml:space="preserve">珠工作灯</t>
    </r>
    <r>
      <rPr>
        <sz val="11"/>
        <color theme="1"/>
        <rFont val="Calibri"/>
        <family val="2"/>
        <charset val="1"/>
      </rPr>
      <t xml:space="preserve">---</t>
    </r>
    <r>
      <rPr>
        <sz val="11"/>
        <color theme="1"/>
        <rFont val="WenQuanYi Zen Hei"/>
        <family val="2"/>
      </rPr>
      <t xml:space="preserve">加提把手（</t>
    </r>
    <r>
      <rPr>
        <sz val="11"/>
        <color theme="1"/>
        <rFont val="Calibri"/>
        <family val="2"/>
        <charset val="1"/>
      </rPr>
      <t xml:space="preserve">48W 4800lm </t>
    </r>
    <r>
      <rPr>
        <sz val="11"/>
        <color theme="1"/>
        <rFont val="WenQuanYi Zen Hei"/>
        <family val="2"/>
      </rPr>
      <t xml:space="preserve">高低亮 彩盒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产品贴标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</si>
  <si>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</si>
  <si>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SKU067740009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</si>
  <si>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2</t>
    </r>
    <r>
      <rPr>
        <sz val="11"/>
        <color theme="1"/>
        <rFont val="WenQuanYi Zen Hei"/>
        <family val="2"/>
      </rPr>
      <t xml:space="preserve">个装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工作灯加提手（贴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</si>
  <si>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SKU067800006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</si>
  <si>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寸 金属外壳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Ecarke-</t>
    </r>
    <r>
      <rPr>
        <sz val="11"/>
        <color theme="1"/>
        <rFont val="WenQuanYi Zen Hei"/>
        <family val="2"/>
      </rPr>
      <t xml:space="preserve">加提手</t>
    </r>
  </si>
  <si>
    <t xml:space="preserve">SKU067800005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</si>
  <si>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个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寸 双开关 金属外壳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LIVOWALNY-</t>
    </r>
    <r>
      <rPr>
        <sz val="11"/>
        <color theme="1"/>
        <rFont val="WenQuanYi Zen Hei"/>
        <family val="2"/>
      </rPr>
      <t xml:space="preserve">加提手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</si>
  <si>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</si>
  <si>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SKU067740007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</si>
  <si>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工作灯加提手（贴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</si>
  <si>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SKU067430002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</si>
  <si>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</si>
  <si>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SKU067440005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</si>
  <si>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</si>
  <si>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</si>
  <si>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SKU070730002</t>
  </si>
  <si>
    <r>
      <rPr>
        <sz val="11"/>
        <color theme="1"/>
        <rFont val="WenQuanYi Zen Hei"/>
        <family val="2"/>
      </rPr>
      <t xml:space="preserve">鹅颈灯带挂钩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件装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米沃奇插脚</t>
    </r>
    <r>
      <rPr>
        <sz val="11"/>
        <color theme="1"/>
        <rFont val="Calibri"/>
        <family val="2"/>
        <charset val="1"/>
      </rPr>
      <t xml:space="preserve">-Ecarke</t>
    </r>
  </si>
  <si>
    <t xml:space="preserve">SKU067800009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</si>
  <si>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双开关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寸 金属外壳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MtiolHig-</t>
    </r>
    <r>
      <rPr>
        <sz val="11"/>
        <color theme="1"/>
        <rFont val="WenQuanYi Zen Hei"/>
        <family val="2"/>
      </rPr>
      <t xml:space="preserve">加提手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</si>
  <si>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</si>
  <si>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SKU070780001</t>
  </si>
  <si>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双头（</t>
    </r>
    <r>
      <rPr>
        <sz val="11"/>
        <color theme="1"/>
        <rFont val="Calibri"/>
        <family val="2"/>
        <charset val="1"/>
      </rPr>
      <t xml:space="preserve">AC</t>
    </r>
    <r>
      <rPr>
        <sz val="11"/>
        <color theme="1"/>
        <rFont val="WenQuanYi Zen Hei"/>
        <family val="2"/>
      </rPr>
      <t xml:space="preserve">美规三头插）</t>
    </r>
    <r>
      <rPr>
        <sz val="11"/>
        <color theme="1"/>
        <rFont val="Calibri"/>
        <family val="2"/>
        <charset val="1"/>
      </rPr>
      <t xml:space="preserve">-Livowalny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</si>
  <si>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 金属外壳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风扇（两档调节）贴</t>
    </r>
    <r>
      <rPr>
        <sz val="11"/>
        <color theme="1"/>
        <rFont val="Calibri"/>
        <family val="2"/>
        <charset val="1"/>
      </rPr>
      <t xml:space="preserve">MtiolHig-</t>
    </r>
    <r>
      <rPr>
        <sz val="11"/>
        <color theme="1"/>
        <rFont val="WenQuanYi Zen Hei"/>
        <family val="2"/>
      </rPr>
      <t xml:space="preserve">加提手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</si>
  <si>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</si>
  <si>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SKU070720003</t>
  </si>
  <si>
    <r>
      <rPr>
        <sz val="11"/>
        <color theme="1"/>
        <rFont val="WenQuanYi Zen Hei"/>
        <family val="2"/>
      </rPr>
      <t xml:space="preserve">鹅颈灯带挂钩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件装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得伟插脚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</si>
  <si>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SKU190070003</t>
  </si>
  <si>
    <r>
      <rPr>
        <sz val="11"/>
        <color theme="1"/>
        <rFont val="WenQuanYi Zen Hei"/>
        <family val="2"/>
      </rPr>
      <t xml:space="preserve">黄色得伟底座</t>
    </r>
    <r>
      <rPr>
        <sz val="11"/>
        <color theme="1"/>
        <rFont val="Calibri"/>
        <family val="2"/>
        <charset val="1"/>
      </rPr>
      <t xml:space="preserve">-CERYCOSE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</si>
  <si>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SKU067740003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</si>
  <si>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</si>
  <si>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个装黄色得伟底座</t>
    </r>
    <r>
      <rPr>
        <sz val="11"/>
        <color theme="1"/>
        <rFont val="Calibri"/>
        <family val="2"/>
        <charset val="1"/>
      </rPr>
      <t xml:space="preserve">-VoLtTech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</si>
  <si>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SKU067890003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</si>
  <si>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</si>
  <si>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SKU071030019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</si>
  <si>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个装黄色得伟底座</t>
    </r>
    <r>
      <rPr>
        <sz val="11"/>
        <color theme="1"/>
        <rFont val="Calibri"/>
        <family val="2"/>
        <charset val="1"/>
      </rPr>
      <t xml:space="preserve">-Livowalny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</si>
  <si>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SKU071040019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</si>
  <si>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个装红色米沃奇底座</t>
    </r>
    <r>
      <rPr>
        <sz val="11"/>
        <color theme="1"/>
        <rFont val="Calibri"/>
        <family val="2"/>
        <charset val="1"/>
      </rPr>
      <t xml:space="preserve">-Livowalny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</si>
  <si>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GZDZ041D0A01</t>
  </si>
  <si>
    <r>
      <rPr>
        <sz val="11"/>
        <color theme="1"/>
        <rFont val="Calibri"/>
        <family val="2"/>
        <charset val="1"/>
      </rPr>
      <t xml:space="preserve">NA-</t>
    </r>
    <r>
      <rPr>
        <sz val="11"/>
        <color theme="1"/>
        <rFont val="WenQuanYi Zen Hei"/>
        <family val="2"/>
      </rPr>
      <t xml:space="preserve">得伟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锂电池工作灯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三头款</t>
    </r>
    <r>
      <rPr>
        <sz val="11"/>
        <color theme="1"/>
        <rFont val="Calibri"/>
        <family val="2"/>
        <charset val="1"/>
      </rPr>
      <t xml:space="preserve">2pcs-</t>
    </r>
    <r>
      <rPr>
        <sz val="11"/>
        <color theme="1"/>
        <rFont val="WenQuanYi Zen Hei"/>
        <family val="2"/>
      </rPr>
      <t xml:space="preserve">通用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黄黑</t>
    </r>
    <r>
      <rPr>
        <sz val="11"/>
        <color theme="1"/>
        <rFont val="Calibri"/>
        <family val="2"/>
        <charset val="1"/>
      </rPr>
      <t xml:space="preserve">-LIVOWALNY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</si>
  <si>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37W</t>
    </r>
    <r>
      <rPr>
        <sz val="11"/>
        <color theme="1"/>
        <rFont val="WenQuanYi Zen Hei"/>
        <family val="2"/>
      </rPr>
      <t xml:space="preserve">方形灯带提手（贴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</si>
  <si>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GZDZ041M0A01</t>
  </si>
  <si>
    <r>
      <rPr>
        <sz val="11"/>
        <color theme="1"/>
        <rFont val="Calibri"/>
        <family val="2"/>
        <charset val="1"/>
      </rPr>
      <t xml:space="preserve">NA-</t>
    </r>
    <r>
      <rPr>
        <sz val="11"/>
        <color theme="1"/>
        <rFont val="WenQuanYi Zen Hei"/>
        <family val="2"/>
      </rPr>
      <t xml:space="preserve">米沃奇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锂电池工作灯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三头款</t>
    </r>
    <r>
      <rPr>
        <sz val="11"/>
        <color theme="1"/>
        <rFont val="Calibri"/>
        <family val="2"/>
        <charset val="1"/>
      </rPr>
      <t xml:space="preserve">2pcs-</t>
    </r>
    <r>
      <rPr>
        <sz val="11"/>
        <color theme="1"/>
        <rFont val="WenQuanYi Zen Hei"/>
        <family val="2"/>
      </rPr>
      <t xml:space="preserve">通用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红黑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</si>
  <si>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SKU0701110009</t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</si>
  <si>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-(TK)</t>
    </r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-DIYTOOLIFZ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</si>
  <si>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SKU071170011</t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</si>
  <si>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蓝色牧田底座</t>
    </r>
    <r>
      <rPr>
        <sz val="11"/>
        <color theme="1"/>
        <rFont val="Calibri"/>
        <family val="2"/>
        <charset val="1"/>
      </rPr>
      <t xml:space="preserve">-Ecarke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</si>
  <si>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黄色得伟底座</t>
    </r>
    <r>
      <rPr>
        <sz val="11"/>
        <color theme="1"/>
        <rFont val="Calibri"/>
        <family val="2"/>
        <charset val="1"/>
      </rPr>
      <t xml:space="preserve">-Livowalny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</si>
  <si>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黄色得伟底座</t>
    </r>
    <r>
      <rPr>
        <sz val="11"/>
        <color theme="1"/>
        <rFont val="Calibri"/>
        <family val="2"/>
        <charset val="1"/>
      </rPr>
      <t xml:space="preserve">-VoLtTech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</si>
  <si>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红色底座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</si>
  <si>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SKU067440004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</si>
  <si>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</si>
  <si>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SKU070730005</t>
  </si>
  <si>
    <r>
      <rPr>
        <sz val="11"/>
        <color theme="1"/>
        <rFont val="WenQuanYi Zen Hei"/>
        <family val="2"/>
      </rPr>
      <t xml:space="preserve">鹅颈灯带挂钩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件装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米沃奇插脚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</si>
  <si>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SKU067630001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</si>
  <si>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双开关 米沃奇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12W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</si>
  <si>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</si>
  <si>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SKU070770004</t>
  </si>
  <si>
    <r>
      <rPr>
        <sz val="11"/>
        <color theme="1"/>
        <rFont val="Calibri"/>
        <family val="2"/>
        <charset val="1"/>
      </rPr>
      <t xml:space="preserve">(CE</t>
    </r>
    <r>
      <rPr>
        <sz val="11"/>
        <color theme="1"/>
        <rFont val="WenQuanYi Zen Hei"/>
        <family val="2"/>
      </rPr>
      <t xml:space="preserve">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单头（</t>
    </r>
    <r>
      <rPr>
        <sz val="11"/>
        <color theme="1"/>
        <rFont val="Calibri"/>
        <family val="2"/>
        <charset val="1"/>
      </rPr>
      <t xml:space="preserve">AC</t>
    </r>
    <r>
      <rPr>
        <sz val="11"/>
        <color theme="1"/>
        <rFont val="WenQuanYi Zen Hei"/>
        <family val="2"/>
      </rPr>
      <t xml:space="preserve">欧规三头插</t>
    </r>
    <r>
      <rPr>
        <sz val="11"/>
        <color theme="1"/>
        <rFont val="Calibri"/>
        <family val="2"/>
        <charset val="1"/>
      </rPr>
      <t xml:space="preserve">230V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-Ecarke</t>
    </r>
  </si>
  <si>
    <t xml:space="preserve">SKU067780001</t>
  </si>
  <si>
    <r>
      <rPr>
        <sz val="11"/>
        <color theme="1"/>
        <rFont val="Calibri"/>
        <family val="2"/>
        <charset val="1"/>
      </rPr>
      <t xml:space="preserve">DD 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+1</t>
    </r>
    <r>
      <rPr>
        <sz val="11"/>
        <color theme="1"/>
        <rFont val="WenQuanYi Zen Hei"/>
        <family val="2"/>
      </rPr>
      <t xml:space="preserve">套</t>
    </r>
    <r>
      <rPr>
        <sz val="11"/>
        <color theme="1"/>
        <rFont val="Calibri"/>
        <family val="2"/>
        <charset val="1"/>
      </rPr>
      <t xml:space="preserve">2Ah</t>
    </r>
    <r>
      <rPr>
        <sz val="11"/>
        <color theme="1"/>
        <rFont val="WenQuanYi Zen Hei"/>
        <family val="2"/>
      </rPr>
      <t xml:space="preserve">得伟电池包（蓝白贴纸、黑色上盖蓝色按钮）</t>
    </r>
  </si>
  <si>
    <t xml:space="preserve">SKU071030021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</si>
  <si>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个装黄色得伟底座</t>
    </r>
    <r>
      <rPr>
        <sz val="11"/>
        <color theme="1"/>
        <rFont val="Calibri"/>
        <family val="2"/>
        <charset val="1"/>
      </rPr>
      <t xml:space="preserve">-Ecarke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</si>
  <si>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SKU071040020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</si>
  <si>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个装红色米沃奇底座</t>
    </r>
    <r>
      <rPr>
        <sz val="11"/>
        <color theme="1"/>
        <rFont val="Calibri"/>
        <family val="2"/>
        <charset val="1"/>
      </rPr>
      <t xml:space="preserve">-VoLtTech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</si>
  <si>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SKU071040021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</si>
  <si>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个装红色米沃奇底座</t>
    </r>
    <r>
      <rPr>
        <sz val="11"/>
        <color theme="1"/>
        <rFont val="Calibri"/>
        <family val="2"/>
        <charset val="1"/>
      </rPr>
      <t xml:space="preserve">-Ecarke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</si>
  <si>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-2</t>
    </r>
    <r>
      <rPr>
        <sz val="11"/>
        <color theme="1"/>
        <rFont val="WenQuanYi Zen Hei"/>
        <family val="2"/>
      </rPr>
      <t xml:space="preserve">个装红色米沃奇底座</t>
    </r>
    <r>
      <rPr>
        <sz val="11"/>
        <color theme="1"/>
        <rFont val="Calibri"/>
        <family val="2"/>
        <charset val="1"/>
      </rPr>
      <t xml:space="preserve">-Ecarke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</si>
  <si>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-2</t>
    </r>
    <r>
      <rPr>
        <sz val="11"/>
        <color theme="1"/>
        <rFont val="WenQuanYi Zen Hei"/>
        <family val="2"/>
      </rPr>
      <t xml:space="preserve">个装红色米沃奇底座</t>
    </r>
    <r>
      <rPr>
        <sz val="11"/>
        <color theme="1"/>
        <rFont val="Calibri"/>
        <family val="2"/>
        <charset val="1"/>
      </rPr>
      <t xml:space="preserve">-VoLtTech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</si>
  <si>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SKU067510007</t>
  </si>
  <si>
    <r>
      <rPr>
        <sz val="11"/>
        <color theme="1"/>
        <rFont val="WenQuanYi Zen Hei"/>
        <family val="2"/>
      </rPr>
      <t xml:space="preserve">单品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）下单组合电池包用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不做上架</t>
    </r>
  </si>
  <si>
    <t xml:space="preserve">SPQZ0112D0A1</t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</si>
  <si>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摄影支架适配器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得伟插脚</t>
    </r>
  </si>
  <si>
    <r>
      <rPr>
        <sz val="11"/>
        <color theme="1"/>
        <rFont val="Calibri"/>
        <family val="2"/>
        <charset val="1"/>
      </rPr>
      <t xml:space="preserve">DIY</t>
    </r>
    <r>
      <rPr>
        <sz val="11"/>
        <color theme="1"/>
        <rFont val="WenQuanYi Zen Hei"/>
        <family val="2"/>
      </rPr>
      <t xml:space="preserve">配件</t>
    </r>
  </si>
  <si>
    <t xml:space="preserve">SKU190070004</t>
  </si>
  <si>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-CERYCOSE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</si>
  <si>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(TK)</t>
    </r>
    <r>
      <rPr>
        <sz val="11"/>
        <color theme="1"/>
        <rFont val="WenQuanYi Zen Hei"/>
        <family val="2"/>
      </rPr>
      <t xml:space="preserve">黄色得伟底座</t>
    </r>
    <r>
      <rPr>
        <sz val="11"/>
        <color theme="1"/>
        <rFont val="Calibri"/>
        <family val="2"/>
        <charset val="1"/>
      </rPr>
      <t xml:space="preserve">-DIYTOOLIFZ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</si>
  <si>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SKU070930001</t>
  </si>
  <si>
    <r>
      <rPr>
        <sz val="11"/>
        <color theme="1"/>
        <rFont val="Calibri"/>
        <family val="2"/>
        <charset val="1"/>
      </rPr>
      <t xml:space="preserve">(EU)</t>
    </r>
    <r>
      <rPr>
        <sz val="11"/>
        <color theme="1"/>
        <rFont val="WenQuanYi Zen Hei"/>
        <family val="2"/>
      </rPr>
      <t xml:space="preserve">鹅颈灯带挂钩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件装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牧田插脚</t>
    </r>
    <r>
      <rPr>
        <sz val="11"/>
        <color theme="1"/>
        <rFont val="Calibri"/>
        <family val="2"/>
        <charset val="1"/>
      </rPr>
      <t xml:space="preserve">-Livowalny</t>
    </r>
  </si>
  <si>
    <t xml:space="preserve">SKU070930002</t>
  </si>
  <si>
    <r>
      <rPr>
        <sz val="11"/>
        <color theme="1"/>
        <rFont val="Calibri"/>
        <family val="2"/>
        <charset val="1"/>
      </rPr>
      <t xml:space="preserve">(EU)</t>
    </r>
    <r>
      <rPr>
        <sz val="11"/>
        <color theme="1"/>
        <rFont val="WenQuanYi Zen Hei"/>
        <family val="2"/>
      </rPr>
      <t xml:space="preserve">鹅颈灯带挂钩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件装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牧田插脚</t>
    </r>
    <r>
      <rPr>
        <sz val="11"/>
        <color theme="1"/>
        <rFont val="Calibri"/>
        <family val="2"/>
        <charset val="1"/>
      </rPr>
      <t xml:space="preserve">-Ecarke</t>
    </r>
  </si>
  <si>
    <t xml:space="preserve">SKU067740008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</si>
  <si>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</si>
  <si>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SKU067720001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</si>
  <si>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</si>
  <si>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SKU067420004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</si>
  <si>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</si>
  <si>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SKU066970014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</si>
  <si>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CE+UKCA 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</si>
  <si>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SKU067890002</t>
  </si>
  <si>
    <r>
      <rPr>
        <sz val="11"/>
        <color theme="1"/>
        <rFont val="WenQuanYi Zen Hei"/>
        <family val="2"/>
      </rPr>
      <t xml:space="preserve">产品标签带欧洲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</si>
  <si>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支架灯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个装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红色米沃奇插脚</t>
    </r>
    <r>
      <rPr>
        <sz val="11"/>
        <color theme="1"/>
        <rFont val="Calibri"/>
        <family val="2"/>
        <charset val="1"/>
      </rPr>
      <t xml:space="preserve">-LIVOWALNY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</si>
  <si>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</si>
  <si>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红色底座 单开关 米沃奇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</si>
  <si>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SKU066950007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</si>
  <si>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</si>
  <si>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48W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</si>
  <si>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SKU0701110008</t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</si>
  <si>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--Ecarke(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</si>
  <si>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产品标签带</t>
    </r>
    <r>
      <rPr>
        <sz val="11"/>
        <color theme="1"/>
        <rFont val="Calibri"/>
        <family val="2"/>
        <charset val="1"/>
      </rPr>
      <t xml:space="preserve">CE 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</si>
  <si>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蓝色牧田底座</t>
    </r>
    <r>
      <rPr>
        <sz val="11"/>
        <color theme="1"/>
        <rFont val="Calibri"/>
        <family val="2"/>
        <charset val="1"/>
      </rPr>
      <t xml:space="preserve">-Ecarke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</si>
  <si>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SKU071170010</t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</si>
  <si>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蓝色牧田底座</t>
    </r>
    <r>
      <rPr>
        <sz val="11"/>
        <color theme="1"/>
        <rFont val="Calibri"/>
        <family val="2"/>
        <charset val="1"/>
      </rPr>
      <t xml:space="preserve">-VoLtTech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</si>
  <si>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蓝色牧田底座</t>
    </r>
    <r>
      <rPr>
        <sz val="11"/>
        <color theme="1"/>
        <rFont val="Calibri"/>
        <family val="2"/>
        <charset val="1"/>
      </rPr>
      <t xml:space="preserve">-VoLtTech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</si>
  <si>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SKU071170009</t>
  </si>
  <si>
    <r>
      <rPr>
        <sz val="11"/>
        <color theme="1"/>
        <rFont val="WenQuanYi Zen Hei"/>
        <family val="2"/>
      </rPr>
      <t xml:space="preserve">蓝色牧田底座</t>
    </r>
    <r>
      <rPr>
        <sz val="11"/>
        <color theme="1"/>
        <rFont val="Calibri"/>
        <family val="2"/>
        <charset val="1"/>
      </rPr>
      <t xml:space="preserve">-Livowalny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</si>
  <si>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t xml:space="preserve">SKU067780002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</si>
  <si>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</t>
    </r>
    <r>
      <rPr>
        <sz val="11"/>
        <color theme="1"/>
        <rFont val="Calibri"/>
        <family val="2"/>
        <charset val="1"/>
      </rPr>
      <t xml:space="preserve">+1</t>
    </r>
    <r>
      <rPr>
        <sz val="11"/>
        <color theme="1"/>
        <rFont val="WenQuanYi Zen Hei"/>
        <family val="2"/>
      </rPr>
      <t xml:space="preserve">套</t>
    </r>
    <r>
      <rPr>
        <sz val="11"/>
        <color theme="1"/>
        <rFont val="Calibri"/>
        <family val="2"/>
        <charset val="1"/>
      </rPr>
      <t xml:space="preserve">2Ah</t>
    </r>
    <r>
      <rPr>
        <sz val="11"/>
        <color theme="1"/>
        <rFont val="WenQuanYi Zen Hei"/>
        <family val="2"/>
      </rPr>
      <t xml:space="preserve">得伟电池包（贴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</si>
  <si>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）下单组合电池包用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不做上架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</si>
  <si>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双开关得伟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29W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</si>
  <si>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SKU070570001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</si>
  <si>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个灯头</t>
    </r>
    <r>
      <rPr>
        <sz val="11"/>
        <color theme="1"/>
        <rFont val="Calibri"/>
        <family val="2"/>
        <charset val="1"/>
      </rPr>
      <t xml:space="preserve">-LIVOWALNY</t>
    </r>
    <r>
      <rPr>
        <sz val="11"/>
        <color theme="1"/>
        <rFont val="WenQuanYi Zen Hei"/>
        <family val="2"/>
      </rPr>
      <t xml:space="preserve">（不含三角支架，</t>
    </r>
    <r>
      <rPr>
        <sz val="11"/>
        <color theme="1"/>
        <rFont val="Calibri"/>
        <family val="2"/>
        <charset val="1"/>
      </rPr>
      <t xml:space="preserve">20W+40W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4m</t>
    </r>
    <r>
      <rPr>
        <sz val="11"/>
        <color theme="1"/>
        <rFont val="WenQuanYi Zen Hei"/>
        <family val="2"/>
      </rPr>
      <t xml:space="preserve">带开关线得伟插脚）</t>
    </r>
  </si>
  <si>
    <t xml:space="preserve">SKU070720004</t>
  </si>
  <si>
    <r>
      <rPr>
        <sz val="11"/>
        <color theme="1"/>
        <rFont val="WenQuanYi Zen Hei"/>
        <family val="2"/>
      </rPr>
      <t xml:space="preserve">鹅颈灯带挂钩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件装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得伟插脚</t>
    </r>
    <r>
      <rPr>
        <sz val="11"/>
        <color theme="1"/>
        <rFont val="Calibri"/>
        <family val="2"/>
        <charset val="1"/>
      </rPr>
      <t xml:space="preserve">-Ecarke</t>
    </r>
  </si>
  <si>
    <r>
      <rPr>
        <sz val="11"/>
        <color theme="1"/>
        <rFont val="Calibri"/>
        <family val="2"/>
        <charset val="1"/>
      </rPr>
      <t xml:space="preserve">(TK)</t>
    </r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-DIYTOOLIFZ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</si>
  <si>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黄色底座 双开关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21W</t>
    </r>
    <r>
      <rPr>
        <sz val="11"/>
        <color theme="1"/>
        <rFont val="WenQuanYi Zen Hei"/>
        <family val="2"/>
      </rPr>
      <t xml:space="preserve">工作灯带提手</t>
    </r>
    <r>
      <rPr>
        <sz val="11"/>
        <color theme="1"/>
        <rFont val="Calibri"/>
        <family val="2"/>
        <charset val="1"/>
      </rPr>
      <t xml:space="preserve">+1</t>
    </r>
    <r>
      <rPr>
        <sz val="11"/>
        <color theme="1"/>
        <rFont val="WenQuanYi Zen Hei"/>
        <family val="2"/>
      </rPr>
      <t xml:space="preserve">套</t>
    </r>
    <r>
      <rPr>
        <sz val="11"/>
        <color theme="1"/>
        <rFont val="Calibri"/>
        <family val="2"/>
        <charset val="1"/>
      </rPr>
      <t xml:space="preserve">2Ah</t>
    </r>
    <r>
      <rPr>
        <sz val="11"/>
        <color theme="1"/>
        <rFont val="WenQuanYi Zen Hei"/>
        <family val="2"/>
      </rPr>
      <t xml:space="preserve">得伟电池包（贴</t>
    </r>
    <r>
      <rPr>
        <sz val="11"/>
        <color theme="1"/>
        <rFont val="Calibri"/>
        <family val="2"/>
        <charset val="1"/>
      </rPr>
      <t xml:space="preserve">Ecarke</t>
    </r>
    <r>
      <rPr>
        <sz val="11"/>
        <color theme="1"/>
        <rFont val="WenQuanYi Zen Hei"/>
        <family val="2"/>
      </rPr>
      <t xml:space="preserve">）</t>
    </r>
  </si>
  <si>
    <t xml:space="preserve">SKU066960012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</si>
  <si>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红色 米沃奇</t>
    </r>
    <r>
      <rPr>
        <sz val="11"/>
        <color theme="1"/>
        <rFont val="Calibri"/>
        <family val="2"/>
        <charset val="1"/>
      </rPr>
      <t xml:space="preserve">M18 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寸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WenQuanYi Zen Hei"/>
        <family val="2"/>
      </rPr>
      <t xml:space="preserve">珠工作灯</t>
    </r>
    <r>
      <rPr>
        <sz val="11"/>
        <color theme="1"/>
        <rFont val="Calibri"/>
        <family val="2"/>
        <charset val="1"/>
      </rPr>
      <t xml:space="preserve">---</t>
    </r>
    <r>
      <rPr>
        <sz val="11"/>
        <color theme="1"/>
        <rFont val="WenQuanYi Zen Hei"/>
        <family val="2"/>
      </rPr>
      <t xml:space="preserve">加提把手（</t>
    </r>
    <r>
      <rPr>
        <sz val="11"/>
        <color theme="1"/>
        <rFont val="Calibri"/>
        <family val="2"/>
        <charset val="1"/>
      </rPr>
      <t xml:space="preserve">48W 4800lm </t>
    </r>
    <r>
      <rPr>
        <sz val="11"/>
        <color theme="1"/>
        <rFont val="WenQuanYi Zen Hei"/>
        <family val="2"/>
      </rPr>
      <t xml:space="preserve">高低亮 彩盒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WenQuanYi Zen Hei"/>
        <family val="2"/>
      </rPr>
      <t xml:space="preserve">产品贴标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</si>
  <si>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t xml:space="preserve">SKU070730004</t>
  </si>
  <si>
    <r>
      <rPr>
        <sz val="11"/>
        <color theme="1"/>
        <rFont val="WenQuanYi Zen Hei"/>
        <family val="2"/>
      </rPr>
      <t xml:space="preserve">鹅颈灯带挂钩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件装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米沃奇插脚</t>
    </r>
    <r>
      <rPr>
        <sz val="11"/>
        <color theme="1"/>
        <rFont val="Calibri"/>
        <family val="2"/>
        <charset val="1"/>
      </rPr>
      <t xml:space="preserve">-Ecarke</t>
    </r>
  </si>
  <si>
    <t xml:space="preserve">SKU067890001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</si>
  <si>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薄款 蓝色底座 双开关 牧田</t>
    </r>
    <r>
      <rPr>
        <sz val="11"/>
        <color theme="1"/>
        <rFont val="Calibri"/>
        <family val="2"/>
        <charset val="1"/>
      </rPr>
      <t xml:space="preserve">18v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31W</t>
    </r>
    <r>
      <rPr>
        <sz val="11"/>
        <color theme="1"/>
        <rFont val="WenQuanYi Zen Hei"/>
        <family val="2"/>
      </rPr>
      <t xml:space="preserve">工作灯带提手（贴</t>
    </r>
    <r>
      <rPr>
        <sz val="11"/>
        <color theme="1"/>
        <rFont val="Calibri"/>
        <family val="2"/>
        <charset val="1"/>
      </rPr>
      <t xml:space="preserve">LIVOWALNY</t>
    </r>
    <r>
      <rPr>
        <sz val="11"/>
        <color theme="1"/>
        <rFont val="WenQuanYi Zen Hei"/>
        <family val="2"/>
      </rPr>
      <t xml:space="preserve">）</t>
    </r>
  </si>
  <si>
    <t xml:space="preserve">SKU070590001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</si>
  <si>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个灯头（不含三角支架，</t>
    </r>
    <r>
      <rPr>
        <sz val="11"/>
        <color theme="1"/>
        <rFont val="Calibri"/>
        <family val="2"/>
        <charset val="1"/>
      </rPr>
      <t xml:space="preserve">100w</t>
    </r>
    <r>
      <rPr>
        <sz val="11"/>
        <color theme="1"/>
        <rFont val="WenQuanYi Zen Hei"/>
        <family val="2"/>
      </rPr>
      <t xml:space="preserve">灯头</t>
    </r>
    <r>
      <rPr>
        <sz val="11"/>
        <color theme="1"/>
        <rFont val="Calibri"/>
        <family val="2"/>
        <charset val="1"/>
      </rPr>
      <t xml:space="preserve">110v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4m</t>
    </r>
    <r>
      <rPr>
        <sz val="11"/>
        <color theme="1"/>
        <rFont val="WenQuanYi Zen Hei"/>
        <family val="2"/>
      </rPr>
      <t xml:space="preserve">带开关线美规三头插）</t>
    </r>
  </si>
  <si>
    <t xml:space="preserve">SKU13012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</si>
  <si>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套两个包插电款支架灯（</t>
    </r>
    <r>
      <rPr>
        <sz val="11"/>
        <color theme="1"/>
        <rFont val="Calibri"/>
        <family val="2"/>
        <charset val="1"/>
      </rPr>
      <t xml:space="preserve">100w</t>
    </r>
    <r>
      <rPr>
        <sz val="11"/>
        <color theme="1"/>
        <rFont val="WenQuanYi Zen Hei"/>
        <family val="2"/>
      </rPr>
      <t xml:space="preserve">灯头</t>
    </r>
    <r>
      <rPr>
        <sz val="11"/>
        <color theme="1"/>
        <rFont val="Calibri"/>
        <family val="2"/>
        <charset val="1"/>
      </rPr>
      <t xml:space="preserve">110v*2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4m</t>
    </r>
    <r>
      <rPr>
        <sz val="11"/>
        <color theme="1"/>
        <rFont val="WenQuanYi Zen Hei"/>
        <family val="2"/>
      </rPr>
      <t xml:space="preserve">带开关线美规三头插，</t>
    </r>
    <r>
      <rPr>
        <sz val="11"/>
        <color theme="1"/>
        <rFont val="Calibri"/>
        <family val="2"/>
        <charset val="1"/>
      </rPr>
      <t xml:space="preserve">2m</t>
    </r>
    <r>
      <rPr>
        <sz val="11"/>
        <color theme="1"/>
        <rFont val="WenQuanYi Zen Hei"/>
        <family val="2"/>
      </rPr>
      <t xml:space="preserve">加粗灯架</t>
    </r>
    <r>
      <rPr>
        <sz val="11"/>
        <color theme="1"/>
        <rFont val="Calibri"/>
        <family val="2"/>
        <charset val="1"/>
      </rPr>
      <t xml:space="preserve">*2</t>
    </r>
    <r>
      <rPr>
        <sz val="11"/>
        <color theme="1"/>
        <rFont val="WenQuanYi Zen Hei"/>
        <family val="2"/>
      </rPr>
      <t xml:space="preserve">，带手拧螺丝</t>
    </r>
    <r>
      <rPr>
        <sz val="11"/>
        <color theme="1"/>
        <rFont val="Calibri"/>
        <family val="2"/>
        <charset val="1"/>
      </rPr>
      <t xml:space="preserve">*3</t>
    </r>
    <r>
      <rPr>
        <sz val="11"/>
        <color theme="1"/>
        <rFont val="WenQuanYi Zen Hei"/>
        <family val="2"/>
      </rPr>
      <t xml:space="preserve">）</t>
    </r>
  </si>
  <si>
    <t xml:space="preserve">SKU070720002</t>
  </si>
  <si>
    <r>
      <rPr>
        <sz val="11"/>
        <color theme="1"/>
        <rFont val="WenQuanYi Zen Hei"/>
        <family val="2"/>
      </rPr>
      <t xml:space="preserve">鹅颈灯带挂钩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件装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得伟插脚</t>
    </r>
    <r>
      <rPr>
        <sz val="11"/>
        <color theme="1"/>
        <rFont val="Calibri"/>
        <family val="2"/>
        <charset val="1"/>
      </rPr>
      <t xml:space="preserve">-Ecarke</t>
    </r>
  </si>
  <si>
    <t xml:space="preserve">SKU070580001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</si>
  <si>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个灯头（不含三角支架，</t>
    </r>
    <r>
      <rPr>
        <sz val="11"/>
        <color theme="1"/>
        <rFont val="Calibri"/>
        <family val="2"/>
        <charset val="1"/>
      </rPr>
      <t xml:space="preserve">20W+40W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4m</t>
    </r>
    <r>
      <rPr>
        <sz val="11"/>
        <color theme="1"/>
        <rFont val="WenQuanYi Zen Hei"/>
        <family val="2"/>
      </rPr>
      <t xml:space="preserve">带开关线米沃奇插脚）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</si>
  <si>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个灯头</t>
    </r>
    <r>
      <rPr>
        <sz val="11"/>
        <color theme="1"/>
        <rFont val="Calibri"/>
        <family val="2"/>
        <charset val="1"/>
      </rPr>
      <t xml:space="preserve">-LIVOWALNY</t>
    </r>
    <r>
      <rPr>
        <sz val="11"/>
        <color theme="1"/>
        <rFont val="WenQuanYi Zen Hei"/>
        <family val="2"/>
      </rPr>
      <t xml:space="preserve">（不含三角支架，</t>
    </r>
    <r>
      <rPr>
        <sz val="11"/>
        <color theme="1"/>
        <rFont val="Calibri"/>
        <family val="2"/>
        <charset val="1"/>
      </rPr>
      <t xml:space="preserve">20W+40W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4m</t>
    </r>
    <r>
      <rPr>
        <sz val="11"/>
        <color theme="1"/>
        <rFont val="WenQuanYi Zen Hei"/>
        <family val="2"/>
      </rPr>
      <t xml:space="preserve">带开关线米沃奇插脚）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</si>
  <si>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个灯头（不含三角支架，</t>
    </r>
    <r>
      <rPr>
        <sz val="11"/>
        <color theme="1"/>
        <rFont val="Calibri"/>
        <family val="2"/>
        <charset val="1"/>
      </rPr>
      <t xml:space="preserve">20W+40W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4m</t>
    </r>
    <r>
      <rPr>
        <sz val="11"/>
        <color theme="1"/>
        <rFont val="WenQuanYi Zen Hei"/>
        <family val="2"/>
      </rPr>
      <t xml:space="preserve">带开关线得伟插脚）</t>
    </r>
  </si>
  <si>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--Ecarke(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</si>
  <si>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套 黄色底座 单开关 得伟</t>
    </r>
    <r>
      <rPr>
        <sz val="11"/>
        <color theme="1"/>
        <rFont val="Calibri"/>
        <family val="2"/>
        <charset val="1"/>
      </rPr>
      <t xml:space="preserve">20V</t>
    </r>
    <r>
      <rPr>
        <sz val="11"/>
        <color theme="1"/>
        <rFont val="WenQuanYi Zen Hei"/>
        <family val="2"/>
      </rPr>
      <t xml:space="preserve">方形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珠</t>
    </r>
    <r>
      <rPr>
        <sz val="11"/>
        <color theme="1"/>
        <rFont val="Calibri"/>
        <family val="2"/>
        <charset val="1"/>
      </rPr>
      <t xml:space="preserve">19W</t>
    </r>
    <r>
      <rPr>
        <sz val="11"/>
        <color theme="1"/>
        <rFont val="WenQuanYi Zen Hei"/>
        <family val="2"/>
      </rPr>
      <t xml:space="preserve">工作灯（贴</t>
    </r>
    <r>
      <rPr>
        <sz val="11"/>
        <color theme="1"/>
        <rFont val="Calibri"/>
        <family val="2"/>
        <charset val="1"/>
      </rPr>
      <t xml:space="preserve">MtiolHig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</si>
  <si>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单品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WenQuanYi Zen Hei"/>
        <family val="2"/>
      </rPr>
      <t xml:space="preserve">红色米沃奇底座</t>
    </r>
    <r>
      <rPr>
        <sz val="11"/>
        <color theme="1"/>
        <rFont val="Calibri"/>
        <family val="2"/>
        <charset val="1"/>
      </rPr>
      <t xml:space="preserve">-DIYTOOLIFZ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WenQuanYi Zen Hei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Type-C</t>
    </r>
    <r>
      <rPr>
        <sz val="11"/>
        <color theme="1"/>
        <rFont val="WenQuanYi Zen Hei"/>
        <family val="2"/>
      </rPr>
      <t xml:space="preserve">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</si>
</sst>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Cambria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WenQuanYi Zen Hei"/>
      <family val="2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b val="true"/>
      <sz val="13"/>
      <name val="WenQuanYi Zen Hei"/>
      <family val="2"/>
    </font>
    <font>
      <b val="true"/>
      <sz val="13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i val="true"/>
      <sz val="11"/>
      <color rgb="FF595959"/>
      <name val="WenQuanYi Zen Hei"/>
      <family val="2"/>
    </font>
    <font>
      <i val="true"/>
      <sz val="11"/>
      <color rgb="FF595959"/>
      <name val="Cambria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color rgb="FFC00000"/>
      </font>
    </dxf>
    <dxf>
      <font>
        <color rgb="FF0061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月度折算只数 vs 4万门槛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月度汇总!D4</c:f>
              <c:strCache>
                <c:ptCount val="1"/>
                <c:pt idx="0">
                  <c:v>折算只数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月度汇总!$A$5:$A$29</c:f>
              <c:strCache>
                <c:ptCount val="25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</c:strCache>
            </c:strRef>
          </c:cat>
          <c:val>
            <c:numRef>
              <c:f>月度汇总!$D$5:$D$29</c:f>
              <c:numCache>
                <c:formatCode>#,##0</c:formatCode>
                <c:ptCount val="25"/>
                <c:pt idx="0">
                  <c:v>5890</c:v>
                </c:pt>
                <c:pt idx="1">
                  <c:v>7241</c:v>
                </c:pt>
                <c:pt idx="2">
                  <c:v>4330</c:v>
                </c:pt>
                <c:pt idx="3">
                  <c:v>4290</c:v>
                </c:pt>
                <c:pt idx="4">
                  <c:v>5314</c:v>
                </c:pt>
                <c:pt idx="5">
                  <c:v>2798</c:v>
                </c:pt>
                <c:pt idx="6">
                  <c:v>19593</c:v>
                </c:pt>
                <c:pt idx="7">
                  <c:v>10735</c:v>
                </c:pt>
                <c:pt idx="8">
                  <c:v>16375</c:v>
                </c:pt>
                <c:pt idx="9">
                  <c:v>14918</c:v>
                </c:pt>
                <c:pt idx="10">
                  <c:v>31365</c:v>
                </c:pt>
                <c:pt idx="11">
                  <c:v>37160</c:v>
                </c:pt>
                <c:pt idx="12">
                  <c:v>10915</c:v>
                </c:pt>
                <c:pt idx="13">
                  <c:v>40986</c:v>
                </c:pt>
                <c:pt idx="14">
                  <c:v>3502</c:v>
                </c:pt>
                <c:pt idx="15">
                  <c:v>9390</c:v>
                </c:pt>
                <c:pt idx="16">
                  <c:v>9234</c:v>
                </c:pt>
                <c:pt idx="17">
                  <c:v>9680</c:v>
                </c:pt>
                <c:pt idx="18">
                  <c:v>20215</c:v>
                </c:pt>
                <c:pt idx="19">
                  <c:v>34046</c:v>
                </c:pt>
                <c:pt idx="20">
                  <c:v>26262</c:v>
                </c:pt>
                <c:pt idx="21">
                  <c:v>31161</c:v>
                </c:pt>
                <c:pt idx="22">
                  <c:v>50787</c:v>
                </c:pt>
                <c:pt idx="23">
                  <c:v>43084</c:v>
                </c:pt>
                <c:pt idx="24">
                  <c:v>29719</c:v>
                </c:pt>
              </c:numCache>
            </c:numRef>
          </c:val>
        </c:ser>
        <c:gapWidth val="150"/>
        <c:overlap val="0"/>
        <c:axId val="22329118"/>
        <c:axId val="50402740"/>
      </c:barChart>
      <c:lineChart>
        <c:grouping val="standard"/>
        <c:varyColors val="0"/>
        <c:ser>
          <c:idx val="1"/>
          <c:order val="1"/>
          <c:tx>
            <c:strRef>
              <c:f>月度汇总!J4</c:f>
              <c:strCache>
                <c:ptCount val="1"/>
                <c:pt idx="0">
                  <c:v>近3月均值(只)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月度汇总!$A$5:$A$29</c:f>
              <c:strCache>
                <c:ptCount val="25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</c:strCache>
            </c:strRef>
          </c:cat>
          <c:val>
            <c:numRef>
              <c:f>月度汇总!$J$5:$J$29</c:f>
              <c:numCache>
                <c:formatCode>#,##0</c:formatCode>
                <c:ptCount val="25"/>
                <c:pt idx="2">
                  <c:v>5820.33333333333</c:v>
                </c:pt>
                <c:pt idx="3">
                  <c:v>5287</c:v>
                </c:pt>
                <c:pt idx="4">
                  <c:v>4644.66666666667</c:v>
                </c:pt>
                <c:pt idx="5">
                  <c:v>4134</c:v>
                </c:pt>
                <c:pt idx="6">
                  <c:v>9235</c:v>
                </c:pt>
                <c:pt idx="7">
                  <c:v>11042</c:v>
                </c:pt>
                <c:pt idx="8">
                  <c:v>15567.6666666667</c:v>
                </c:pt>
                <c:pt idx="9">
                  <c:v>14009.3333333333</c:v>
                </c:pt>
                <c:pt idx="10">
                  <c:v>20886</c:v>
                </c:pt>
                <c:pt idx="11">
                  <c:v>27814.3333333333</c:v>
                </c:pt>
                <c:pt idx="12">
                  <c:v>26480</c:v>
                </c:pt>
                <c:pt idx="13">
                  <c:v>29687</c:v>
                </c:pt>
                <c:pt idx="14">
                  <c:v>18467.6666666667</c:v>
                </c:pt>
                <c:pt idx="15">
                  <c:v>17959.3333333333</c:v>
                </c:pt>
                <c:pt idx="16">
                  <c:v>7375.33333333333</c:v>
                </c:pt>
                <c:pt idx="17">
                  <c:v>9434.66666666667</c:v>
                </c:pt>
                <c:pt idx="18">
                  <c:v>13043</c:v>
                </c:pt>
                <c:pt idx="19">
                  <c:v>21313.6666666667</c:v>
                </c:pt>
                <c:pt idx="20">
                  <c:v>26841</c:v>
                </c:pt>
                <c:pt idx="21">
                  <c:v>30489.6666666667</c:v>
                </c:pt>
                <c:pt idx="22">
                  <c:v>36070</c:v>
                </c:pt>
                <c:pt idx="23">
                  <c:v>41677.3333333333</c:v>
                </c:pt>
                <c:pt idx="24">
                  <c:v>41196.6666666667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329118"/>
        <c:axId val="50402740"/>
      </c:lineChart>
      <c:catAx>
        <c:axId val="223291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02740"/>
        <c:crosses val="autoZero"/>
        <c:auto val="1"/>
        <c:lblAlgn val="ctr"/>
        <c:lblOffset val="100"/>
        <c:noMultiLvlLbl val="0"/>
      </c:catAx>
      <c:valAx>
        <c:axId val="504027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291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</xdr:row>
      <xdr:rowOff>163440</xdr:rowOff>
    </xdr:from>
    <xdr:to>
      <xdr:col>29</xdr:col>
      <xdr:colOff>187200</xdr:colOff>
      <xdr:row>16</xdr:row>
      <xdr:rowOff>166320</xdr:rowOff>
    </xdr:to>
    <xdr:graphicFrame>
      <xdr:nvGraphicFramePr>
        <xdr:cNvPr id="0" name="Chart 1"/>
        <xdr:cNvGraphicFramePr/>
      </xdr:nvGraphicFramePr>
      <xdr:xfrm>
        <a:off x="11043360" y="57168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5"/>
  </cols>
  <sheetData>
    <row r="1" customFormat="false" ht="19.4" hidden="false" customHeight="false" outlineLevel="0" collapsed="false">
      <c r="A1" s="1" t="s">
        <v>0</v>
      </c>
    </row>
    <row r="3" customFormat="false" ht="28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n">
        <f aca="false">AVERAGE(月度汇总!D5:D16)</f>
        <v>13334.0833333333</v>
      </c>
      <c r="C4" s="3" t="n">
        <f aca="false">AVERAGE(月度汇总!C5:C16)</f>
        <v>12136.1666666667</v>
      </c>
      <c r="D4" s="3" t="n">
        <f aca="false">AVERAGE(月度汇总!M5:M16)</f>
        <v>11501.75</v>
      </c>
      <c r="E4" s="4" t="n">
        <f aca="false">B4/月度汇总!$B$2</f>
        <v>0.333352083333333</v>
      </c>
      <c r="F4" s="3" t="n">
        <f aca="false">MAX(0,月度汇总!$B$2-B4)</f>
        <v>26665.9166666667</v>
      </c>
    </row>
    <row r="5" customFormat="false" ht="15" hidden="false" customHeight="false" outlineLevel="0" collapsed="false">
      <c r="A5" s="3" t="s">
        <v>8</v>
      </c>
      <c r="B5" s="3" t="n">
        <f aca="false">AVERAGE(月度汇总!D17:D28)</f>
        <v>24105.1666666667</v>
      </c>
      <c r="C5" s="3" t="n">
        <f aca="false">AVERAGE(月度汇总!C17:C28)</f>
        <v>20074.1666666667</v>
      </c>
      <c r="D5" s="3" t="n">
        <f aca="false">AVERAGE(月度汇总!M17:M28)</f>
        <v>16242.5833333333</v>
      </c>
      <c r="E5" s="4" t="n">
        <f aca="false">B5/月度汇总!$B$2</f>
        <v>0.602629166666667</v>
      </c>
      <c r="F5" s="3" t="n">
        <f aca="false">MAX(0,月度汇总!$B$2-B5)</f>
        <v>15894.8333333333</v>
      </c>
    </row>
    <row r="6" customFormat="false" ht="15" hidden="false" customHeight="false" outlineLevel="0" collapsed="false">
      <c r="A6" s="3" t="s">
        <v>9</v>
      </c>
      <c r="B6" s="3" t="n">
        <f aca="false">AVERAGE(月度汇总!D17:D22)</f>
        <v>13951.1666666667</v>
      </c>
      <c r="C6" s="3" t="n">
        <f aca="false">AVERAGE(月度汇总!C17:C22)</f>
        <v>13214.8333333333</v>
      </c>
      <c r="D6" s="3" t="n">
        <f aca="false">AVERAGE(月度汇总!M17:M22)</f>
        <v>4700.16666666667</v>
      </c>
      <c r="E6" s="4" t="n">
        <f aca="false">B6/月度汇总!$B$2</f>
        <v>0.348779166666667</v>
      </c>
      <c r="F6" s="3" t="n">
        <f aca="false">MAX(0,月度汇总!$B$2-B6)</f>
        <v>26048.8333333333</v>
      </c>
    </row>
    <row r="7" customFormat="false" ht="15" hidden="false" customHeight="false" outlineLevel="0" collapsed="false">
      <c r="A7" s="3" t="s">
        <v>10</v>
      </c>
      <c r="B7" s="3" t="n">
        <f aca="false">AVERAGE(月度汇总!D23:D28)</f>
        <v>34259.1666666667</v>
      </c>
      <c r="C7" s="3" t="n">
        <f aca="false">AVERAGE(月度汇总!C23:C28)</f>
        <v>26933.5</v>
      </c>
      <c r="D7" s="3" t="n">
        <f aca="false">AVERAGE(月度汇总!M23:M28)</f>
        <v>27785</v>
      </c>
      <c r="E7" s="4" t="n">
        <f aca="false">B7/月度汇总!$B$2</f>
        <v>0.856479166666667</v>
      </c>
      <c r="F7" s="3" t="n">
        <f aca="false">MAX(0,月度汇总!$B$2-B7)</f>
        <v>5740.83333333334</v>
      </c>
    </row>
    <row r="8" customFormat="false" ht="15" hidden="false" customHeight="false" outlineLevel="0" collapsed="false">
      <c r="A8" s="5" t="s">
        <v>11</v>
      </c>
      <c r="B8" s="3" t="n">
        <f aca="false">AVERAGE(月度汇总!D18:D29)</f>
        <v>25672.1666666667</v>
      </c>
      <c r="C8" s="3" t="n">
        <f aca="false">AVERAGE(月度汇总!C18:C29)</f>
        <v>21316.1666666667</v>
      </c>
      <c r="D8" s="3" t="n">
        <f aca="false">AVERAGE(月度汇总!M18:M29)</f>
        <v>16606.0833333333</v>
      </c>
      <c r="E8" s="4" t="n">
        <f aca="false">B8/月度汇总!$B$2</f>
        <v>0.641804166666667</v>
      </c>
      <c r="F8" s="3" t="n">
        <f aca="false">MAX(0,月度汇总!$B$2-B8)</f>
        <v>14327.8333333333</v>
      </c>
    </row>
    <row r="9" customFormat="false" ht="15" hidden="false" customHeight="false" outlineLevel="0" collapsed="false">
      <c r="A9" s="5" t="s">
        <v>12</v>
      </c>
      <c r="B9" s="3" t="n">
        <f aca="false">AVERAGE(月度汇总!D24:D29)</f>
        <v>35843.1666666667</v>
      </c>
      <c r="C9" s="3" t="n">
        <f aca="false">AVERAGE(月度汇总!C24:C29)</f>
        <v>28287.8333333333</v>
      </c>
      <c r="D9" s="3" t="n">
        <f aca="false">AVERAGE(月度汇总!M24:M29)</f>
        <v>27758.6666666667</v>
      </c>
      <c r="E9" s="4" t="n">
        <f aca="false">B9/月度汇总!$B$2</f>
        <v>0.896079166666667</v>
      </c>
      <c r="F9" s="3" t="n">
        <f aca="false">MAX(0,月度汇总!$B$2-B9)</f>
        <v>4156.83333333334</v>
      </c>
    </row>
    <row r="10" customFormat="false" ht="15" hidden="false" customHeight="false" outlineLevel="0" collapsed="false">
      <c r="A10" s="5" t="s">
        <v>13</v>
      </c>
      <c r="B10" s="3" t="n">
        <f aca="false">AVERAGE(月度汇总!D27:D29)</f>
        <v>41196.6666666667</v>
      </c>
      <c r="C10" s="3" t="n">
        <f aca="false">AVERAGE(月度汇总!C27:C29)</f>
        <v>32856</v>
      </c>
      <c r="D10" s="3" t="n">
        <f aca="false">AVERAGE(月度汇总!M27:M29)</f>
        <v>31588</v>
      </c>
      <c r="E10" s="4" t="n">
        <f aca="false">B10/月度汇总!$B$2</f>
        <v>1.02991666666667</v>
      </c>
      <c r="F10" s="3" t="n">
        <f aca="false">MAX(0,月度汇总!$B$2-B10)</f>
        <v>0</v>
      </c>
    </row>
    <row r="11" customFormat="false" ht="15" hidden="false" customHeight="false" outlineLevel="0" collapsed="false">
      <c r="A11" s="5" t="s">
        <v>14</v>
      </c>
      <c r="B11" s="3" t="n">
        <f aca="false">MAX(月度汇总!D5:D29)</f>
        <v>50787</v>
      </c>
      <c r="C11" s="3" t="n">
        <f aca="false">MAX(月度汇总!C5:C29)</f>
        <v>40422</v>
      </c>
      <c r="D11" s="3" t="n">
        <f aca="false">MAX(月度汇总!M5:M29)</f>
        <v>43385</v>
      </c>
      <c r="E11" s="4" t="n">
        <f aca="false">B11/月度汇总!$B$2</f>
        <v>1.269675</v>
      </c>
      <c r="F11" s="3" t="n">
        <f aca="false">MAX(0,月度汇总!$B$2-B11)</f>
        <v>0</v>
      </c>
    </row>
    <row r="13" customFormat="false" ht="15" hidden="false" customHeight="false" outlineLevel="0" collapsed="false">
      <c r="A13" s="6" t="s">
        <v>15</v>
      </c>
    </row>
    <row r="14" customFormat="false" ht="15" hidden="false" customHeight="false" outlineLevel="0" collapsed="false">
      <c r="A14" s="0" t="s">
        <v>16</v>
      </c>
      <c r="B14" s="7" t="n">
        <f aca="false">SUM(月度汇总!D17:D28)</f>
        <v>289262</v>
      </c>
    </row>
    <row r="15" customFormat="false" ht="15" hidden="false" customHeight="false" outlineLevel="0" collapsed="false">
      <c r="A15" s="8" t="s">
        <v>17</v>
      </c>
      <c r="B15" s="7" t="n">
        <f aca="false">月度汇总!B2*12</f>
        <v>480000</v>
      </c>
    </row>
    <row r="16" customFormat="false" ht="15" hidden="false" customHeight="false" outlineLevel="0" collapsed="false">
      <c r="A16" s="0" t="s">
        <v>18</v>
      </c>
      <c r="B16" s="9" t="n">
        <f aca="false">B15/B14-1</f>
        <v>0.65939528870021</v>
      </c>
    </row>
    <row r="17" customFormat="false" ht="15" hidden="false" customHeight="false" outlineLevel="0" collapsed="false">
      <c r="A17" s="0" t="s">
        <v>19</v>
      </c>
      <c r="B17" s="9" t="n">
        <f aca="false">年度汇总!J3</f>
        <v>0.807785812048072</v>
      </c>
    </row>
    <row r="18" customFormat="false" ht="15" hidden="false" customHeight="false" outlineLevel="0" collapsed="false">
      <c r="A18" s="8" t="s">
        <v>20</v>
      </c>
      <c r="B18" s="7" t="n">
        <f aca="false">B14*(1+B17)/12</f>
        <v>43576.9782970541</v>
      </c>
    </row>
    <row r="19" customFormat="false" ht="15" hidden="false" customHeight="false" outlineLevel="0" collapsed="false">
      <c r="A19" s="0" t="s">
        <v>21</v>
      </c>
      <c r="B19" s="9" t="n">
        <f aca="false">年度汇总!J6</f>
        <v>1.72276683463124</v>
      </c>
    </row>
    <row r="21" customFormat="false" ht="15" hidden="false" customHeight="false" outlineLevel="0" collapsed="false">
      <c r="A21" s="6" t="s">
        <v>22</v>
      </c>
    </row>
    <row r="22" customFormat="false" ht="33.75" hidden="false" customHeight="true" outlineLevel="0" collapsed="false">
      <c r="A22" s="10" t="s">
        <v>23</v>
      </c>
      <c r="B22" s="10"/>
      <c r="C22" s="10"/>
      <c r="D22" s="10"/>
      <c r="E22" s="10"/>
      <c r="F22" s="10"/>
    </row>
    <row r="23" customFormat="false" ht="33.75" hidden="false" customHeight="true" outlineLevel="0" collapsed="false">
      <c r="A23" s="10" t="s">
        <v>24</v>
      </c>
      <c r="B23" s="10"/>
      <c r="C23" s="10"/>
      <c r="D23" s="10"/>
      <c r="E23" s="10"/>
      <c r="F23" s="10"/>
    </row>
    <row r="24" customFormat="false" ht="33.75" hidden="false" customHeight="true" outlineLevel="0" collapsed="false">
      <c r="A24" s="10" t="s">
        <v>25</v>
      </c>
      <c r="B24" s="10"/>
      <c r="C24" s="10"/>
      <c r="D24" s="10"/>
      <c r="E24" s="10"/>
      <c r="F24" s="10"/>
    </row>
    <row r="25" customFormat="false" ht="33.75" hidden="false" customHeight="true" outlineLevel="0" collapsed="false">
      <c r="A25" s="10" t="s">
        <v>26</v>
      </c>
      <c r="B25" s="10"/>
      <c r="C25" s="10"/>
      <c r="D25" s="10"/>
      <c r="E25" s="10"/>
      <c r="F25" s="10"/>
    </row>
    <row r="26" customFormat="false" ht="33.75" hidden="false" customHeight="true" outlineLevel="0" collapsed="false">
      <c r="A26" s="10" t="s">
        <v>27</v>
      </c>
      <c r="B26" s="10"/>
      <c r="C26" s="10"/>
      <c r="D26" s="10"/>
      <c r="E26" s="10"/>
      <c r="F26" s="10"/>
    </row>
    <row r="27" customFormat="false" ht="33.75" hidden="false" customHeight="true" outlineLevel="0" collapsed="false">
      <c r="A27" s="10" t="s">
        <v>28</v>
      </c>
      <c r="B27" s="10"/>
      <c r="C27" s="10"/>
      <c r="D27" s="10"/>
      <c r="E27" s="10"/>
      <c r="F27" s="10"/>
    </row>
  </sheetData>
  <mergeCells count="6">
    <mergeCell ref="A22:F22"/>
    <mergeCell ref="A23:F23"/>
    <mergeCell ref="A24:F24"/>
    <mergeCell ref="A25:F25"/>
    <mergeCell ref="A26:F26"/>
    <mergeCell ref="A27:F27"/>
  </mergeCells>
  <conditionalFormatting sqref="E4:E11">
    <cfRule type="cellIs" priority="2" operator="greaterThanOr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0.7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9" min="6" style="0" width="9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3"/>
  </cols>
  <sheetData>
    <row r="1" customFormat="false" ht="17.15" hidden="false" customHeight="false" outlineLevel="0" collapsed="false">
      <c r="A1" s="11" t="s">
        <v>29</v>
      </c>
    </row>
    <row r="2" customFormat="false" ht="15" hidden="false" customHeight="false" outlineLevel="0" collapsed="false">
      <c r="A2" s="6" t="s">
        <v>30</v>
      </c>
      <c r="B2" s="12" t="n">
        <v>40000</v>
      </c>
    </row>
    <row r="4" customFormat="false" ht="31.5" hidden="false" customHeight="true" outlineLevel="0" collapsed="false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customFormat="false" ht="15" hidden="false" customHeight="false" outlineLevel="0" collapsed="false">
      <c r="A5" s="13" t="s">
        <v>44</v>
      </c>
      <c r="B5" s="3" t="n">
        <v>3</v>
      </c>
      <c r="C5" s="3" t="n">
        <v>5890</v>
      </c>
      <c r="D5" s="14" t="n">
        <v>5890</v>
      </c>
      <c r="E5" s="3" t="n">
        <v>176895</v>
      </c>
      <c r="F5" s="15"/>
      <c r="G5" s="15"/>
      <c r="H5" s="15"/>
      <c r="I5" s="15"/>
      <c r="J5" s="3"/>
      <c r="K5" s="15" t="n">
        <f aca="false">D5/$B$2</f>
        <v>0.14725</v>
      </c>
      <c r="L5" s="3" t="n">
        <v>4925</v>
      </c>
      <c r="M5" s="3" t="n">
        <v>4925</v>
      </c>
    </row>
    <row r="6" customFormat="false" ht="15" hidden="false" customHeight="false" outlineLevel="0" collapsed="false">
      <c r="A6" s="13" t="s">
        <v>45</v>
      </c>
      <c r="B6" s="3" t="n">
        <v>1</v>
      </c>
      <c r="C6" s="3" t="n">
        <v>7241</v>
      </c>
      <c r="D6" s="14" t="n">
        <v>7241</v>
      </c>
      <c r="E6" s="3" t="n">
        <v>307245</v>
      </c>
      <c r="F6" s="15" t="n">
        <f aca="false">IF(C5=0,"",C6/C5-1)</f>
        <v>0.22937181663837</v>
      </c>
      <c r="G6" s="15"/>
      <c r="H6" s="15" t="n">
        <f aca="false">IF(D5=0,"",D6/D5-1)</f>
        <v>0.22937181663837</v>
      </c>
      <c r="I6" s="15"/>
      <c r="J6" s="3"/>
      <c r="K6" s="15" t="n">
        <f aca="false">D6/$B$2</f>
        <v>0.181025</v>
      </c>
      <c r="L6" s="3" t="n">
        <v>6641</v>
      </c>
      <c r="M6" s="3" t="n">
        <v>6641</v>
      </c>
    </row>
    <row r="7" customFormat="false" ht="15" hidden="false" customHeight="false" outlineLevel="0" collapsed="false">
      <c r="A7" s="13" t="s">
        <v>46</v>
      </c>
      <c r="B7" s="3" t="n">
        <v>5</v>
      </c>
      <c r="C7" s="3" t="n">
        <v>4330</v>
      </c>
      <c r="D7" s="14" t="n">
        <v>4330</v>
      </c>
      <c r="E7" s="3" t="n">
        <v>167625</v>
      </c>
      <c r="F7" s="15" t="n">
        <f aca="false">IF(C6=0,"",C7/C6-1)</f>
        <v>-0.4020162960917</v>
      </c>
      <c r="G7" s="15"/>
      <c r="H7" s="15" t="n">
        <f aca="false">IF(D6=0,"",D7/D6-1)</f>
        <v>-0.4020162960917</v>
      </c>
      <c r="I7" s="15"/>
      <c r="J7" s="3" t="n">
        <f aca="false">AVERAGE(D5:D7)</f>
        <v>5820.33333333333</v>
      </c>
      <c r="K7" s="15" t="n">
        <f aca="false">D7/$B$2</f>
        <v>0.10825</v>
      </c>
      <c r="L7" s="3" t="n">
        <v>1815</v>
      </c>
      <c r="M7" s="3" t="n">
        <v>1815</v>
      </c>
    </row>
    <row r="8" customFormat="false" ht="15" hidden="false" customHeight="false" outlineLevel="0" collapsed="false">
      <c r="A8" s="13" t="s">
        <v>47</v>
      </c>
      <c r="B8" s="3" t="n">
        <v>4</v>
      </c>
      <c r="C8" s="3" t="n">
        <v>4290</v>
      </c>
      <c r="D8" s="14" t="n">
        <v>4290</v>
      </c>
      <c r="E8" s="3" t="n">
        <v>132445</v>
      </c>
      <c r="F8" s="15" t="n">
        <f aca="false">IF(C7=0,"",C8/C7-1)</f>
        <v>-0.00923787528868358</v>
      </c>
      <c r="G8" s="15"/>
      <c r="H8" s="15" t="n">
        <f aca="false">IF(D7=0,"",D8/D7-1)</f>
        <v>-0.00923787528868358</v>
      </c>
      <c r="I8" s="15"/>
      <c r="J8" s="3" t="n">
        <f aca="false">AVERAGE(D6:D8)</f>
        <v>5287</v>
      </c>
      <c r="K8" s="15" t="n">
        <f aca="false">D8/$B$2</f>
        <v>0.10725</v>
      </c>
      <c r="L8" s="3" t="n">
        <v>2615</v>
      </c>
      <c r="M8" s="3" t="n">
        <v>2615</v>
      </c>
    </row>
    <row r="9" customFormat="false" ht="15" hidden="false" customHeight="false" outlineLevel="0" collapsed="false">
      <c r="A9" s="13" t="s">
        <v>48</v>
      </c>
      <c r="B9" s="3" t="n">
        <v>7</v>
      </c>
      <c r="C9" s="3" t="n">
        <v>5314</v>
      </c>
      <c r="D9" s="14" t="n">
        <v>5314</v>
      </c>
      <c r="E9" s="3" t="n">
        <v>209263</v>
      </c>
      <c r="F9" s="15" t="n">
        <f aca="false">IF(C8=0,"",C9/C8-1)</f>
        <v>0.238694638694639</v>
      </c>
      <c r="G9" s="15"/>
      <c r="H9" s="15" t="n">
        <f aca="false">IF(D8=0,"",D9/D8-1)</f>
        <v>0.238694638694639</v>
      </c>
      <c r="I9" s="15"/>
      <c r="J9" s="3" t="n">
        <f aca="false">AVERAGE(D7:D9)</f>
        <v>4644.66666666667</v>
      </c>
      <c r="K9" s="15" t="n">
        <f aca="false">D9/$B$2</f>
        <v>0.13285</v>
      </c>
      <c r="L9" s="3" t="n">
        <v>1259</v>
      </c>
      <c r="M9" s="3" t="n">
        <v>1259</v>
      </c>
    </row>
    <row r="10" customFormat="false" ht="15" hidden="false" customHeight="false" outlineLevel="0" collapsed="false">
      <c r="A10" s="13" t="s">
        <v>49</v>
      </c>
      <c r="B10" s="3" t="n">
        <v>6</v>
      </c>
      <c r="C10" s="3" t="n">
        <v>2798</v>
      </c>
      <c r="D10" s="14" t="n">
        <v>2798</v>
      </c>
      <c r="E10" s="3" t="n">
        <v>77496.5</v>
      </c>
      <c r="F10" s="15" t="n">
        <f aca="false">IF(C9=0,"",C10/C9-1)</f>
        <v>-0.473466315393301</v>
      </c>
      <c r="G10" s="15"/>
      <c r="H10" s="15" t="n">
        <f aca="false">IF(D9=0,"",D10/D9-1)</f>
        <v>-0.473466315393301</v>
      </c>
      <c r="I10" s="15"/>
      <c r="J10" s="3" t="n">
        <f aca="false">AVERAGE(D8:D10)</f>
        <v>4134</v>
      </c>
      <c r="K10" s="15" t="n">
        <f aca="false">D10/$B$2</f>
        <v>0.06995</v>
      </c>
      <c r="L10" s="3" t="n">
        <v>1168</v>
      </c>
      <c r="M10" s="3" t="n">
        <v>1168</v>
      </c>
    </row>
    <row r="11" customFormat="false" ht="15" hidden="false" customHeight="false" outlineLevel="0" collapsed="false">
      <c r="A11" s="13" t="s">
        <v>50</v>
      </c>
      <c r="B11" s="3" t="n">
        <v>8</v>
      </c>
      <c r="C11" s="3" t="n">
        <v>19118</v>
      </c>
      <c r="D11" s="14" t="n">
        <v>19593</v>
      </c>
      <c r="E11" s="3" t="n">
        <v>704225</v>
      </c>
      <c r="F11" s="15" t="n">
        <f aca="false">IF(C10=0,"",C11/C10-1)</f>
        <v>5.83273766976412</v>
      </c>
      <c r="G11" s="15"/>
      <c r="H11" s="15" t="n">
        <f aca="false">IF(D10=0,"",D11/D10-1)</f>
        <v>6.00250178699071</v>
      </c>
      <c r="I11" s="15"/>
      <c r="J11" s="3" t="n">
        <f aca="false">AVERAGE(D9:D11)</f>
        <v>9235</v>
      </c>
      <c r="K11" s="15" t="n">
        <f aca="false">D11/$B$2</f>
        <v>0.489825</v>
      </c>
      <c r="L11" s="3" t="n">
        <v>13938</v>
      </c>
      <c r="M11" s="3" t="n">
        <v>14413</v>
      </c>
    </row>
    <row r="12" customFormat="false" ht="15" hidden="false" customHeight="false" outlineLevel="0" collapsed="false">
      <c r="A12" s="13" t="s">
        <v>51</v>
      </c>
      <c r="B12" s="3" t="n">
        <v>6</v>
      </c>
      <c r="C12" s="3" t="n">
        <v>9885</v>
      </c>
      <c r="D12" s="14" t="n">
        <v>10735</v>
      </c>
      <c r="E12" s="3" t="n">
        <v>332068.5</v>
      </c>
      <c r="F12" s="15" t="n">
        <f aca="false">IF(C11=0,"",C12/C11-1)</f>
        <v>-0.482948007113715</v>
      </c>
      <c r="G12" s="15"/>
      <c r="H12" s="15" t="n">
        <f aca="false">IF(D11=0,"",D12/D11-1)</f>
        <v>-0.45210023988159</v>
      </c>
      <c r="I12" s="15"/>
      <c r="J12" s="3" t="n">
        <f aca="false">AVERAGE(D10:D12)</f>
        <v>11042</v>
      </c>
      <c r="K12" s="15" t="n">
        <f aca="false">D12/$B$2</f>
        <v>0.268375</v>
      </c>
      <c r="L12" s="3" t="n">
        <v>8847</v>
      </c>
      <c r="M12" s="3" t="n">
        <v>9697</v>
      </c>
    </row>
    <row r="13" customFormat="false" ht="15" hidden="false" customHeight="false" outlineLevel="0" collapsed="false">
      <c r="A13" s="13" t="s">
        <v>52</v>
      </c>
      <c r="B13" s="3" t="n">
        <v>7</v>
      </c>
      <c r="C13" s="3" t="n">
        <v>13545</v>
      </c>
      <c r="D13" s="14" t="n">
        <v>16375</v>
      </c>
      <c r="E13" s="3" t="n">
        <v>453242.5</v>
      </c>
      <c r="F13" s="15" t="n">
        <f aca="false">IF(C12=0,"",C13/C12-1)</f>
        <v>0.370257966616085</v>
      </c>
      <c r="G13" s="15"/>
      <c r="H13" s="15" t="n">
        <f aca="false">IF(D12=0,"",D13/D12-1)</f>
        <v>0.525384257102934</v>
      </c>
      <c r="I13" s="15"/>
      <c r="J13" s="3" t="n">
        <f aca="false">AVERAGE(D11:D13)</f>
        <v>15567.6666666667</v>
      </c>
      <c r="K13" s="15" t="n">
        <f aca="false">D13/$B$2</f>
        <v>0.409375</v>
      </c>
      <c r="L13" s="3" t="n">
        <v>13465</v>
      </c>
      <c r="M13" s="3" t="n">
        <v>16295</v>
      </c>
    </row>
    <row r="14" customFormat="false" ht="15" hidden="false" customHeight="false" outlineLevel="0" collapsed="false">
      <c r="A14" s="13" t="s">
        <v>53</v>
      </c>
      <c r="B14" s="3" t="n">
        <v>7</v>
      </c>
      <c r="C14" s="3" t="n">
        <v>13288</v>
      </c>
      <c r="D14" s="14" t="n">
        <v>14918</v>
      </c>
      <c r="E14" s="3" t="n">
        <v>399474</v>
      </c>
      <c r="F14" s="15" t="n">
        <f aca="false">IF(C13=0,"",C14/C13-1)</f>
        <v>-0.0189737910668143</v>
      </c>
      <c r="G14" s="15"/>
      <c r="H14" s="15" t="n">
        <f aca="false">IF(D13=0,"",D14/D13-1)</f>
        <v>-0.0889770992366412</v>
      </c>
      <c r="I14" s="15"/>
      <c r="J14" s="3" t="n">
        <f aca="false">AVERAGE(D12:D14)</f>
        <v>14009.3333333333</v>
      </c>
      <c r="K14" s="15" t="n">
        <f aca="false">D14/$B$2</f>
        <v>0.37295</v>
      </c>
      <c r="L14" s="3" t="n">
        <v>11288</v>
      </c>
      <c r="M14" s="3" t="n">
        <v>12918</v>
      </c>
    </row>
    <row r="15" customFormat="false" ht="15" hidden="false" customHeight="false" outlineLevel="0" collapsed="false">
      <c r="A15" s="13" t="s">
        <v>54</v>
      </c>
      <c r="B15" s="3" t="n">
        <v>7</v>
      </c>
      <c r="C15" s="3" t="n">
        <v>28325</v>
      </c>
      <c r="D15" s="14" t="n">
        <v>31365</v>
      </c>
      <c r="E15" s="3" t="n">
        <v>918237.5</v>
      </c>
      <c r="F15" s="15" t="n">
        <f aca="false">IF(C14=0,"",C15/C14-1)</f>
        <v>1.13162251655629</v>
      </c>
      <c r="G15" s="15"/>
      <c r="H15" s="15" t="n">
        <f aca="false">IF(D14=0,"",D15/D14-1)</f>
        <v>1.10249363185414</v>
      </c>
      <c r="I15" s="15"/>
      <c r="J15" s="3" t="n">
        <f aca="false">AVERAGE(D13:D15)</f>
        <v>20886</v>
      </c>
      <c r="K15" s="15" t="n">
        <f aca="false">D15/$B$2</f>
        <v>0.784125</v>
      </c>
      <c r="L15" s="3" t="n">
        <v>28325</v>
      </c>
      <c r="M15" s="3" t="n">
        <v>31365</v>
      </c>
    </row>
    <row r="16" customFormat="false" ht="15" hidden="false" customHeight="false" outlineLevel="0" collapsed="false">
      <c r="A16" s="13" t="s">
        <v>55</v>
      </c>
      <c r="B16" s="3" t="n">
        <v>6</v>
      </c>
      <c r="C16" s="3" t="n">
        <v>31610</v>
      </c>
      <c r="D16" s="14" t="n">
        <v>37160</v>
      </c>
      <c r="E16" s="3" t="n">
        <v>1050392.5</v>
      </c>
      <c r="F16" s="15" t="n">
        <f aca="false">IF(C15=0,"",C16/C15-1)</f>
        <v>0.115975286849073</v>
      </c>
      <c r="G16" s="15"/>
      <c r="H16" s="15" t="n">
        <f aca="false">IF(D15=0,"",D16/D15-1)</f>
        <v>0.184760082894947</v>
      </c>
      <c r="I16" s="15"/>
      <c r="J16" s="3" t="n">
        <f aca="false">AVERAGE(D14:D16)</f>
        <v>27814.3333333333</v>
      </c>
      <c r="K16" s="15" t="n">
        <f aca="false">D16/$B$2</f>
        <v>0.929</v>
      </c>
      <c r="L16" s="3" t="n">
        <v>29360</v>
      </c>
      <c r="M16" s="3" t="n">
        <v>34910</v>
      </c>
    </row>
    <row r="17" customFormat="false" ht="15" hidden="false" customHeight="false" outlineLevel="0" collapsed="false">
      <c r="A17" s="13" t="s">
        <v>56</v>
      </c>
      <c r="B17" s="3" t="n">
        <v>3</v>
      </c>
      <c r="C17" s="3" t="n">
        <v>10307</v>
      </c>
      <c r="D17" s="14" t="n">
        <v>10915</v>
      </c>
      <c r="E17" s="3" t="n">
        <v>364747</v>
      </c>
      <c r="F17" s="15" t="n">
        <f aca="false">IF(C16=0,"",C17/C16-1)</f>
        <v>-0.673932299905093</v>
      </c>
      <c r="G17" s="15" t="n">
        <f aca="false">IF(C5=0,"",C17/C5-1)</f>
        <v>0.749915110356537</v>
      </c>
      <c r="H17" s="15" t="n">
        <f aca="false">IF(D16=0,"",D17/D16-1)</f>
        <v>-0.706270182992465</v>
      </c>
      <c r="I17" s="15" t="n">
        <f aca="false">IF(D5=0,"",D17/D5-1)</f>
        <v>0.853140916808149</v>
      </c>
      <c r="J17" s="3" t="n">
        <f aca="false">AVERAGE(D15:D17)</f>
        <v>26480</v>
      </c>
      <c r="K17" s="15" t="n">
        <f aca="false">D17/$B$2</f>
        <v>0.272875</v>
      </c>
      <c r="L17" s="3" t="n">
        <v>7987</v>
      </c>
      <c r="M17" s="3" t="n">
        <v>8595</v>
      </c>
    </row>
    <row r="18" customFormat="false" ht="15" hidden="false" customHeight="false" outlineLevel="0" collapsed="false">
      <c r="A18" s="13" t="s">
        <v>57</v>
      </c>
      <c r="B18" s="3" t="n">
        <v>8</v>
      </c>
      <c r="C18" s="3" t="n">
        <v>40422</v>
      </c>
      <c r="D18" s="14" t="n">
        <v>40986</v>
      </c>
      <c r="E18" s="3" t="n">
        <v>1636099</v>
      </c>
      <c r="F18" s="15" t="n">
        <f aca="false">IF(C17=0,"",C18/C17-1)</f>
        <v>2.92180071795867</v>
      </c>
      <c r="G18" s="15" t="n">
        <f aca="false">IF(C6=0,"",C18/C6-1)</f>
        <v>4.58237812456843</v>
      </c>
      <c r="H18" s="15" t="n">
        <f aca="false">IF(D17=0,"",D18/D17-1)</f>
        <v>2.75501603298213</v>
      </c>
      <c r="I18" s="15" t="n">
        <f aca="false">IF(D6=0,"",D18/D6-1)</f>
        <v>4.66026791879575</v>
      </c>
      <c r="J18" s="3" t="n">
        <f aca="false">AVERAGE(D16:D18)</f>
        <v>29687</v>
      </c>
      <c r="K18" s="15" t="n">
        <f aca="false">D18/$B$2</f>
        <v>1.02465</v>
      </c>
      <c r="L18" s="3" t="n">
        <v>5172</v>
      </c>
      <c r="M18" s="3" t="n">
        <v>5736</v>
      </c>
    </row>
    <row r="19" customFormat="false" ht="15" hidden="false" customHeight="false" outlineLevel="0" collapsed="false">
      <c r="A19" s="13" t="s">
        <v>58</v>
      </c>
      <c r="B19" s="3" t="n">
        <v>3</v>
      </c>
      <c r="C19" s="3" t="n">
        <v>3062</v>
      </c>
      <c r="D19" s="14" t="n">
        <v>3502</v>
      </c>
      <c r="E19" s="3" t="n">
        <v>99950</v>
      </c>
      <c r="F19" s="15" t="n">
        <f aca="false">IF(C18=0,"",C19/C18-1)</f>
        <v>-0.924249171243382</v>
      </c>
      <c r="G19" s="15" t="n">
        <f aca="false">IF(C7=0,"",C19/C7-1)</f>
        <v>-0.29284064665127</v>
      </c>
      <c r="H19" s="15" t="n">
        <f aca="false">IF(D18=0,"",D19/D18-1)</f>
        <v>-0.914556189918509</v>
      </c>
      <c r="I19" s="15" t="n">
        <f aca="false">IF(D7=0,"",D19/D7-1)</f>
        <v>-0.191224018475751</v>
      </c>
      <c r="J19" s="3" t="n">
        <f aca="false">AVERAGE(D17:D19)</f>
        <v>18467.6666666667</v>
      </c>
      <c r="K19" s="15" t="n">
        <f aca="false">D19/$B$2</f>
        <v>0.08755</v>
      </c>
      <c r="L19" s="3" t="n">
        <v>1292</v>
      </c>
      <c r="M19" s="3" t="n">
        <v>1732</v>
      </c>
    </row>
    <row r="20" customFormat="false" ht="15" hidden="false" customHeight="false" outlineLevel="0" collapsed="false">
      <c r="A20" s="13" t="s">
        <v>59</v>
      </c>
      <c r="B20" s="3" t="n">
        <v>6</v>
      </c>
      <c r="C20" s="3" t="n">
        <v>8634</v>
      </c>
      <c r="D20" s="14" t="n">
        <v>9390</v>
      </c>
      <c r="E20" s="3" t="n">
        <v>181156.5</v>
      </c>
      <c r="F20" s="15" t="n">
        <f aca="false">IF(C19=0,"",C20/C19-1)</f>
        <v>1.81972566949706</v>
      </c>
      <c r="G20" s="15" t="n">
        <f aca="false">IF(C8=0,"",C20/C8-1)</f>
        <v>1.01258741258741</v>
      </c>
      <c r="H20" s="15" t="n">
        <f aca="false">IF(D19=0,"",D20/D19-1)</f>
        <v>1.68132495716733</v>
      </c>
      <c r="I20" s="15" t="n">
        <f aca="false">IF(D8=0,"",D20/D8-1)</f>
        <v>1.18881118881119</v>
      </c>
      <c r="J20" s="3" t="n">
        <f aca="false">AVERAGE(D18:D20)</f>
        <v>17959.3333333333</v>
      </c>
      <c r="K20" s="15" t="n">
        <f aca="false">D20/$B$2</f>
        <v>0.23475</v>
      </c>
      <c r="L20" s="3" t="n">
        <v>3174</v>
      </c>
      <c r="M20" s="3" t="n">
        <v>3930</v>
      </c>
    </row>
    <row r="21" customFormat="false" ht="15" hidden="false" customHeight="false" outlineLevel="0" collapsed="false">
      <c r="A21" s="13" t="s">
        <v>60</v>
      </c>
      <c r="B21" s="3" t="n">
        <v>6</v>
      </c>
      <c r="C21" s="3" t="n">
        <v>7944</v>
      </c>
      <c r="D21" s="14" t="n">
        <v>9234</v>
      </c>
      <c r="E21" s="3" t="n">
        <v>176593.5</v>
      </c>
      <c r="F21" s="15" t="n">
        <f aca="false">IF(C20=0,"",C21/C20-1)</f>
        <v>-0.0799166087560806</v>
      </c>
      <c r="G21" s="15" t="n">
        <f aca="false">IF(C9=0,"",C21/C9-1)</f>
        <v>0.494919081671058</v>
      </c>
      <c r="H21" s="15" t="n">
        <f aca="false">IF(D20=0,"",D21/D20-1)</f>
        <v>-0.0166134185303515</v>
      </c>
      <c r="I21" s="15" t="n">
        <f aca="false">IF(D9=0,"",D21/D9-1)</f>
        <v>0.737674068498306</v>
      </c>
      <c r="J21" s="3" t="n">
        <f aca="false">AVERAGE(D19:D21)</f>
        <v>7375.33333333333</v>
      </c>
      <c r="K21" s="15" t="n">
        <f aca="false">D21/$B$2</f>
        <v>0.23085</v>
      </c>
      <c r="L21" s="3" t="n">
        <v>3612</v>
      </c>
      <c r="M21" s="3" t="n">
        <v>4146</v>
      </c>
    </row>
    <row r="22" customFormat="false" ht="15" hidden="false" customHeight="false" outlineLevel="0" collapsed="false">
      <c r="A22" s="13" t="s">
        <v>61</v>
      </c>
      <c r="B22" s="3" t="n">
        <v>5</v>
      </c>
      <c r="C22" s="3" t="n">
        <v>8920</v>
      </c>
      <c r="D22" s="14" t="n">
        <v>9680</v>
      </c>
      <c r="E22" s="3" t="n">
        <v>180284</v>
      </c>
      <c r="F22" s="15" t="n">
        <f aca="false">IF(C21=0,"",C22/C21-1)</f>
        <v>0.122860020140987</v>
      </c>
      <c r="G22" s="15" t="n">
        <f aca="false">IF(C10=0,"",C22/C10-1)</f>
        <v>2.1879914224446</v>
      </c>
      <c r="H22" s="15" t="n">
        <f aca="false">IF(D21=0,"",D22/D21-1)</f>
        <v>0.0482997617500542</v>
      </c>
      <c r="I22" s="15" t="n">
        <f aca="false">IF(D10=0,"",D22/D10-1)</f>
        <v>2.45961401000715</v>
      </c>
      <c r="J22" s="3" t="n">
        <f aca="false">AVERAGE(D20:D22)</f>
        <v>9434.66666666667</v>
      </c>
      <c r="K22" s="15" t="n">
        <f aca="false">D22/$B$2</f>
        <v>0.242</v>
      </c>
      <c r="L22" s="3" t="n">
        <v>3302</v>
      </c>
      <c r="M22" s="3" t="n">
        <v>4062</v>
      </c>
    </row>
    <row r="23" customFormat="false" ht="15" hidden="false" customHeight="false" outlineLevel="0" collapsed="false">
      <c r="A23" s="13" t="s">
        <v>62</v>
      </c>
      <c r="B23" s="3" t="n">
        <v>6</v>
      </c>
      <c r="C23" s="3" t="n">
        <v>17085</v>
      </c>
      <c r="D23" s="14" t="n">
        <v>20215</v>
      </c>
      <c r="E23" s="3" t="n">
        <v>471308.5</v>
      </c>
      <c r="F23" s="15" t="n">
        <f aca="false">IF(C22=0,"",C23/C22-1)</f>
        <v>0.915358744394619</v>
      </c>
      <c r="G23" s="15" t="n">
        <f aca="false">IF(C11=0,"",C23/C11-1)</f>
        <v>-0.10633957526938</v>
      </c>
      <c r="H23" s="15" t="n">
        <f aca="false">IF(D22=0,"",D23/D22-1)</f>
        <v>1.08832644628099</v>
      </c>
      <c r="I23" s="15" t="n">
        <f aca="false">IF(D11=0,"",D23/D11-1)</f>
        <v>0.0317460317460319</v>
      </c>
      <c r="J23" s="3" t="n">
        <f aca="false">AVERAGE(D21:D23)</f>
        <v>13043</v>
      </c>
      <c r="K23" s="15" t="n">
        <f aca="false">D23/$B$2</f>
        <v>0.505375</v>
      </c>
      <c r="L23" s="3" t="n">
        <v>9985</v>
      </c>
      <c r="M23" s="3" t="n">
        <v>13115</v>
      </c>
    </row>
    <row r="24" customFormat="false" ht="15" hidden="false" customHeight="false" outlineLevel="0" collapsed="false">
      <c r="A24" s="13" t="s">
        <v>63</v>
      </c>
      <c r="B24" s="3" t="n">
        <v>9</v>
      </c>
      <c r="C24" s="3" t="n">
        <v>28872</v>
      </c>
      <c r="D24" s="14" t="n">
        <v>34046</v>
      </c>
      <c r="E24" s="3" t="n">
        <v>788178</v>
      </c>
      <c r="F24" s="15" t="n">
        <f aca="false">IF(C23=0,"",C24/C23-1)</f>
        <v>0.68990342405619</v>
      </c>
      <c r="G24" s="15" t="n">
        <f aca="false">IF(C12=0,"",C24/C12-1)</f>
        <v>1.92078907435508</v>
      </c>
      <c r="H24" s="15" t="n">
        <f aca="false">IF(D23=0,"",D24/D23-1)</f>
        <v>0.684194904773683</v>
      </c>
      <c r="I24" s="15" t="n">
        <f aca="false">IF(D12=0,"",D24/D12-1)</f>
        <v>2.17149510945505</v>
      </c>
      <c r="J24" s="3" t="n">
        <f aca="false">AVERAGE(D22:D24)</f>
        <v>21313.6666666667</v>
      </c>
      <c r="K24" s="15" t="n">
        <f aca="false">D24/$B$2</f>
        <v>0.85115</v>
      </c>
      <c r="L24" s="3" t="n">
        <v>18950</v>
      </c>
      <c r="M24" s="3" t="n">
        <v>24124</v>
      </c>
    </row>
    <row r="25" customFormat="false" ht="15" hidden="false" customHeight="false" outlineLevel="0" collapsed="false">
      <c r="A25" s="13" t="s">
        <v>64</v>
      </c>
      <c r="B25" s="3" t="n">
        <v>10</v>
      </c>
      <c r="C25" s="3" t="n">
        <v>18652</v>
      </c>
      <c r="D25" s="14" t="n">
        <v>26262</v>
      </c>
      <c r="E25" s="3" t="n">
        <v>645460.5</v>
      </c>
      <c r="F25" s="15" t="n">
        <f aca="false">IF(C24=0,"",C25/C24-1)</f>
        <v>-0.3539761706844</v>
      </c>
      <c r="G25" s="15" t="n">
        <f aca="false">IF(C13=0,"",C25/C13-1)</f>
        <v>0.37703949796973</v>
      </c>
      <c r="H25" s="15" t="n">
        <f aca="false">IF(D24=0,"",D25/D24-1)</f>
        <v>-0.228631851025084</v>
      </c>
      <c r="I25" s="15" t="n">
        <f aca="false">IF(D13=0,"",D25/D13-1)</f>
        <v>0.603786259541985</v>
      </c>
      <c r="J25" s="3" t="n">
        <f aca="false">AVERAGE(D23:D25)</f>
        <v>26841</v>
      </c>
      <c r="K25" s="15" t="n">
        <f aca="false">D25/$B$2</f>
        <v>0.65655</v>
      </c>
      <c r="L25" s="3" t="n">
        <v>15080</v>
      </c>
      <c r="M25" s="3" t="n">
        <v>22582</v>
      </c>
    </row>
    <row r="26" customFormat="false" ht="15" hidden="false" customHeight="false" outlineLevel="0" collapsed="false">
      <c r="A26" s="13" t="s">
        <v>65</v>
      </c>
      <c r="B26" s="3" t="n">
        <v>7</v>
      </c>
      <c r="C26" s="3" t="n">
        <v>23635</v>
      </c>
      <c r="D26" s="14" t="n">
        <v>31161</v>
      </c>
      <c r="E26" s="3" t="n">
        <v>818912</v>
      </c>
      <c r="F26" s="15" t="n">
        <f aca="false">IF(C25=0,"",C26/C25-1)</f>
        <v>0.267156337122024</v>
      </c>
      <c r="G26" s="15" t="n">
        <f aca="false">IF(C14=0,"",C26/C14-1)</f>
        <v>0.778672486453943</v>
      </c>
      <c r="H26" s="15" t="n">
        <f aca="false">IF(D25=0,"",D26/D25-1)</f>
        <v>0.186543294493946</v>
      </c>
      <c r="I26" s="15" t="n">
        <f aca="false">IF(D14=0,"",D26/D14-1)</f>
        <v>1.088818876525</v>
      </c>
      <c r="J26" s="3" t="n">
        <f aca="false">AVERAGE(D24:D26)</f>
        <v>30489.6666666667</v>
      </c>
      <c r="K26" s="15" t="n">
        <f aca="false">D26/$B$2</f>
        <v>0.779025</v>
      </c>
      <c r="L26" s="3" t="n">
        <v>17862</v>
      </c>
      <c r="M26" s="3" t="n">
        <v>25082</v>
      </c>
    </row>
    <row r="27" customFormat="false" ht="15" hidden="false" customHeight="false" outlineLevel="0" collapsed="false">
      <c r="A27" s="13" t="s">
        <v>66</v>
      </c>
      <c r="B27" s="3" t="n">
        <v>5</v>
      </c>
      <c r="C27" s="3" t="n">
        <v>39597</v>
      </c>
      <c r="D27" s="14" t="n">
        <v>50787</v>
      </c>
      <c r="E27" s="3" t="n">
        <v>1326257.5</v>
      </c>
      <c r="F27" s="15" t="n">
        <f aca="false">IF(C26=0,"",C27/C26-1)</f>
        <v>0.675354347366194</v>
      </c>
      <c r="G27" s="15" t="n">
        <f aca="false">IF(C15=0,"",C27/C15-1)</f>
        <v>0.397952338923213</v>
      </c>
      <c r="H27" s="15" t="n">
        <f aca="false">IF(D26=0,"",D27/D26-1)</f>
        <v>0.629825743718109</v>
      </c>
      <c r="I27" s="15" t="n">
        <f aca="false">IF(D15=0,"",D27/D15-1)</f>
        <v>0.61922525107604</v>
      </c>
      <c r="J27" s="3" t="n">
        <f aca="false">AVERAGE(D25:D27)</f>
        <v>36070</v>
      </c>
      <c r="K27" s="15" t="n">
        <f aca="false">D27/$B$2</f>
        <v>1.269675</v>
      </c>
      <c r="L27" s="3" t="n">
        <v>32195</v>
      </c>
      <c r="M27" s="3" t="n">
        <v>43385</v>
      </c>
    </row>
    <row r="28" customFormat="false" ht="15" hidden="false" customHeight="false" outlineLevel="0" collapsed="false">
      <c r="A28" s="13" t="s">
        <v>67</v>
      </c>
      <c r="B28" s="3" t="n">
        <v>8</v>
      </c>
      <c r="C28" s="3" t="n">
        <v>33760</v>
      </c>
      <c r="D28" s="14" t="n">
        <v>43084</v>
      </c>
      <c r="E28" s="3" t="n">
        <v>1170229.5</v>
      </c>
      <c r="F28" s="15" t="n">
        <f aca="false">IF(C27=0,"",C28/C27-1)</f>
        <v>-0.147410157335152</v>
      </c>
      <c r="G28" s="15" t="n">
        <f aca="false">IF(C16=0,"",C28/C16-1)</f>
        <v>0.0680164504903511</v>
      </c>
      <c r="H28" s="15" t="n">
        <f aca="false">IF(D27=0,"",D28/D27-1)</f>
        <v>-0.151672672140508</v>
      </c>
      <c r="I28" s="15" t="n">
        <f aca="false">IF(D16=0,"",D28/D16-1)</f>
        <v>0.159418729817008</v>
      </c>
      <c r="J28" s="3" t="n">
        <f aca="false">AVERAGE(D26:D28)</f>
        <v>41677.3333333333</v>
      </c>
      <c r="K28" s="15" t="n">
        <f aca="false">D28/$B$2</f>
        <v>1.0771</v>
      </c>
      <c r="L28" s="3" t="n">
        <v>29098</v>
      </c>
      <c r="M28" s="3" t="n">
        <v>38422</v>
      </c>
    </row>
    <row r="29" customFormat="false" ht="15" hidden="false" customHeight="false" outlineLevel="0" collapsed="false">
      <c r="A29" s="13" t="s">
        <v>68</v>
      </c>
      <c r="B29" s="3" t="n">
        <v>3</v>
      </c>
      <c r="C29" s="3" t="n">
        <v>25211</v>
      </c>
      <c r="D29" s="14" t="n">
        <v>29719</v>
      </c>
      <c r="E29" s="3" t="n">
        <v>1009887</v>
      </c>
      <c r="F29" s="15" t="n">
        <f aca="false">IF(C28=0,"",C29/C28-1)</f>
        <v>-0.253228672985782</v>
      </c>
      <c r="G29" s="15" t="n">
        <f aca="false">IF(C17=0,"",C29/C17-1)</f>
        <v>1.44600756767246</v>
      </c>
      <c r="H29" s="15" t="n">
        <f aca="false">IF(D28=0,"",D29/D28-1)</f>
        <v>-0.310207965834184</v>
      </c>
      <c r="I29" s="15" t="n">
        <f aca="false">IF(D17=0,"",D29/D17-1)</f>
        <v>1.72276683463124</v>
      </c>
      <c r="J29" s="3" t="n">
        <f aca="false">AVERAGE(D27:D29)</f>
        <v>41196.6666666667</v>
      </c>
      <c r="K29" s="15" t="n">
        <f aca="false">D29/$B$2</f>
        <v>0.742975</v>
      </c>
      <c r="L29" s="3" t="n">
        <v>8449</v>
      </c>
      <c r="M29" s="3" t="n">
        <v>12957</v>
      </c>
    </row>
    <row r="31" customFormat="false" ht="15" hidden="false" customHeight="false" outlineLevel="0" collapsed="false">
      <c r="A31" s="16" t="s">
        <v>69</v>
      </c>
    </row>
    <row r="32" customFormat="false" ht="15" hidden="false" customHeight="false" outlineLevel="0" collapsed="false">
      <c r="A32" s="17" t="s">
        <v>70</v>
      </c>
    </row>
  </sheetData>
  <conditionalFormatting sqref="F5:F29">
    <cfRule type="cellIs" priority="2" operator="lessThan" aboveAverage="0" equalAverage="0" bottom="0" percent="0" rank="0" text="" dxfId="2">
      <formula>0</formula>
    </cfRule>
    <cfRule type="cellIs" priority="3" operator="greaterThan" aboveAverage="0" equalAverage="0" bottom="0" percent="0" rank="0" text="" dxfId="3">
      <formula>0</formula>
    </cfRule>
  </conditionalFormatting>
  <conditionalFormatting sqref="G5:G29">
    <cfRule type="cellIs" priority="4" operator="lessThan" aboveAverage="0" equalAverage="0" bottom="0" percent="0" rank="0" text="" dxfId="2">
      <formula>0</formula>
    </cfRule>
    <cfRule type="cellIs" priority="5" operator="greaterThan" aboveAverage="0" equalAverage="0" bottom="0" percent="0" rank="0" text="" dxfId="3">
      <formula>0</formula>
    </cfRule>
  </conditionalFormatting>
  <conditionalFormatting sqref="H5:H29">
    <cfRule type="cellIs" priority="6" operator="lessThan" aboveAverage="0" equalAverage="0" bottom="0" percent="0" rank="0" text="" dxfId="2">
      <formula>0</formula>
    </cfRule>
    <cfRule type="cellIs" priority="7" operator="greaterThan" aboveAverage="0" equalAverage="0" bottom="0" percent="0" rank="0" text="" dxfId="3">
      <formula>0</formula>
    </cfRule>
  </conditionalFormatting>
  <conditionalFormatting sqref="I5:I29">
    <cfRule type="cellIs" priority="8" operator="lessThan" aboveAverage="0" equalAverage="0" bottom="0" percent="0" rank="0" text="" dxfId="2">
      <formula>0</formula>
    </cfRule>
    <cfRule type="cellIs" priority="9" operator="greaterThan" aboveAverage="0" equalAverage="0" bottom="0" percent="0" rank="0" text="" dxfId="3">
      <formula>0</formula>
    </cfRule>
  </conditionalFormatting>
  <conditionalFormatting sqref="K5:K29">
    <cfRule type="cellIs" priority="10" operator="greaterThanOrEqual" aboveAverage="0" equalAverage="0" bottom="0" percent="0" rank="0" text="" dxfId="0">
      <formula>1</formula>
    </cfRule>
  </conditionalFormatting>
  <conditionalFormatting sqref="D5:D29">
    <cfRule type="cellIs" priority="11" operator="greaterThanOrEqual" aboveAverage="0" equalAverage="0" bottom="0" percent="0" rank="0" text="" dxfId="0">
      <formula>$B$2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</cols>
  <sheetData>
    <row r="1" customFormat="false" ht="30" hidden="false" customHeight="true" outlineLevel="0" collapsed="false">
      <c r="A1" s="2" t="s">
        <v>71</v>
      </c>
      <c r="B1" s="2" t="s">
        <v>72</v>
      </c>
      <c r="C1" s="2" t="s">
        <v>32</v>
      </c>
      <c r="D1" s="2" t="s">
        <v>73</v>
      </c>
      <c r="E1" s="2" t="s">
        <v>34</v>
      </c>
      <c r="F1" s="2" t="s">
        <v>35</v>
      </c>
      <c r="G1" s="2" t="s">
        <v>74</v>
      </c>
      <c r="H1" s="2" t="s">
        <v>75</v>
      </c>
      <c r="I1" s="2" t="s">
        <v>37</v>
      </c>
      <c r="J1" s="2" t="s">
        <v>39</v>
      </c>
      <c r="K1" s="2" t="s">
        <v>76</v>
      </c>
      <c r="L1" s="18" t="s">
        <v>77</v>
      </c>
      <c r="M1" s="2" t="s">
        <v>78</v>
      </c>
    </row>
    <row r="2" customFormat="false" ht="15" hidden="false" customHeight="false" outlineLevel="0" collapsed="false">
      <c r="A2" s="13" t="s">
        <v>79</v>
      </c>
      <c r="B2" s="13" t="n">
        <v>12</v>
      </c>
      <c r="C2" s="3" t="n">
        <f aca="false">SUM(月度汇总!B5:B16)</f>
        <v>67</v>
      </c>
      <c r="D2" s="3" t="n">
        <f aca="false">SUM(月度汇总!C5:C16)</f>
        <v>145634</v>
      </c>
      <c r="E2" s="3" t="n">
        <f aca="false">SUM(月度汇总!D5:D16)</f>
        <v>160009</v>
      </c>
      <c r="F2" s="3" t="n">
        <f aca="false">SUM(月度汇总!E5:E16)</f>
        <v>4928609.5</v>
      </c>
      <c r="G2" s="3" t="n">
        <f aca="false">D2/B2</f>
        <v>12136.1666666667</v>
      </c>
      <c r="H2" s="3" t="n">
        <f aca="false">E2/B2</f>
        <v>13334.0833333333</v>
      </c>
      <c r="I2" s="15"/>
      <c r="J2" s="15"/>
      <c r="K2" s="15"/>
      <c r="L2" s="13" t="n">
        <f aca="false">COUNTIF(月度汇总!D5:D16,"&gt;="&amp;月度汇总!$B$2)</f>
        <v>0</v>
      </c>
      <c r="M2" s="3" t="n">
        <f aca="false">MAX(月度汇总!D5:D16)</f>
        <v>37160</v>
      </c>
    </row>
    <row r="3" customFormat="false" ht="15" hidden="false" customHeight="false" outlineLevel="0" collapsed="false">
      <c r="A3" s="13" t="s">
        <v>80</v>
      </c>
      <c r="B3" s="13" t="n">
        <v>12</v>
      </c>
      <c r="C3" s="3" t="n">
        <f aca="false">SUM(月度汇总!B17:B28)</f>
        <v>76</v>
      </c>
      <c r="D3" s="3" t="n">
        <f aca="false">SUM(月度汇总!C17:C28)</f>
        <v>240890</v>
      </c>
      <c r="E3" s="3" t="n">
        <f aca="false">SUM(月度汇总!D17:D28)</f>
        <v>289262</v>
      </c>
      <c r="F3" s="3" t="n">
        <f aca="false">SUM(月度汇总!E17:E28)</f>
        <v>7859176</v>
      </c>
      <c r="G3" s="3" t="n">
        <f aca="false">D3/B3</f>
        <v>20074.1666666667</v>
      </c>
      <c r="H3" s="3" t="n">
        <f aca="false">E3/B3</f>
        <v>24105.1666666667</v>
      </c>
      <c r="I3" s="15" t="n">
        <f aca="false">D3/D2-1</f>
        <v>0.654078031228971</v>
      </c>
      <c r="J3" s="15" t="n">
        <f aca="false">E3/E2-1</f>
        <v>0.807785812048072</v>
      </c>
      <c r="K3" s="15" t="n">
        <f aca="false">F3/F2-1</f>
        <v>0.594603102558643</v>
      </c>
      <c r="L3" s="13" t="n">
        <f aca="false">COUNTIF(月度汇总!D17:D28,"&gt;="&amp;月度汇总!$B$2)</f>
        <v>3</v>
      </c>
      <c r="M3" s="3" t="n">
        <f aca="false">MAX(月度汇总!D17:D28)</f>
        <v>50787</v>
      </c>
    </row>
    <row r="4" customFormat="false" ht="15" hidden="false" customHeight="false" outlineLevel="0" collapsed="false">
      <c r="A4" s="13" t="s">
        <v>81</v>
      </c>
      <c r="B4" s="13" t="n">
        <v>1</v>
      </c>
      <c r="C4" s="3" t="n">
        <f aca="false">SUM(月度汇总!B29:B29)</f>
        <v>3</v>
      </c>
      <c r="D4" s="3" t="n">
        <f aca="false">SUM(月度汇总!C29:C29)</f>
        <v>25211</v>
      </c>
      <c r="E4" s="3" t="n">
        <f aca="false">SUM(月度汇总!D29:D29)</f>
        <v>29719</v>
      </c>
      <c r="F4" s="3" t="n">
        <f aca="false">SUM(月度汇总!E29:E29)</f>
        <v>1009887</v>
      </c>
      <c r="G4" s="3" t="n">
        <f aca="false">D4/B4</f>
        <v>25211</v>
      </c>
      <c r="H4" s="3" t="n">
        <f aca="false">E4/B4</f>
        <v>29719</v>
      </c>
      <c r="I4" s="15"/>
      <c r="J4" s="15"/>
      <c r="K4" s="15"/>
      <c r="L4" s="13" t="n">
        <f aca="false">COUNTIF(月度汇总!D29:D29,"&gt;="&amp;月度汇总!$B$2)</f>
        <v>0</v>
      </c>
      <c r="M4" s="3" t="n">
        <f aca="false">MAX(月度汇总!D29:D29)</f>
        <v>29719</v>
      </c>
    </row>
    <row r="5" customFormat="false" ht="15" hidden="false" customHeight="false" outlineLevel="0" collapsed="false">
      <c r="A5" s="13" t="s">
        <v>82</v>
      </c>
      <c r="B5" s="13"/>
      <c r="C5" s="3"/>
      <c r="D5" s="3"/>
      <c r="E5" s="3"/>
      <c r="F5" s="3"/>
      <c r="G5" s="3"/>
      <c r="H5" s="3"/>
      <c r="I5" s="15" t="n">
        <f aca="false">月度汇总!C29/月度汇总!C17-1</f>
        <v>1.44600756767246</v>
      </c>
      <c r="J5" s="15"/>
      <c r="K5" s="15"/>
      <c r="L5" s="13"/>
      <c r="M5" s="3"/>
    </row>
    <row r="6" customFormat="false" ht="15" hidden="false" customHeight="false" outlineLevel="0" collapsed="false">
      <c r="A6" s="13" t="s">
        <v>83</v>
      </c>
      <c r="B6" s="13"/>
      <c r="C6" s="3"/>
      <c r="D6" s="3"/>
      <c r="E6" s="3"/>
      <c r="F6" s="3"/>
      <c r="G6" s="3"/>
      <c r="H6" s="3"/>
      <c r="I6" s="15"/>
      <c r="J6" s="15" t="n">
        <f aca="false">月度汇总!D29/月度汇总!D17-1</f>
        <v>1.72276683463124</v>
      </c>
      <c r="K6" s="15"/>
      <c r="L6" s="13"/>
      <c r="M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2"/>
  </cols>
  <sheetData>
    <row r="1" customFormat="false" ht="28.35" hidden="false" customHeight="false" outlineLevel="0" collapsed="false">
      <c r="A1" s="2" t="s">
        <v>31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18" t="s">
        <v>90</v>
      </c>
      <c r="I1" s="2" t="s">
        <v>91</v>
      </c>
    </row>
    <row r="2" customFormat="false" ht="15" hidden="false" customHeight="false" outlineLevel="0" collapsed="false">
      <c r="A2" s="13" t="s">
        <v>44</v>
      </c>
      <c r="B2" s="3" t="n">
        <v>4925</v>
      </c>
      <c r="C2" s="3" t="n">
        <v>0</v>
      </c>
      <c r="D2" s="3" t="n">
        <v>0</v>
      </c>
      <c r="E2" s="3" t="n">
        <v>965</v>
      </c>
      <c r="F2" s="3" t="n">
        <v>0</v>
      </c>
      <c r="G2" s="3" t="n">
        <v>0</v>
      </c>
      <c r="H2" s="3" t="n">
        <v>0</v>
      </c>
      <c r="I2" s="3" t="n">
        <f aca="false">SUM(B2:H2)</f>
        <v>5890</v>
      </c>
    </row>
    <row r="3" customFormat="false" ht="15" hidden="false" customHeight="false" outlineLevel="0" collapsed="false">
      <c r="A3" s="13" t="s">
        <v>45</v>
      </c>
      <c r="B3" s="3" t="n">
        <v>6641</v>
      </c>
      <c r="C3" s="3" t="n">
        <v>0</v>
      </c>
      <c r="D3" s="3" t="n">
        <v>0</v>
      </c>
      <c r="E3" s="3" t="n">
        <v>600</v>
      </c>
      <c r="F3" s="3" t="n">
        <v>0</v>
      </c>
      <c r="G3" s="3" t="n">
        <v>0</v>
      </c>
      <c r="H3" s="3" t="n">
        <v>0</v>
      </c>
      <c r="I3" s="3" t="n">
        <f aca="false">SUM(B3:H3)</f>
        <v>7241</v>
      </c>
    </row>
    <row r="4" customFormat="false" ht="15" hidden="false" customHeight="false" outlineLevel="0" collapsed="false">
      <c r="A4" s="13" t="s">
        <v>46</v>
      </c>
      <c r="B4" s="3" t="n">
        <v>1815</v>
      </c>
      <c r="C4" s="3" t="n">
        <v>2000</v>
      </c>
      <c r="D4" s="3" t="n">
        <v>0</v>
      </c>
      <c r="E4" s="3" t="n">
        <v>515</v>
      </c>
      <c r="F4" s="3" t="n">
        <v>0</v>
      </c>
      <c r="G4" s="3" t="n">
        <v>0</v>
      </c>
      <c r="H4" s="3" t="n">
        <v>0</v>
      </c>
      <c r="I4" s="3" t="n">
        <f aca="false">SUM(B4:H4)</f>
        <v>4330</v>
      </c>
    </row>
    <row r="5" customFormat="false" ht="15" hidden="false" customHeight="false" outlineLevel="0" collapsed="false">
      <c r="A5" s="13" t="s">
        <v>47</v>
      </c>
      <c r="B5" s="3" t="n">
        <v>2615</v>
      </c>
      <c r="C5" s="3" t="n">
        <v>0</v>
      </c>
      <c r="D5" s="3" t="n">
        <v>0</v>
      </c>
      <c r="E5" s="3" t="n">
        <v>1675</v>
      </c>
      <c r="F5" s="3" t="n">
        <v>0</v>
      </c>
      <c r="G5" s="3" t="n">
        <v>0</v>
      </c>
      <c r="H5" s="3" t="n">
        <v>0</v>
      </c>
      <c r="I5" s="3" t="n">
        <f aca="false">SUM(B5:H5)</f>
        <v>4290</v>
      </c>
    </row>
    <row r="6" customFormat="false" ht="15" hidden="false" customHeight="false" outlineLevel="0" collapsed="false">
      <c r="A6" s="13" t="s">
        <v>48</v>
      </c>
      <c r="B6" s="3" t="n">
        <v>1259</v>
      </c>
      <c r="C6" s="3" t="n">
        <v>3000</v>
      </c>
      <c r="D6" s="3" t="n">
        <v>0</v>
      </c>
      <c r="E6" s="3" t="n">
        <v>1055</v>
      </c>
      <c r="F6" s="3" t="n">
        <v>0</v>
      </c>
      <c r="G6" s="3" t="n">
        <v>0</v>
      </c>
      <c r="H6" s="3" t="n">
        <v>0</v>
      </c>
      <c r="I6" s="3" t="n">
        <f aca="false">SUM(B6:H6)</f>
        <v>5314</v>
      </c>
    </row>
    <row r="7" customFormat="false" ht="15" hidden="false" customHeight="false" outlineLevel="0" collapsed="false">
      <c r="A7" s="13" t="s">
        <v>49</v>
      </c>
      <c r="B7" s="3" t="n">
        <v>1168</v>
      </c>
      <c r="C7" s="3" t="n">
        <v>0</v>
      </c>
      <c r="D7" s="3" t="n">
        <v>0</v>
      </c>
      <c r="E7" s="3" t="n">
        <v>1630</v>
      </c>
      <c r="F7" s="3" t="n">
        <v>0</v>
      </c>
      <c r="G7" s="3" t="n">
        <v>0</v>
      </c>
      <c r="H7" s="3" t="n">
        <v>0</v>
      </c>
      <c r="I7" s="3" t="n">
        <f aca="false">SUM(B7:H7)</f>
        <v>2798</v>
      </c>
    </row>
    <row r="8" customFormat="false" ht="15" hidden="false" customHeight="false" outlineLevel="0" collapsed="false">
      <c r="A8" s="13" t="s">
        <v>50</v>
      </c>
      <c r="B8" s="3" t="n">
        <v>13938</v>
      </c>
      <c r="C8" s="3" t="n">
        <v>2260</v>
      </c>
      <c r="D8" s="3" t="n">
        <v>0</v>
      </c>
      <c r="E8" s="3" t="n">
        <v>2920</v>
      </c>
      <c r="F8" s="3" t="n">
        <v>0</v>
      </c>
      <c r="G8" s="3" t="n">
        <v>0</v>
      </c>
      <c r="H8" s="3" t="n">
        <v>0</v>
      </c>
      <c r="I8" s="3" t="n">
        <f aca="false">SUM(B8:H8)</f>
        <v>19118</v>
      </c>
    </row>
    <row r="9" customFormat="false" ht="15" hidden="false" customHeight="false" outlineLevel="0" collapsed="false">
      <c r="A9" s="13" t="s">
        <v>51</v>
      </c>
      <c r="B9" s="3" t="n">
        <v>8847</v>
      </c>
      <c r="C9" s="3" t="n">
        <v>38</v>
      </c>
      <c r="D9" s="3" t="n">
        <v>0</v>
      </c>
      <c r="E9" s="3" t="n">
        <v>1000</v>
      </c>
      <c r="F9" s="3" t="n">
        <v>0</v>
      </c>
      <c r="G9" s="3" t="n">
        <v>0</v>
      </c>
      <c r="H9" s="3" t="n">
        <v>0</v>
      </c>
      <c r="I9" s="3" t="n">
        <f aca="false">SUM(B9:H9)</f>
        <v>9885</v>
      </c>
    </row>
    <row r="10" customFormat="false" ht="15" hidden="false" customHeight="false" outlineLevel="0" collapsed="false">
      <c r="A10" s="13" t="s">
        <v>52</v>
      </c>
      <c r="B10" s="3" t="n">
        <v>13465</v>
      </c>
      <c r="C10" s="3" t="n">
        <v>0</v>
      </c>
      <c r="D10" s="3" t="n">
        <v>0</v>
      </c>
      <c r="E10" s="3" t="n">
        <v>80</v>
      </c>
      <c r="F10" s="3" t="n">
        <v>0</v>
      </c>
      <c r="G10" s="3" t="n">
        <v>0</v>
      </c>
      <c r="H10" s="3" t="n">
        <v>0</v>
      </c>
      <c r="I10" s="3" t="n">
        <f aca="false">SUM(B10:H10)</f>
        <v>13545</v>
      </c>
    </row>
    <row r="11" customFormat="false" ht="15" hidden="false" customHeight="false" outlineLevel="0" collapsed="false">
      <c r="A11" s="13" t="s">
        <v>53</v>
      </c>
      <c r="B11" s="3" t="n">
        <v>11288</v>
      </c>
      <c r="C11" s="3" t="n">
        <v>0</v>
      </c>
      <c r="D11" s="3" t="n">
        <v>0</v>
      </c>
      <c r="E11" s="3" t="n">
        <v>2000</v>
      </c>
      <c r="F11" s="3" t="n">
        <v>0</v>
      </c>
      <c r="G11" s="3" t="n">
        <v>0</v>
      </c>
      <c r="H11" s="3" t="n">
        <v>0</v>
      </c>
      <c r="I11" s="3" t="n">
        <f aca="false">SUM(B11:H11)</f>
        <v>13288</v>
      </c>
    </row>
    <row r="12" customFormat="false" ht="15" hidden="false" customHeight="false" outlineLevel="0" collapsed="false">
      <c r="A12" s="13" t="s">
        <v>54</v>
      </c>
      <c r="B12" s="3" t="n">
        <v>28325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f aca="false">SUM(B12:H12)</f>
        <v>28325</v>
      </c>
    </row>
    <row r="13" customFormat="false" ht="15" hidden="false" customHeight="false" outlineLevel="0" collapsed="false">
      <c r="A13" s="13" t="s">
        <v>55</v>
      </c>
      <c r="B13" s="3" t="n">
        <v>29360</v>
      </c>
      <c r="C13" s="3" t="n">
        <v>0</v>
      </c>
      <c r="D13" s="3" t="n">
        <v>1150</v>
      </c>
      <c r="E13" s="3" t="n">
        <v>1100</v>
      </c>
      <c r="F13" s="3" t="n">
        <v>0</v>
      </c>
      <c r="G13" s="3" t="n">
        <v>0</v>
      </c>
      <c r="H13" s="3" t="n">
        <v>0</v>
      </c>
      <c r="I13" s="3" t="n">
        <f aca="false">SUM(B13:H13)</f>
        <v>31610</v>
      </c>
    </row>
    <row r="14" customFormat="false" ht="15" hidden="false" customHeight="false" outlineLevel="0" collapsed="false">
      <c r="A14" s="13" t="s">
        <v>56</v>
      </c>
      <c r="B14" s="3" t="n">
        <v>7987</v>
      </c>
      <c r="C14" s="3" t="n">
        <v>0</v>
      </c>
      <c r="D14" s="3" t="n">
        <v>2280</v>
      </c>
      <c r="E14" s="3" t="n">
        <v>40</v>
      </c>
      <c r="F14" s="3" t="n">
        <v>0</v>
      </c>
      <c r="G14" s="3" t="n">
        <v>0</v>
      </c>
      <c r="H14" s="3" t="n">
        <v>0</v>
      </c>
      <c r="I14" s="3" t="n">
        <f aca="false">SUM(B14:H14)</f>
        <v>10307</v>
      </c>
    </row>
    <row r="15" customFormat="false" ht="15" hidden="false" customHeight="false" outlineLevel="0" collapsed="false">
      <c r="A15" s="13" t="s">
        <v>57</v>
      </c>
      <c r="B15" s="3" t="n">
        <v>5172</v>
      </c>
      <c r="C15" s="3" t="n">
        <v>31632</v>
      </c>
      <c r="D15" s="3" t="n">
        <v>0</v>
      </c>
      <c r="E15" s="3" t="n">
        <v>1650</v>
      </c>
      <c r="F15" s="3" t="n">
        <v>1968</v>
      </c>
      <c r="G15" s="3" t="n">
        <v>0</v>
      </c>
      <c r="H15" s="3" t="n">
        <v>0</v>
      </c>
      <c r="I15" s="3" t="n">
        <f aca="false">SUM(B15:H15)</f>
        <v>40422</v>
      </c>
    </row>
    <row r="16" customFormat="false" ht="15" hidden="false" customHeight="false" outlineLevel="0" collapsed="false">
      <c r="A16" s="13" t="s">
        <v>58</v>
      </c>
      <c r="B16" s="3" t="n">
        <v>1292</v>
      </c>
      <c r="C16" s="3" t="n">
        <v>0</v>
      </c>
      <c r="D16" s="3" t="n">
        <v>450</v>
      </c>
      <c r="E16" s="3" t="n">
        <v>1320</v>
      </c>
      <c r="F16" s="3" t="n">
        <v>0</v>
      </c>
      <c r="G16" s="3" t="n">
        <v>0</v>
      </c>
      <c r="H16" s="3" t="n">
        <v>0</v>
      </c>
      <c r="I16" s="3" t="n">
        <f aca="false">SUM(B16:H16)</f>
        <v>3062</v>
      </c>
    </row>
    <row r="17" customFormat="false" ht="15" hidden="false" customHeight="false" outlineLevel="0" collapsed="false">
      <c r="A17" s="13" t="s">
        <v>59</v>
      </c>
      <c r="B17" s="3" t="n">
        <v>3174</v>
      </c>
      <c r="C17" s="3" t="n">
        <v>0</v>
      </c>
      <c r="D17" s="3" t="n">
        <v>2850</v>
      </c>
      <c r="E17" s="3" t="n">
        <v>1610</v>
      </c>
      <c r="F17" s="3" t="n">
        <v>540</v>
      </c>
      <c r="G17" s="3" t="n">
        <v>460</v>
      </c>
      <c r="H17" s="3" t="n">
        <v>0</v>
      </c>
      <c r="I17" s="3" t="n">
        <f aca="false">SUM(B17:H17)</f>
        <v>8634</v>
      </c>
    </row>
    <row r="18" customFormat="false" ht="15" hidden="false" customHeight="false" outlineLevel="0" collapsed="false">
      <c r="A18" s="13" t="s">
        <v>60</v>
      </c>
      <c r="B18" s="3" t="n">
        <v>3612</v>
      </c>
      <c r="C18" s="3" t="n">
        <v>0</v>
      </c>
      <c r="D18" s="3" t="n">
        <v>1450</v>
      </c>
      <c r="E18" s="3" t="n">
        <v>330</v>
      </c>
      <c r="F18" s="3" t="n">
        <v>2552</v>
      </c>
      <c r="G18" s="3" t="n">
        <v>0</v>
      </c>
      <c r="H18" s="3" t="n">
        <v>0</v>
      </c>
      <c r="I18" s="3" t="n">
        <f aca="false">SUM(B18:H18)</f>
        <v>7944</v>
      </c>
    </row>
    <row r="19" customFormat="false" ht="15" hidden="false" customHeight="false" outlineLevel="0" collapsed="false">
      <c r="A19" s="13" t="s">
        <v>61</v>
      </c>
      <c r="B19" s="3" t="n">
        <v>3302</v>
      </c>
      <c r="C19" s="3" t="n">
        <v>0</v>
      </c>
      <c r="D19" s="3" t="n">
        <v>3930</v>
      </c>
      <c r="E19" s="3" t="n">
        <v>300</v>
      </c>
      <c r="F19" s="3" t="n">
        <v>1388</v>
      </c>
      <c r="G19" s="3" t="n">
        <v>0</v>
      </c>
      <c r="H19" s="3" t="n">
        <v>0</v>
      </c>
      <c r="I19" s="3" t="n">
        <f aca="false">SUM(B19:H19)</f>
        <v>8920</v>
      </c>
    </row>
    <row r="20" customFormat="false" ht="15" hidden="false" customHeight="false" outlineLevel="0" collapsed="false">
      <c r="A20" s="13" t="s">
        <v>62</v>
      </c>
      <c r="B20" s="3" t="n">
        <v>9985</v>
      </c>
      <c r="C20" s="3" t="n">
        <v>0</v>
      </c>
      <c r="D20" s="3" t="n">
        <v>2550</v>
      </c>
      <c r="E20" s="3" t="n">
        <v>2470</v>
      </c>
      <c r="F20" s="3" t="n">
        <v>2080</v>
      </c>
      <c r="G20" s="3" t="n">
        <v>0</v>
      </c>
      <c r="H20" s="3" t="n">
        <v>0</v>
      </c>
      <c r="I20" s="3" t="n">
        <f aca="false">SUM(B20:H20)</f>
        <v>17085</v>
      </c>
    </row>
    <row r="21" customFormat="false" ht="15" hidden="false" customHeight="false" outlineLevel="0" collapsed="false">
      <c r="A21" s="13" t="s">
        <v>63</v>
      </c>
      <c r="B21" s="3" t="n">
        <v>18950</v>
      </c>
      <c r="C21" s="3" t="n">
        <v>0</v>
      </c>
      <c r="D21" s="3" t="n">
        <v>4650</v>
      </c>
      <c r="E21" s="3" t="n">
        <v>2940</v>
      </c>
      <c r="F21" s="3" t="n">
        <v>1188</v>
      </c>
      <c r="G21" s="3" t="n">
        <v>1144</v>
      </c>
      <c r="H21" s="3" t="n">
        <v>0</v>
      </c>
      <c r="I21" s="3" t="n">
        <f aca="false">SUM(B21:H21)</f>
        <v>28872</v>
      </c>
    </row>
    <row r="22" customFormat="false" ht="15" hidden="false" customHeight="false" outlineLevel="0" collapsed="false">
      <c r="A22" s="13" t="s">
        <v>64</v>
      </c>
      <c r="B22" s="3" t="n">
        <v>15080</v>
      </c>
      <c r="C22" s="3" t="n">
        <v>0</v>
      </c>
      <c r="D22" s="3" t="n">
        <v>2250</v>
      </c>
      <c r="E22" s="3" t="n">
        <v>750</v>
      </c>
      <c r="F22" s="3" t="n">
        <v>252</v>
      </c>
      <c r="G22" s="3" t="n">
        <v>320</v>
      </c>
      <c r="H22" s="3" t="n">
        <v>0</v>
      </c>
      <c r="I22" s="3" t="n">
        <f aca="false">SUM(B22:H22)</f>
        <v>18652</v>
      </c>
    </row>
    <row r="23" customFormat="false" ht="15" hidden="false" customHeight="false" outlineLevel="0" collapsed="false">
      <c r="A23" s="13" t="s">
        <v>65</v>
      </c>
      <c r="B23" s="3" t="n">
        <v>17862</v>
      </c>
      <c r="C23" s="3" t="n">
        <v>0</v>
      </c>
      <c r="D23" s="3" t="n">
        <v>3750</v>
      </c>
      <c r="E23" s="3" t="n">
        <v>650</v>
      </c>
      <c r="F23" s="3" t="n">
        <v>1134</v>
      </c>
      <c r="G23" s="3" t="n">
        <v>39</v>
      </c>
      <c r="H23" s="3" t="n">
        <v>200</v>
      </c>
      <c r="I23" s="3" t="n">
        <f aca="false">SUM(B23:H23)</f>
        <v>23635</v>
      </c>
    </row>
    <row r="24" customFormat="false" ht="15" hidden="false" customHeight="false" outlineLevel="0" collapsed="false">
      <c r="A24" s="13" t="s">
        <v>66</v>
      </c>
      <c r="B24" s="3" t="n">
        <v>32195</v>
      </c>
      <c r="C24" s="3" t="n">
        <v>0</v>
      </c>
      <c r="D24" s="3" t="n">
        <v>5000</v>
      </c>
      <c r="E24" s="3" t="n">
        <v>1350</v>
      </c>
      <c r="F24" s="3" t="n">
        <v>612</v>
      </c>
      <c r="G24" s="3" t="n">
        <v>440</v>
      </c>
      <c r="H24" s="3" t="n">
        <v>0</v>
      </c>
      <c r="I24" s="3" t="n">
        <f aca="false">SUM(B24:H24)</f>
        <v>39597</v>
      </c>
    </row>
    <row r="25" customFormat="false" ht="15" hidden="false" customHeight="false" outlineLevel="0" collapsed="false">
      <c r="A25" s="13" t="s">
        <v>67</v>
      </c>
      <c r="B25" s="3" t="n">
        <v>29098</v>
      </c>
      <c r="C25" s="3" t="n">
        <v>0</v>
      </c>
      <c r="D25" s="3" t="n">
        <v>1950</v>
      </c>
      <c r="E25" s="3" t="n">
        <v>600</v>
      </c>
      <c r="F25" s="3" t="n">
        <v>2112</v>
      </c>
      <c r="G25" s="3" t="n">
        <v>0</v>
      </c>
      <c r="H25" s="3" t="n">
        <v>0</v>
      </c>
      <c r="I25" s="3" t="n">
        <f aca="false">SUM(B25:H25)</f>
        <v>33760</v>
      </c>
    </row>
    <row r="26" customFormat="false" ht="15" hidden="false" customHeight="false" outlineLevel="0" collapsed="false">
      <c r="A26" s="13" t="s">
        <v>68</v>
      </c>
      <c r="B26" s="3" t="n">
        <v>8449</v>
      </c>
      <c r="C26" s="3" t="n">
        <v>14712</v>
      </c>
      <c r="D26" s="3" t="n">
        <v>1200</v>
      </c>
      <c r="E26" s="3" t="n">
        <v>850</v>
      </c>
      <c r="F26" s="3" t="n">
        <v>0</v>
      </c>
      <c r="G26" s="3" t="n">
        <v>0</v>
      </c>
      <c r="H26" s="3" t="n">
        <v>0</v>
      </c>
      <c r="I26" s="3" t="n">
        <f aca="false">SUM(B26:H26)</f>
        <v>25211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70"/>
    <col collapsed="false" customWidth="true" hidden="false" outlineLevel="0" max="7" min="3" style="0" width="12"/>
  </cols>
  <sheetData>
    <row r="1" customFormat="false" ht="15" hidden="false" customHeight="false" outlineLevel="0" collapsed="false">
      <c r="A1" s="18" t="s">
        <v>92</v>
      </c>
      <c r="B1" s="2" t="s">
        <v>93</v>
      </c>
      <c r="C1" s="2" t="s">
        <v>94</v>
      </c>
      <c r="D1" s="2" t="s">
        <v>73</v>
      </c>
      <c r="E1" s="2" t="s">
        <v>34</v>
      </c>
      <c r="F1" s="2" t="s">
        <v>35</v>
      </c>
      <c r="G1" s="2" t="s">
        <v>95</v>
      </c>
    </row>
    <row r="2" customFormat="false" ht="15" hidden="false" customHeight="false" outlineLevel="0" collapsed="false">
      <c r="A2" s="0" t="s">
        <v>96</v>
      </c>
      <c r="B2" s="0" t="s">
        <v>97</v>
      </c>
      <c r="C2" s="8" t="s">
        <v>86</v>
      </c>
      <c r="D2" s="7" t="n">
        <v>33460</v>
      </c>
      <c r="E2" s="7" t="n">
        <v>33460</v>
      </c>
      <c r="F2" s="7" t="n">
        <v>501900</v>
      </c>
      <c r="G2" s="19" t="n">
        <v>0.0698553205703668</v>
      </c>
    </row>
    <row r="3" customFormat="false" ht="15" hidden="false" customHeight="false" outlineLevel="0" collapsed="false">
      <c r="A3" s="0" t="s">
        <v>98</v>
      </c>
      <c r="B3" s="0" t="s">
        <v>99</v>
      </c>
      <c r="C3" s="8" t="s">
        <v>84</v>
      </c>
      <c r="D3" s="7" t="n">
        <v>12552</v>
      </c>
      <c r="E3" s="7" t="n">
        <v>25104</v>
      </c>
      <c r="F3" s="7" t="n">
        <v>568680</v>
      </c>
      <c r="G3" s="19" t="n">
        <v>0.0524102799640911</v>
      </c>
    </row>
    <row r="4" customFormat="false" ht="15" hidden="false" customHeight="false" outlineLevel="0" collapsed="false">
      <c r="A4" s="0" t="s">
        <v>100</v>
      </c>
      <c r="B4" s="0" t="s">
        <v>101</v>
      </c>
      <c r="C4" s="8" t="s">
        <v>84</v>
      </c>
      <c r="D4" s="7" t="n">
        <v>11732</v>
      </c>
      <c r="E4" s="7" t="n">
        <v>23464</v>
      </c>
      <c r="F4" s="7" t="n">
        <v>529940</v>
      </c>
      <c r="G4" s="19" t="n">
        <v>0.0489864089020648</v>
      </c>
    </row>
    <row r="5" customFormat="false" ht="15" hidden="false" customHeight="false" outlineLevel="0" collapsed="false">
      <c r="A5" s="0" t="s">
        <v>102</v>
      </c>
      <c r="B5" s="0" t="s">
        <v>103</v>
      </c>
      <c r="C5" s="8" t="s">
        <v>87</v>
      </c>
      <c r="D5" s="7" t="n">
        <v>22545</v>
      </c>
      <c r="E5" s="7" t="n">
        <v>22545</v>
      </c>
      <c r="F5" s="7" t="n">
        <v>331730</v>
      </c>
      <c r="G5" s="19" t="n">
        <v>0.0470677884715756</v>
      </c>
    </row>
    <row r="6" customFormat="false" ht="15" hidden="false" customHeight="false" outlineLevel="0" collapsed="false">
      <c r="A6" s="0" t="s">
        <v>104</v>
      </c>
      <c r="B6" s="0" t="s">
        <v>105</v>
      </c>
      <c r="C6" s="8" t="s">
        <v>84</v>
      </c>
      <c r="D6" s="7" t="n">
        <v>18892</v>
      </c>
      <c r="E6" s="7" t="n">
        <v>18892</v>
      </c>
      <c r="F6" s="7" t="n">
        <v>591132</v>
      </c>
      <c r="G6" s="19" t="n">
        <v>0.0394413244535377</v>
      </c>
    </row>
    <row r="7" customFormat="false" ht="15" hidden="false" customHeight="false" outlineLevel="0" collapsed="false">
      <c r="A7" s="0" t="s">
        <v>106</v>
      </c>
      <c r="B7" s="0" t="s">
        <v>107</v>
      </c>
      <c r="C7" s="8" t="s">
        <v>84</v>
      </c>
      <c r="D7" s="7" t="n">
        <v>16275</v>
      </c>
      <c r="E7" s="7" t="n">
        <v>16275</v>
      </c>
      <c r="F7" s="7" t="n">
        <v>382087.5</v>
      </c>
      <c r="G7" s="19" t="n">
        <v>0.0339777448380968</v>
      </c>
    </row>
    <row r="8" customFormat="false" ht="15" hidden="false" customHeight="false" outlineLevel="0" collapsed="false">
      <c r="A8" s="0" t="s">
        <v>108</v>
      </c>
      <c r="B8" s="0" t="s">
        <v>109</v>
      </c>
      <c r="C8" s="8" t="s">
        <v>84</v>
      </c>
      <c r="D8" s="7" t="n">
        <v>15072</v>
      </c>
      <c r="E8" s="7" t="n">
        <v>15072</v>
      </c>
      <c r="F8" s="7" t="n">
        <v>479859</v>
      </c>
      <c r="G8" s="19" t="n">
        <v>0.0314662101505251</v>
      </c>
    </row>
    <row r="9" customFormat="false" ht="15" hidden="false" customHeight="false" outlineLevel="0" collapsed="false">
      <c r="A9" s="0" t="s">
        <v>110</v>
      </c>
      <c r="B9" s="0" t="s">
        <v>111</v>
      </c>
      <c r="C9" s="8" t="s">
        <v>84</v>
      </c>
      <c r="D9" s="7" t="n">
        <v>6492</v>
      </c>
      <c r="E9" s="7" t="n">
        <v>12984</v>
      </c>
      <c r="F9" s="7" t="n">
        <v>299748</v>
      </c>
      <c r="G9" s="19" t="n">
        <v>0.0271070377252135</v>
      </c>
    </row>
    <row r="10" customFormat="false" ht="15" hidden="false" customHeight="false" outlineLevel="0" collapsed="false">
      <c r="A10" s="0" t="s">
        <v>112</v>
      </c>
      <c r="B10" s="0" t="s">
        <v>113</v>
      </c>
      <c r="C10" s="8" t="s">
        <v>84</v>
      </c>
      <c r="D10" s="7" t="n">
        <v>12210</v>
      </c>
      <c r="E10" s="7" t="n">
        <v>12210</v>
      </c>
      <c r="F10" s="7" t="n">
        <v>281895</v>
      </c>
      <c r="G10" s="19" t="n">
        <v>0.0254911376020376</v>
      </c>
    </row>
    <row r="11" customFormat="false" ht="15" hidden="false" customHeight="false" outlineLevel="0" collapsed="false">
      <c r="A11" s="0" t="s">
        <v>114</v>
      </c>
      <c r="B11" s="0" t="s">
        <v>115</v>
      </c>
      <c r="C11" s="8" t="s">
        <v>84</v>
      </c>
      <c r="D11" s="7" t="n">
        <v>5418</v>
      </c>
      <c r="E11" s="7" t="n">
        <v>10836</v>
      </c>
      <c r="F11" s="7" t="n">
        <v>250290</v>
      </c>
      <c r="G11" s="19" t="n">
        <v>0.0226226017244619</v>
      </c>
    </row>
    <row r="12" customFormat="false" ht="15" hidden="false" customHeight="false" outlineLevel="0" collapsed="false">
      <c r="A12" s="0" t="s">
        <v>116</v>
      </c>
      <c r="B12" s="0" t="s">
        <v>117</v>
      </c>
      <c r="C12" s="8" t="s">
        <v>85</v>
      </c>
      <c r="D12" s="7" t="n">
        <v>9408</v>
      </c>
      <c r="E12" s="7" t="n">
        <v>9408</v>
      </c>
      <c r="F12" s="7" t="n">
        <v>417456</v>
      </c>
      <c r="G12" s="19" t="n">
        <v>0.0196413286289902</v>
      </c>
    </row>
    <row r="13" customFormat="false" ht="15" hidden="false" customHeight="false" outlineLevel="0" collapsed="false">
      <c r="A13" s="0" t="s">
        <v>118</v>
      </c>
      <c r="B13" s="0" t="s">
        <v>119</v>
      </c>
      <c r="C13" s="8" t="s">
        <v>84</v>
      </c>
      <c r="D13" s="7" t="n">
        <v>9205</v>
      </c>
      <c r="E13" s="7" t="n">
        <v>9205</v>
      </c>
      <c r="F13" s="7" t="n">
        <v>213282.5</v>
      </c>
      <c r="G13" s="19" t="n">
        <v>0.0192175201987515</v>
      </c>
    </row>
    <row r="14" customFormat="false" ht="15" hidden="false" customHeight="false" outlineLevel="0" collapsed="false">
      <c r="A14" s="0" t="s">
        <v>120</v>
      </c>
      <c r="B14" s="8" t="s">
        <v>121</v>
      </c>
      <c r="C14" s="8" t="s">
        <v>84</v>
      </c>
      <c r="D14" s="7" t="n">
        <v>4530</v>
      </c>
      <c r="E14" s="7" t="n">
        <v>9060</v>
      </c>
      <c r="F14" s="7" t="n">
        <v>217500</v>
      </c>
      <c r="G14" s="19" t="n">
        <v>0.0189147998914382</v>
      </c>
    </row>
    <row r="15" customFormat="false" ht="15" hidden="false" customHeight="false" outlineLevel="0" collapsed="false">
      <c r="A15" s="0" t="s">
        <v>122</v>
      </c>
      <c r="B15" s="0" t="s">
        <v>123</v>
      </c>
      <c r="C15" s="8" t="s">
        <v>84</v>
      </c>
      <c r="D15" s="7" t="n">
        <v>9024</v>
      </c>
      <c r="E15" s="7" t="n">
        <v>9024</v>
      </c>
      <c r="F15" s="7" t="n">
        <v>284496</v>
      </c>
      <c r="G15" s="19" t="n">
        <v>0.0188396417461742</v>
      </c>
    </row>
    <row r="16" customFormat="false" ht="15" hidden="false" customHeight="false" outlineLevel="0" collapsed="false">
      <c r="A16" s="0" t="s">
        <v>124</v>
      </c>
      <c r="B16" s="0" t="s">
        <v>125</v>
      </c>
      <c r="C16" s="8" t="s">
        <v>84</v>
      </c>
      <c r="D16" s="7" t="n">
        <v>4448</v>
      </c>
      <c r="E16" s="7" t="n">
        <v>8896</v>
      </c>
      <c r="F16" s="7" t="n">
        <v>202400</v>
      </c>
      <c r="G16" s="19" t="n">
        <v>0.0185724127852356</v>
      </c>
    </row>
    <row r="17" customFormat="false" ht="15" hidden="false" customHeight="false" outlineLevel="0" collapsed="false">
      <c r="A17" s="0" t="s">
        <v>126</v>
      </c>
      <c r="B17" s="0" t="s">
        <v>127</v>
      </c>
      <c r="C17" s="8" t="s">
        <v>84</v>
      </c>
      <c r="D17" s="7" t="n">
        <v>8395</v>
      </c>
      <c r="E17" s="7" t="n">
        <v>8395</v>
      </c>
      <c r="F17" s="7" t="n">
        <v>361077.5</v>
      </c>
      <c r="G17" s="19" t="n">
        <v>0.0175264619303117</v>
      </c>
    </row>
    <row r="18" customFormat="false" ht="15" hidden="false" customHeight="false" outlineLevel="0" collapsed="false">
      <c r="A18" s="0" t="s">
        <v>128</v>
      </c>
      <c r="B18" s="8" t="s">
        <v>129</v>
      </c>
      <c r="C18" s="8" t="s">
        <v>84</v>
      </c>
      <c r="D18" s="7" t="n">
        <v>4045</v>
      </c>
      <c r="E18" s="7" t="n">
        <v>8090</v>
      </c>
      <c r="F18" s="7" t="n">
        <v>191810</v>
      </c>
      <c r="G18" s="19" t="n">
        <v>0.0168897054218251</v>
      </c>
    </row>
    <row r="19" customFormat="false" ht="15" hidden="false" customHeight="false" outlineLevel="0" collapsed="false">
      <c r="A19" s="0" t="s">
        <v>130</v>
      </c>
      <c r="B19" s="0" t="s">
        <v>131</v>
      </c>
      <c r="C19" s="8" t="s">
        <v>84</v>
      </c>
      <c r="D19" s="7" t="n">
        <v>8035</v>
      </c>
      <c r="E19" s="7" t="n">
        <v>8035</v>
      </c>
      <c r="F19" s="7" t="n">
        <v>199165</v>
      </c>
      <c r="G19" s="19" t="n">
        <v>0.0167748804776718</v>
      </c>
    </row>
    <row r="20" customFormat="false" ht="15" hidden="false" customHeight="false" outlineLevel="0" collapsed="false">
      <c r="A20" s="0" t="s">
        <v>132</v>
      </c>
      <c r="B20" s="0" t="s">
        <v>133</v>
      </c>
      <c r="C20" s="8" t="s">
        <v>84</v>
      </c>
      <c r="D20" s="7" t="n">
        <v>7970</v>
      </c>
      <c r="E20" s="7" t="n">
        <v>7970</v>
      </c>
      <c r="F20" s="7" t="n">
        <v>247410</v>
      </c>
      <c r="G20" s="19" t="n">
        <v>0.0166391782709451</v>
      </c>
    </row>
    <row r="21" customFormat="false" ht="15" hidden="false" customHeight="false" outlineLevel="0" collapsed="false">
      <c r="A21" s="0" t="s">
        <v>134</v>
      </c>
      <c r="B21" s="0" t="s">
        <v>135</v>
      </c>
      <c r="C21" s="8" t="s">
        <v>85</v>
      </c>
      <c r="D21" s="7" t="n">
        <v>7888</v>
      </c>
      <c r="E21" s="7" t="n">
        <v>7888</v>
      </c>
      <c r="F21" s="7" t="n">
        <v>351648</v>
      </c>
      <c r="G21" s="19" t="n">
        <v>0.0164679847178438</v>
      </c>
    </row>
    <row r="22" customFormat="false" ht="15" hidden="false" customHeight="false" outlineLevel="0" collapsed="false">
      <c r="A22" s="0" t="s">
        <v>136</v>
      </c>
      <c r="B22" s="0" t="s">
        <v>137</v>
      </c>
      <c r="C22" s="8" t="s">
        <v>84</v>
      </c>
      <c r="D22" s="7" t="n">
        <v>7720</v>
      </c>
      <c r="E22" s="7" t="n">
        <v>7720</v>
      </c>
      <c r="F22" s="7" t="n">
        <v>184060</v>
      </c>
      <c r="G22" s="19" t="n">
        <v>0.0161172467066118</v>
      </c>
    </row>
    <row r="23" customFormat="false" ht="15" hidden="false" customHeight="false" outlineLevel="0" collapsed="false">
      <c r="A23" s="0" t="s">
        <v>138</v>
      </c>
      <c r="B23" s="0" t="s">
        <v>139</v>
      </c>
      <c r="C23" s="8" t="s">
        <v>84</v>
      </c>
      <c r="D23" s="7" t="n">
        <v>7543</v>
      </c>
      <c r="E23" s="7" t="n">
        <v>7543</v>
      </c>
      <c r="F23" s="7" t="n">
        <v>322416.5</v>
      </c>
      <c r="G23" s="19" t="n">
        <v>0.0157477191590639</v>
      </c>
    </row>
    <row r="24" customFormat="false" ht="15" hidden="false" customHeight="false" outlineLevel="0" collapsed="false">
      <c r="A24" s="0" t="s">
        <v>140</v>
      </c>
      <c r="B24" s="0" t="s">
        <v>141</v>
      </c>
      <c r="C24" s="8" t="s">
        <v>84</v>
      </c>
      <c r="D24" s="7" t="n">
        <v>2848</v>
      </c>
      <c r="E24" s="7" t="n">
        <v>5696</v>
      </c>
      <c r="F24" s="7" t="n">
        <v>178176</v>
      </c>
      <c r="G24" s="19" t="n">
        <v>0.0118916887617696</v>
      </c>
    </row>
    <row r="25" customFormat="false" ht="15" hidden="false" customHeight="false" outlineLevel="0" collapsed="false">
      <c r="A25" s="0" t="s">
        <v>142</v>
      </c>
      <c r="B25" s="0" t="s">
        <v>143</v>
      </c>
      <c r="C25" s="8" t="s">
        <v>84</v>
      </c>
      <c r="D25" s="7" t="n">
        <v>4720</v>
      </c>
      <c r="E25" s="7" t="n">
        <v>4720</v>
      </c>
      <c r="F25" s="7" t="n">
        <v>141600</v>
      </c>
      <c r="G25" s="19" t="n">
        <v>0.00985406793461241</v>
      </c>
    </row>
    <row r="26" customFormat="false" ht="15" hidden="false" customHeight="false" outlineLevel="0" collapsed="false">
      <c r="A26" s="0" t="s">
        <v>144</v>
      </c>
      <c r="B26" s="0" t="s">
        <v>145</v>
      </c>
      <c r="C26" s="8" t="s">
        <v>85</v>
      </c>
      <c r="D26" s="7" t="n">
        <v>4640</v>
      </c>
      <c r="E26" s="7" t="n">
        <v>4640</v>
      </c>
      <c r="F26" s="7" t="n">
        <v>200976</v>
      </c>
      <c r="G26" s="19" t="n">
        <v>0.00968704983402576</v>
      </c>
    </row>
    <row r="27" customFormat="false" ht="15" hidden="false" customHeight="false" outlineLevel="0" collapsed="false">
      <c r="A27" s="0" t="s">
        <v>146</v>
      </c>
      <c r="B27" s="0" t="s">
        <v>147</v>
      </c>
      <c r="C27" s="8" t="s">
        <v>84</v>
      </c>
      <c r="D27" s="7" t="n">
        <v>4562</v>
      </c>
      <c r="E27" s="7" t="n">
        <v>4562</v>
      </c>
      <c r="F27" s="7" t="n">
        <v>111794</v>
      </c>
      <c r="G27" s="19" t="n">
        <v>0.00952420718595378</v>
      </c>
    </row>
    <row r="28" customFormat="false" ht="15" hidden="false" customHeight="false" outlineLevel="0" collapsed="false">
      <c r="A28" s="0" t="s">
        <v>148</v>
      </c>
      <c r="B28" s="0" t="s">
        <v>149</v>
      </c>
      <c r="C28" s="8" t="s">
        <v>84</v>
      </c>
      <c r="D28" s="7" t="n">
        <v>1896</v>
      </c>
      <c r="E28" s="7" t="n">
        <v>3792</v>
      </c>
      <c r="F28" s="7" t="n">
        <v>118752</v>
      </c>
      <c r="G28" s="19" t="n">
        <v>0.00791665796780726</v>
      </c>
    </row>
    <row r="29" customFormat="false" ht="15" hidden="false" customHeight="false" outlineLevel="0" collapsed="false">
      <c r="A29" s="0" t="s">
        <v>150</v>
      </c>
      <c r="B29" s="0" t="s">
        <v>151</v>
      </c>
      <c r="C29" s="8" t="s">
        <v>85</v>
      </c>
      <c r="D29" s="7" t="n">
        <v>3576</v>
      </c>
      <c r="E29" s="7" t="n">
        <v>3576</v>
      </c>
      <c r="F29" s="7" t="n">
        <v>159984</v>
      </c>
      <c r="G29" s="19" t="n">
        <v>0.0074657090962233</v>
      </c>
    </row>
    <row r="30" customFormat="false" ht="15" hidden="false" customHeight="false" outlineLevel="0" collapsed="false">
      <c r="A30" s="0" t="s">
        <v>152</v>
      </c>
      <c r="B30" s="0" t="s">
        <v>153</v>
      </c>
      <c r="C30" s="8" t="s">
        <v>87</v>
      </c>
      <c r="D30" s="7" t="n">
        <v>3430</v>
      </c>
      <c r="E30" s="7" t="n">
        <v>3430</v>
      </c>
      <c r="F30" s="7" t="n">
        <v>64530</v>
      </c>
      <c r="G30" s="19" t="n">
        <v>0.00716090106265267</v>
      </c>
    </row>
    <row r="31" customFormat="false" ht="15" hidden="false" customHeight="false" outlineLevel="0" collapsed="false">
      <c r="A31" s="0" t="s">
        <v>154</v>
      </c>
      <c r="B31" s="0" t="s">
        <v>155</v>
      </c>
      <c r="C31" s="8" t="s">
        <v>84</v>
      </c>
      <c r="D31" s="7" t="n">
        <v>3410</v>
      </c>
      <c r="E31" s="7" t="n">
        <v>3410</v>
      </c>
      <c r="F31" s="7" t="n">
        <v>81565</v>
      </c>
      <c r="G31" s="19" t="n">
        <v>0.007119146537506</v>
      </c>
    </row>
    <row r="32" customFormat="false" ht="15" hidden="false" customHeight="false" outlineLevel="0" collapsed="false">
      <c r="A32" s="0" t="s">
        <v>156</v>
      </c>
      <c r="B32" s="0" t="s">
        <v>157</v>
      </c>
      <c r="C32" s="8" t="s">
        <v>85</v>
      </c>
      <c r="D32" s="7" t="n">
        <v>3228</v>
      </c>
      <c r="E32" s="7" t="n">
        <v>3228</v>
      </c>
      <c r="F32" s="7" t="n">
        <v>145854</v>
      </c>
      <c r="G32" s="19" t="n">
        <v>0.00673918035867137</v>
      </c>
    </row>
    <row r="33" customFormat="false" ht="15" hidden="false" customHeight="false" outlineLevel="0" collapsed="false">
      <c r="A33" s="0" t="s">
        <v>158</v>
      </c>
      <c r="B33" s="0" t="s">
        <v>159</v>
      </c>
      <c r="C33" s="8" t="s">
        <v>84</v>
      </c>
      <c r="D33" s="7" t="n">
        <v>3050</v>
      </c>
      <c r="E33" s="7" t="n">
        <v>3050</v>
      </c>
      <c r="F33" s="7" t="n">
        <v>72925</v>
      </c>
      <c r="G33" s="19" t="n">
        <v>0.00636756508486607</v>
      </c>
    </row>
    <row r="34" customFormat="false" ht="15" hidden="false" customHeight="false" outlineLevel="0" collapsed="false">
      <c r="A34" s="0" t="s">
        <v>120</v>
      </c>
      <c r="B34" s="8" t="s">
        <v>160</v>
      </c>
      <c r="C34" s="8" t="s">
        <v>84</v>
      </c>
      <c r="D34" s="7" t="n">
        <v>1520</v>
      </c>
      <c r="E34" s="7" t="n">
        <v>3040</v>
      </c>
      <c r="F34" s="7" t="n">
        <v>69920</v>
      </c>
      <c r="G34" s="19" t="n">
        <v>0.00634668782229274</v>
      </c>
    </row>
    <row r="35" customFormat="false" ht="15" hidden="false" customHeight="false" outlineLevel="0" collapsed="false">
      <c r="A35" s="0" t="s">
        <v>116</v>
      </c>
      <c r="B35" s="0" t="s">
        <v>161</v>
      </c>
      <c r="C35" s="8" t="s">
        <v>85</v>
      </c>
      <c r="D35" s="7" t="n">
        <v>3004</v>
      </c>
      <c r="E35" s="7" t="n">
        <v>3004</v>
      </c>
      <c r="F35" s="7" t="n">
        <v>150200</v>
      </c>
      <c r="G35" s="19" t="n">
        <v>0.00627152967702875</v>
      </c>
    </row>
    <row r="36" customFormat="false" ht="15" hidden="false" customHeight="false" outlineLevel="0" collapsed="false">
      <c r="A36" s="0" t="s">
        <v>162</v>
      </c>
      <c r="B36" s="0" t="s">
        <v>163</v>
      </c>
      <c r="C36" s="8" t="s">
        <v>85</v>
      </c>
      <c r="D36" s="7" t="n">
        <v>2992</v>
      </c>
      <c r="E36" s="7" t="n">
        <v>2992</v>
      </c>
      <c r="F36" s="7" t="n">
        <v>131664</v>
      </c>
      <c r="G36" s="19" t="n">
        <v>0.00624647696194075</v>
      </c>
    </row>
    <row r="37" customFormat="false" ht="15" hidden="false" customHeight="false" outlineLevel="0" collapsed="false">
      <c r="A37" s="0" t="s">
        <v>164</v>
      </c>
      <c r="B37" s="0" t="s">
        <v>165</v>
      </c>
      <c r="C37" s="8" t="s">
        <v>84</v>
      </c>
      <c r="D37" s="7" t="n">
        <v>2770</v>
      </c>
      <c r="E37" s="7" t="n">
        <v>2770</v>
      </c>
      <c r="F37" s="7" t="n">
        <v>65095</v>
      </c>
      <c r="G37" s="19" t="n">
        <v>0.00578300173281279</v>
      </c>
    </row>
    <row r="38" customFormat="false" ht="15" hidden="false" customHeight="false" outlineLevel="0" collapsed="false">
      <c r="A38" s="0" t="s">
        <v>166</v>
      </c>
      <c r="B38" s="0" t="s">
        <v>167</v>
      </c>
      <c r="C38" s="8" t="s">
        <v>84</v>
      </c>
      <c r="D38" s="7" t="n">
        <v>1212</v>
      </c>
      <c r="E38" s="7" t="n">
        <v>2424</v>
      </c>
      <c r="F38" s="7" t="n">
        <v>56940</v>
      </c>
      <c r="G38" s="19" t="n">
        <v>0.00506064844777553</v>
      </c>
    </row>
    <row r="39" customFormat="false" ht="15" hidden="false" customHeight="false" outlineLevel="0" collapsed="false">
      <c r="A39" s="0" t="s">
        <v>168</v>
      </c>
      <c r="B39" s="0" t="s">
        <v>169</v>
      </c>
      <c r="C39" s="8" t="s">
        <v>85</v>
      </c>
      <c r="D39" s="7" t="n">
        <v>2220</v>
      </c>
      <c r="E39" s="7" t="n">
        <v>2220</v>
      </c>
      <c r="F39" s="7" t="n">
        <v>99198</v>
      </c>
      <c r="G39" s="19" t="n">
        <v>0.00463475229127957</v>
      </c>
    </row>
    <row r="40" customFormat="false" ht="15" hidden="false" customHeight="false" outlineLevel="0" collapsed="false">
      <c r="A40" s="0" t="s">
        <v>170</v>
      </c>
      <c r="B40" s="0" t="s">
        <v>171</v>
      </c>
      <c r="C40" s="8" t="s">
        <v>84</v>
      </c>
      <c r="D40" s="7" t="n">
        <v>2120</v>
      </c>
      <c r="E40" s="7" t="n">
        <v>2120</v>
      </c>
      <c r="F40" s="7" t="n">
        <v>89040</v>
      </c>
      <c r="G40" s="19" t="n">
        <v>0.00442597966554625</v>
      </c>
    </row>
    <row r="41" customFormat="false" ht="15" hidden="false" customHeight="false" outlineLevel="0" collapsed="false">
      <c r="A41" s="0" t="s">
        <v>172</v>
      </c>
      <c r="B41" s="0" t="s">
        <v>173</v>
      </c>
      <c r="C41" s="8" t="s">
        <v>84</v>
      </c>
      <c r="D41" s="7" t="n">
        <v>1962</v>
      </c>
      <c r="E41" s="7" t="n">
        <v>1962</v>
      </c>
      <c r="F41" s="7" t="n">
        <v>63834</v>
      </c>
      <c r="G41" s="19" t="n">
        <v>0.00409611891688762</v>
      </c>
    </row>
    <row r="42" customFormat="false" ht="15" hidden="false" customHeight="false" outlineLevel="0" collapsed="false">
      <c r="A42" s="0" t="s">
        <v>136</v>
      </c>
      <c r="B42" s="0" t="s">
        <v>174</v>
      </c>
      <c r="C42" s="8" t="s">
        <v>84</v>
      </c>
      <c r="D42" s="7" t="n">
        <v>1940</v>
      </c>
      <c r="E42" s="7" t="n">
        <v>1940</v>
      </c>
      <c r="F42" s="7" t="n">
        <v>43650</v>
      </c>
      <c r="G42" s="19" t="n">
        <v>0.00405018893922629</v>
      </c>
    </row>
    <row r="43" customFormat="false" ht="15" hidden="false" customHeight="false" outlineLevel="0" collapsed="false">
      <c r="A43" s="0" t="s">
        <v>175</v>
      </c>
      <c r="B43" s="0" t="s">
        <v>176</v>
      </c>
      <c r="C43" s="8" t="s">
        <v>85</v>
      </c>
      <c r="D43" s="7" t="n">
        <v>1920</v>
      </c>
      <c r="E43" s="7" t="n">
        <v>1920</v>
      </c>
      <c r="F43" s="7" t="n">
        <v>86400</v>
      </c>
      <c r="G43" s="19" t="n">
        <v>0.00400843441407963</v>
      </c>
    </row>
    <row r="44" customFormat="false" ht="15" hidden="false" customHeight="false" outlineLevel="0" collapsed="false">
      <c r="A44" s="0" t="s">
        <v>177</v>
      </c>
      <c r="B44" s="8" t="s">
        <v>178</v>
      </c>
      <c r="C44" s="8" t="s">
        <v>84</v>
      </c>
      <c r="D44" s="7" t="n">
        <v>956</v>
      </c>
      <c r="E44" s="7" t="n">
        <v>1912</v>
      </c>
      <c r="F44" s="7" t="n">
        <v>99528</v>
      </c>
      <c r="G44" s="19" t="n">
        <v>0.00399173260402096</v>
      </c>
    </row>
    <row r="45" customFormat="false" ht="15" hidden="false" customHeight="false" outlineLevel="0" collapsed="false">
      <c r="A45" s="0" t="s">
        <v>179</v>
      </c>
      <c r="B45" s="0" t="s">
        <v>180</v>
      </c>
      <c r="C45" s="8" t="s">
        <v>85</v>
      </c>
      <c r="D45" s="7" t="n">
        <v>1904</v>
      </c>
      <c r="E45" s="7" t="n">
        <v>1904</v>
      </c>
      <c r="F45" s="7" t="n">
        <v>85680</v>
      </c>
      <c r="G45" s="19" t="n">
        <v>0.0039750307939623</v>
      </c>
    </row>
    <row r="46" customFormat="false" ht="15" hidden="false" customHeight="false" outlineLevel="0" collapsed="false">
      <c r="A46" s="0" t="s">
        <v>181</v>
      </c>
      <c r="B46" s="0" t="s">
        <v>182</v>
      </c>
      <c r="C46" s="8" t="s">
        <v>84</v>
      </c>
      <c r="D46" s="7" t="n">
        <v>1892</v>
      </c>
      <c r="E46" s="7" t="n">
        <v>1892</v>
      </c>
      <c r="F46" s="7" t="n">
        <v>61132</v>
      </c>
      <c r="G46" s="19" t="n">
        <v>0.0039499780788743</v>
      </c>
    </row>
    <row r="47" customFormat="false" ht="15" hidden="false" customHeight="false" outlineLevel="0" collapsed="false">
      <c r="A47" s="0" t="s">
        <v>183</v>
      </c>
      <c r="B47" s="0" t="s">
        <v>184</v>
      </c>
      <c r="C47" s="8" t="s">
        <v>84</v>
      </c>
      <c r="D47" s="7" t="n">
        <v>1800</v>
      </c>
      <c r="E47" s="7" t="n">
        <v>1800</v>
      </c>
      <c r="F47" s="7" t="n">
        <v>75600</v>
      </c>
      <c r="G47" s="19" t="n">
        <v>0.00375790726319965</v>
      </c>
    </row>
    <row r="48" customFormat="false" ht="15" hidden="false" customHeight="false" outlineLevel="0" collapsed="false">
      <c r="A48" s="0" t="s">
        <v>177</v>
      </c>
      <c r="B48" s="8" t="s">
        <v>185</v>
      </c>
      <c r="C48" s="8" t="s">
        <v>84</v>
      </c>
      <c r="D48" s="7" t="n">
        <v>884</v>
      </c>
      <c r="E48" s="7" t="n">
        <v>1768</v>
      </c>
      <c r="F48" s="7" t="n">
        <v>93704</v>
      </c>
      <c r="G48" s="19" t="n">
        <v>0.00369110002296499</v>
      </c>
    </row>
    <row r="49" customFormat="false" ht="15" hidden="false" customHeight="false" outlineLevel="0" collapsed="false">
      <c r="A49" s="0" t="s">
        <v>186</v>
      </c>
      <c r="B49" s="8" t="s">
        <v>187</v>
      </c>
      <c r="C49" s="8" t="s">
        <v>88</v>
      </c>
      <c r="D49" s="7" t="n">
        <v>1714</v>
      </c>
      <c r="E49" s="7" t="n">
        <v>1714</v>
      </c>
      <c r="F49" s="7" t="n">
        <v>13712</v>
      </c>
      <c r="G49" s="19" t="n">
        <v>0.003578362805069</v>
      </c>
    </row>
    <row r="50" customFormat="false" ht="15" hidden="false" customHeight="false" outlineLevel="0" collapsed="false">
      <c r="A50" s="0" t="s">
        <v>188</v>
      </c>
      <c r="B50" s="0" t="s">
        <v>189</v>
      </c>
      <c r="C50" s="8" t="s">
        <v>84</v>
      </c>
      <c r="D50" s="7" t="n">
        <v>1710</v>
      </c>
      <c r="E50" s="7" t="n">
        <v>1710</v>
      </c>
      <c r="F50" s="7" t="n">
        <v>70110</v>
      </c>
      <c r="G50" s="19" t="n">
        <v>0.00357001190003967</v>
      </c>
    </row>
    <row r="51" customFormat="false" ht="15" hidden="false" customHeight="false" outlineLevel="0" collapsed="false">
      <c r="A51" s="0" t="s">
        <v>190</v>
      </c>
      <c r="B51" s="0" t="s">
        <v>191</v>
      </c>
      <c r="C51" s="8" t="s">
        <v>84</v>
      </c>
      <c r="D51" s="7" t="n">
        <v>1710</v>
      </c>
      <c r="E51" s="7" t="n">
        <v>1710</v>
      </c>
      <c r="F51" s="7" t="n">
        <v>70110</v>
      </c>
      <c r="G51" s="19" t="n">
        <v>0.00357001190003967</v>
      </c>
    </row>
    <row r="52" customFormat="false" ht="15" hidden="false" customHeight="false" outlineLevel="0" collapsed="false">
      <c r="A52" s="0" t="s">
        <v>192</v>
      </c>
      <c r="B52" s="8" t="s">
        <v>193</v>
      </c>
      <c r="C52" s="8" t="s">
        <v>84</v>
      </c>
      <c r="D52" s="7" t="n">
        <v>1695</v>
      </c>
      <c r="E52" s="7" t="n">
        <v>1695</v>
      </c>
      <c r="F52" s="7" t="n">
        <v>40177.5</v>
      </c>
      <c r="G52" s="19" t="n">
        <v>0.00353869600617967</v>
      </c>
    </row>
    <row r="53" customFormat="false" ht="15" hidden="false" customHeight="false" outlineLevel="0" collapsed="false">
      <c r="A53" s="0" t="s">
        <v>194</v>
      </c>
      <c r="B53" s="0" t="s">
        <v>195</v>
      </c>
      <c r="C53" s="8" t="s">
        <v>84</v>
      </c>
      <c r="D53" s="7" t="n">
        <v>1690</v>
      </c>
      <c r="E53" s="7" t="n">
        <v>1690</v>
      </c>
      <c r="F53" s="7" t="n">
        <v>70980</v>
      </c>
      <c r="G53" s="19" t="n">
        <v>0.003528257374893</v>
      </c>
    </row>
    <row r="54" customFormat="false" ht="15" hidden="false" customHeight="false" outlineLevel="0" collapsed="false">
      <c r="A54" s="0" t="s">
        <v>196</v>
      </c>
      <c r="B54" s="0" t="s">
        <v>197</v>
      </c>
      <c r="C54" s="8" t="s">
        <v>84</v>
      </c>
      <c r="D54" s="7" t="n">
        <v>1686</v>
      </c>
      <c r="E54" s="7" t="n">
        <v>1686</v>
      </c>
      <c r="F54" s="7" t="n">
        <v>77184</v>
      </c>
      <c r="G54" s="19" t="n">
        <v>0.00351990646986367</v>
      </c>
    </row>
    <row r="55" customFormat="false" ht="15" hidden="false" customHeight="false" outlineLevel="0" collapsed="false">
      <c r="A55" s="0" t="s">
        <v>198</v>
      </c>
      <c r="B55" s="0" t="s">
        <v>199</v>
      </c>
      <c r="C55" s="8" t="s">
        <v>87</v>
      </c>
      <c r="D55" s="7" t="n">
        <v>1675</v>
      </c>
      <c r="E55" s="7" t="n">
        <v>1675</v>
      </c>
      <c r="F55" s="7" t="n">
        <v>49050</v>
      </c>
      <c r="G55" s="19" t="n">
        <v>0.00349694148103301</v>
      </c>
    </row>
    <row r="56" customFormat="false" ht="15" hidden="false" customHeight="false" outlineLevel="0" collapsed="false">
      <c r="A56" s="0" t="s">
        <v>200</v>
      </c>
      <c r="B56" s="0" t="s">
        <v>201</v>
      </c>
      <c r="C56" s="8" t="s">
        <v>84</v>
      </c>
      <c r="D56" s="7" t="n">
        <v>1608</v>
      </c>
      <c r="E56" s="7" t="n">
        <v>1608</v>
      </c>
      <c r="F56" s="7" t="n">
        <v>69360</v>
      </c>
      <c r="G56" s="19" t="n">
        <v>0.00335706382179169</v>
      </c>
    </row>
    <row r="57" customFormat="false" ht="15" hidden="false" customHeight="false" outlineLevel="0" collapsed="false">
      <c r="A57" s="0" t="s">
        <v>202</v>
      </c>
      <c r="B57" s="0" t="s">
        <v>203</v>
      </c>
      <c r="C57" s="8" t="s">
        <v>84</v>
      </c>
      <c r="D57" s="7" t="n">
        <v>1534</v>
      </c>
      <c r="E57" s="7" t="n">
        <v>1534</v>
      </c>
      <c r="F57" s="7" t="n">
        <v>69030</v>
      </c>
      <c r="G57" s="19" t="n">
        <v>0.00320257207874904</v>
      </c>
    </row>
    <row r="58" customFormat="false" ht="15" hidden="false" customHeight="false" outlineLevel="0" collapsed="false">
      <c r="A58" s="0" t="s">
        <v>204</v>
      </c>
      <c r="B58" s="0" t="s">
        <v>205</v>
      </c>
      <c r="C58" s="8" t="s">
        <v>84</v>
      </c>
      <c r="D58" s="7" t="n">
        <v>1510</v>
      </c>
      <c r="E58" s="7" t="n">
        <v>1510</v>
      </c>
      <c r="F58" s="7" t="n">
        <v>35485</v>
      </c>
      <c r="G58" s="19" t="n">
        <v>0.00315246664857304</v>
      </c>
    </row>
    <row r="59" customFormat="false" ht="15" hidden="false" customHeight="false" outlineLevel="0" collapsed="false">
      <c r="A59" s="0" t="s">
        <v>206</v>
      </c>
      <c r="B59" s="0" t="s">
        <v>207</v>
      </c>
      <c r="C59" s="8" t="s">
        <v>84</v>
      </c>
      <c r="D59" s="7" t="n">
        <v>1465</v>
      </c>
      <c r="E59" s="7" t="n">
        <v>1465</v>
      </c>
      <c r="F59" s="7" t="n">
        <v>34427.5</v>
      </c>
      <c r="G59" s="19" t="n">
        <v>0.00305851896699305</v>
      </c>
    </row>
    <row r="60" customFormat="false" ht="15" hidden="false" customHeight="false" outlineLevel="0" collapsed="false">
      <c r="A60" s="0" t="s">
        <v>200</v>
      </c>
      <c r="B60" s="0" t="s">
        <v>208</v>
      </c>
      <c r="C60" s="8" t="s">
        <v>84</v>
      </c>
      <c r="D60" s="7" t="n">
        <v>1442</v>
      </c>
      <c r="E60" s="7" t="n">
        <v>1442</v>
      </c>
      <c r="F60" s="7" t="n">
        <v>64890</v>
      </c>
      <c r="G60" s="19" t="n">
        <v>0.00301050126307439</v>
      </c>
    </row>
    <row r="61" customFormat="false" ht="15" hidden="false" customHeight="false" outlineLevel="0" collapsed="false">
      <c r="A61" s="0" t="s">
        <v>209</v>
      </c>
      <c r="B61" s="8" t="s">
        <v>210</v>
      </c>
      <c r="C61" s="8" t="s">
        <v>84</v>
      </c>
      <c r="D61" s="7" t="n">
        <v>720</v>
      </c>
      <c r="E61" s="7" t="n">
        <v>1440</v>
      </c>
      <c r="F61" s="7" t="n">
        <v>77760</v>
      </c>
      <c r="G61" s="19" t="n">
        <v>0.00300632581055972</v>
      </c>
    </row>
    <row r="62" customFormat="false" ht="15" hidden="false" customHeight="false" outlineLevel="0" collapsed="false">
      <c r="A62" s="0" t="s">
        <v>211</v>
      </c>
      <c r="B62" s="0" t="s">
        <v>212</v>
      </c>
      <c r="C62" s="8" t="s">
        <v>84</v>
      </c>
      <c r="D62" s="7" t="n">
        <v>1420</v>
      </c>
      <c r="E62" s="7" t="n">
        <v>1420</v>
      </c>
      <c r="F62" s="7" t="n">
        <v>40470</v>
      </c>
      <c r="G62" s="19" t="n">
        <v>0.00296457128541306</v>
      </c>
    </row>
    <row r="63" customFormat="false" ht="15" hidden="false" customHeight="false" outlineLevel="0" collapsed="false">
      <c r="A63" s="0" t="s">
        <v>213</v>
      </c>
      <c r="B63" s="0" t="s">
        <v>214</v>
      </c>
      <c r="C63" s="8" t="s">
        <v>84</v>
      </c>
      <c r="D63" s="7" t="n">
        <v>1395</v>
      </c>
      <c r="E63" s="7" t="n">
        <v>1395</v>
      </c>
      <c r="F63" s="7" t="n">
        <v>32085</v>
      </c>
      <c r="G63" s="19" t="n">
        <v>0.00291237812897973</v>
      </c>
    </row>
    <row r="64" customFormat="false" ht="15" hidden="false" customHeight="false" outlineLevel="0" collapsed="false">
      <c r="A64" s="0" t="s">
        <v>188</v>
      </c>
      <c r="B64" s="0" t="s">
        <v>215</v>
      </c>
      <c r="C64" s="8" t="s">
        <v>84</v>
      </c>
      <c r="D64" s="7" t="n">
        <v>1390</v>
      </c>
      <c r="E64" s="7" t="n">
        <v>1390</v>
      </c>
      <c r="F64" s="7" t="n">
        <v>56990</v>
      </c>
      <c r="G64" s="19" t="n">
        <v>0.00290193949769306</v>
      </c>
    </row>
    <row r="65" customFormat="false" ht="15" hidden="false" customHeight="false" outlineLevel="0" collapsed="false">
      <c r="A65" s="0" t="s">
        <v>190</v>
      </c>
      <c r="B65" s="0" t="s">
        <v>216</v>
      </c>
      <c r="C65" s="8" t="s">
        <v>84</v>
      </c>
      <c r="D65" s="7" t="n">
        <v>1390</v>
      </c>
      <c r="E65" s="7" t="n">
        <v>1390</v>
      </c>
      <c r="F65" s="7" t="n">
        <v>56990</v>
      </c>
      <c r="G65" s="19" t="n">
        <v>0.00290193949769306</v>
      </c>
    </row>
    <row r="66" customFormat="false" ht="15" hidden="false" customHeight="false" outlineLevel="0" collapsed="false">
      <c r="A66" s="0" t="s">
        <v>217</v>
      </c>
      <c r="B66" s="0" t="s">
        <v>218</v>
      </c>
      <c r="C66" s="8" t="s">
        <v>85</v>
      </c>
      <c r="D66" s="7" t="n">
        <v>1344</v>
      </c>
      <c r="E66" s="7" t="n">
        <v>1344</v>
      </c>
      <c r="F66" s="7" t="n">
        <v>60480</v>
      </c>
      <c r="G66" s="19" t="n">
        <v>0.00280590408985574</v>
      </c>
    </row>
    <row r="67" customFormat="false" ht="15" hidden="false" customHeight="false" outlineLevel="0" collapsed="false">
      <c r="A67" s="0" t="s">
        <v>219</v>
      </c>
      <c r="B67" s="0" t="s">
        <v>220</v>
      </c>
      <c r="C67" s="8" t="s">
        <v>84</v>
      </c>
      <c r="D67" s="7" t="n">
        <v>1315</v>
      </c>
      <c r="E67" s="7" t="n">
        <v>1315</v>
      </c>
      <c r="F67" s="7" t="n">
        <v>37117.5</v>
      </c>
      <c r="G67" s="19" t="n">
        <v>0.00274536002839308</v>
      </c>
    </row>
    <row r="68" customFormat="false" ht="15" hidden="false" customHeight="false" outlineLevel="0" collapsed="false">
      <c r="A68" s="0" t="s">
        <v>221</v>
      </c>
      <c r="B68" s="0" t="s">
        <v>222</v>
      </c>
      <c r="C68" s="8" t="s">
        <v>84</v>
      </c>
      <c r="D68" s="7" t="n">
        <v>1296</v>
      </c>
      <c r="E68" s="7" t="n">
        <v>1296</v>
      </c>
      <c r="F68" s="7" t="n">
        <v>60912</v>
      </c>
      <c r="G68" s="19" t="n">
        <v>0.00270569322950375</v>
      </c>
    </row>
    <row r="69" customFormat="false" ht="15" hidden="false" customHeight="false" outlineLevel="0" collapsed="false">
      <c r="A69" s="0" t="s">
        <v>223</v>
      </c>
      <c r="B69" s="0" t="s">
        <v>224</v>
      </c>
      <c r="C69" s="8" t="s">
        <v>84</v>
      </c>
      <c r="D69" s="7" t="n">
        <v>1245</v>
      </c>
      <c r="E69" s="7" t="n">
        <v>1245</v>
      </c>
      <c r="F69" s="7" t="n">
        <v>56025</v>
      </c>
      <c r="G69" s="19" t="n">
        <v>0.00259921919037976</v>
      </c>
    </row>
    <row r="70" customFormat="false" ht="15" hidden="false" customHeight="false" outlineLevel="0" collapsed="false">
      <c r="A70" s="0" t="s">
        <v>225</v>
      </c>
      <c r="B70" s="8" t="s">
        <v>226</v>
      </c>
      <c r="C70" s="8" t="s">
        <v>88</v>
      </c>
      <c r="D70" s="7" t="n">
        <v>1212</v>
      </c>
      <c r="E70" s="7" t="n">
        <v>1212</v>
      </c>
      <c r="F70" s="7" t="n">
        <v>9696</v>
      </c>
      <c r="G70" s="19" t="n">
        <v>0.00253032422388776</v>
      </c>
    </row>
    <row r="71" customFormat="false" ht="15" hidden="false" customHeight="false" outlineLevel="0" collapsed="false">
      <c r="A71" s="0" t="s">
        <v>227</v>
      </c>
      <c r="B71" s="0" t="s">
        <v>228</v>
      </c>
      <c r="C71" s="8" t="s">
        <v>84</v>
      </c>
      <c r="D71" s="7" t="n">
        <v>1190</v>
      </c>
      <c r="E71" s="7" t="n">
        <v>1190</v>
      </c>
      <c r="F71" s="7" t="n">
        <v>33915</v>
      </c>
      <c r="G71" s="19" t="n">
        <v>0.00248439424622644</v>
      </c>
    </row>
    <row r="72" customFormat="false" ht="15" hidden="false" customHeight="false" outlineLevel="0" collapsed="false">
      <c r="A72" s="0" t="s">
        <v>229</v>
      </c>
      <c r="B72" s="0" t="s">
        <v>230</v>
      </c>
      <c r="C72" s="8" t="s">
        <v>85</v>
      </c>
      <c r="D72" s="7" t="n">
        <v>1184</v>
      </c>
      <c r="E72" s="7" t="n">
        <v>1184</v>
      </c>
      <c r="F72" s="7" t="n">
        <v>51936</v>
      </c>
      <c r="G72" s="19" t="n">
        <v>0.00247186788868244</v>
      </c>
    </row>
    <row r="73" customFormat="false" ht="15" hidden="false" customHeight="false" outlineLevel="0" collapsed="false">
      <c r="A73" s="0" t="s">
        <v>231</v>
      </c>
      <c r="B73" s="0" t="s">
        <v>232</v>
      </c>
      <c r="C73" s="8" t="s">
        <v>84</v>
      </c>
      <c r="D73" s="7" t="n">
        <v>1180</v>
      </c>
      <c r="E73" s="7" t="n">
        <v>1180</v>
      </c>
      <c r="F73" s="7" t="n">
        <v>54710</v>
      </c>
      <c r="G73" s="19" t="n">
        <v>0.0024635169836531</v>
      </c>
    </row>
    <row r="74" customFormat="false" ht="15" hidden="false" customHeight="false" outlineLevel="0" collapsed="false">
      <c r="A74" s="0" t="s">
        <v>162</v>
      </c>
      <c r="B74" s="0" t="s">
        <v>233</v>
      </c>
      <c r="C74" s="8" t="s">
        <v>85</v>
      </c>
      <c r="D74" s="7" t="n">
        <v>1180</v>
      </c>
      <c r="E74" s="7" t="n">
        <v>1180</v>
      </c>
      <c r="F74" s="7" t="n">
        <v>59000</v>
      </c>
      <c r="G74" s="19" t="n">
        <v>0.0024635169836531</v>
      </c>
    </row>
    <row r="75" customFormat="false" ht="15" hidden="false" customHeight="false" outlineLevel="0" collapsed="false">
      <c r="A75" s="0" t="s">
        <v>144</v>
      </c>
      <c r="B75" s="0" t="s">
        <v>234</v>
      </c>
      <c r="C75" s="8" t="s">
        <v>85</v>
      </c>
      <c r="D75" s="7" t="n">
        <v>1180</v>
      </c>
      <c r="E75" s="7" t="n">
        <v>1180</v>
      </c>
      <c r="F75" s="7" t="n">
        <v>59000</v>
      </c>
      <c r="G75" s="19" t="n">
        <v>0.0024635169836531</v>
      </c>
    </row>
    <row r="76" customFormat="false" ht="15" hidden="false" customHeight="false" outlineLevel="0" collapsed="false">
      <c r="A76" s="0" t="s">
        <v>235</v>
      </c>
      <c r="B76" s="0" t="s">
        <v>236</v>
      </c>
      <c r="C76" s="8" t="s">
        <v>84</v>
      </c>
      <c r="D76" s="7" t="n">
        <v>588</v>
      </c>
      <c r="E76" s="7" t="n">
        <v>1176</v>
      </c>
      <c r="F76" s="7" t="n">
        <v>36456</v>
      </c>
      <c r="G76" s="19" t="n">
        <v>0.00245516607862377</v>
      </c>
    </row>
    <row r="77" customFormat="false" ht="15" hidden="false" customHeight="false" outlineLevel="0" collapsed="false">
      <c r="A77" s="0" t="s">
        <v>237</v>
      </c>
      <c r="B77" s="8" t="s">
        <v>238</v>
      </c>
      <c r="C77" s="8" t="s">
        <v>84</v>
      </c>
      <c r="D77" s="7" t="n">
        <v>1170</v>
      </c>
      <c r="E77" s="7" t="n">
        <v>1170</v>
      </c>
      <c r="F77" s="7" t="n">
        <v>26505</v>
      </c>
      <c r="G77" s="19" t="n">
        <v>0.00244263972107977</v>
      </c>
    </row>
    <row r="78" customFormat="false" ht="15" hidden="false" customHeight="false" outlineLevel="0" collapsed="false">
      <c r="A78" s="0" t="s">
        <v>239</v>
      </c>
      <c r="B78" s="0" t="s">
        <v>240</v>
      </c>
      <c r="C78" s="8" t="s">
        <v>84</v>
      </c>
      <c r="D78" s="7" t="n">
        <v>552</v>
      </c>
      <c r="E78" s="7" t="n">
        <v>1104</v>
      </c>
      <c r="F78" s="7" t="n">
        <v>34224</v>
      </c>
      <c r="G78" s="19" t="n">
        <v>0.00230484978809579</v>
      </c>
    </row>
    <row r="79" customFormat="false" ht="15" hidden="false" customHeight="false" outlineLevel="0" collapsed="false">
      <c r="A79" s="0" t="s">
        <v>241</v>
      </c>
      <c r="B79" s="0" t="s">
        <v>242</v>
      </c>
      <c r="C79" s="8" t="s">
        <v>84</v>
      </c>
      <c r="D79" s="7" t="n">
        <v>1100</v>
      </c>
      <c r="E79" s="7" t="n">
        <v>1100</v>
      </c>
      <c r="F79" s="7" t="n">
        <v>49500</v>
      </c>
      <c r="G79" s="19" t="n">
        <v>0.00229649888306645</v>
      </c>
    </row>
    <row r="80" customFormat="false" ht="15" hidden="false" customHeight="false" outlineLevel="0" collapsed="false">
      <c r="A80" s="0" t="s">
        <v>243</v>
      </c>
      <c r="B80" s="0" t="s">
        <v>244</v>
      </c>
      <c r="C80" s="8" t="s">
        <v>84</v>
      </c>
      <c r="D80" s="7" t="n">
        <v>1058</v>
      </c>
      <c r="E80" s="7" t="n">
        <v>1058</v>
      </c>
      <c r="F80" s="7" t="n">
        <v>34098</v>
      </c>
      <c r="G80" s="19" t="n">
        <v>0.00220881438025846</v>
      </c>
    </row>
    <row r="81" customFormat="false" ht="15" hidden="false" customHeight="false" outlineLevel="0" collapsed="false">
      <c r="A81" s="0" t="s">
        <v>245</v>
      </c>
      <c r="B81" s="0" t="s">
        <v>246</v>
      </c>
      <c r="C81" s="8" t="s">
        <v>88</v>
      </c>
      <c r="D81" s="7" t="n">
        <v>1056</v>
      </c>
      <c r="E81" s="7" t="n">
        <v>1056</v>
      </c>
      <c r="F81" s="7" t="n">
        <v>46464</v>
      </c>
      <c r="G81" s="19" t="n">
        <v>0.00220463892774379</v>
      </c>
    </row>
    <row r="82" customFormat="false" ht="15" hidden="false" customHeight="false" outlineLevel="0" collapsed="false">
      <c r="A82" s="0" t="s">
        <v>146</v>
      </c>
      <c r="B82" s="0" t="s">
        <v>247</v>
      </c>
      <c r="C82" s="8" t="s">
        <v>84</v>
      </c>
      <c r="D82" s="7" t="n">
        <v>1050</v>
      </c>
      <c r="E82" s="7" t="n">
        <v>1050</v>
      </c>
      <c r="F82" s="7" t="n">
        <v>24150</v>
      </c>
      <c r="G82" s="19" t="n">
        <v>0.0021921125701998</v>
      </c>
    </row>
    <row r="83" customFormat="false" ht="15" hidden="false" customHeight="false" outlineLevel="0" collapsed="false">
      <c r="A83" s="0" t="s">
        <v>248</v>
      </c>
      <c r="B83" s="8" t="s">
        <v>249</v>
      </c>
      <c r="C83" s="8" t="s">
        <v>84</v>
      </c>
      <c r="D83" s="7" t="n">
        <v>260</v>
      </c>
      <c r="E83" s="7" t="n">
        <v>1040</v>
      </c>
      <c r="F83" s="7" t="n">
        <v>55120</v>
      </c>
      <c r="G83" s="19" t="n">
        <v>0.00217123530762646</v>
      </c>
    </row>
    <row r="84" customFormat="false" ht="15" hidden="false" customHeight="false" outlineLevel="0" collapsed="false">
      <c r="A84" s="0" t="s">
        <v>250</v>
      </c>
      <c r="B84" s="0" t="s">
        <v>251</v>
      </c>
      <c r="C84" s="8" t="s">
        <v>85</v>
      </c>
      <c r="D84" s="7" t="n">
        <v>1020</v>
      </c>
      <c r="E84" s="7" t="n">
        <v>1020</v>
      </c>
      <c r="F84" s="7" t="n">
        <v>47430</v>
      </c>
      <c r="G84" s="19" t="n">
        <v>0.0021294807824798</v>
      </c>
    </row>
    <row r="85" customFormat="false" ht="15" hidden="false" customHeight="false" outlineLevel="0" collapsed="false">
      <c r="A85" s="0" t="s">
        <v>202</v>
      </c>
      <c r="B85" s="0" t="s">
        <v>252</v>
      </c>
      <c r="C85" s="8" t="s">
        <v>84</v>
      </c>
      <c r="D85" s="7" t="n">
        <v>1019</v>
      </c>
      <c r="E85" s="7" t="n">
        <v>1019</v>
      </c>
      <c r="F85" s="7" t="n">
        <v>45855</v>
      </c>
      <c r="G85" s="19" t="n">
        <v>0.00212739305622247</v>
      </c>
    </row>
    <row r="86" customFormat="false" ht="15" hidden="false" customHeight="false" outlineLevel="0" collapsed="false">
      <c r="A86" s="0" t="s">
        <v>253</v>
      </c>
      <c r="B86" s="0" t="s">
        <v>254</v>
      </c>
      <c r="C86" s="8" t="s">
        <v>84</v>
      </c>
      <c r="D86" s="7" t="n">
        <v>1010</v>
      </c>
      <c r="E86" s="7" t="n">
        <v>1010</v>
      </c>
      <c r="F86" s="7" t="n">
        <v>42420</v>
      </c>
      <c r="G86" s="19" t="n">
        <v>0.00210860351990647</v>
      </c>
    </row>
    <row r="87" customFormat="false" ht="15" hidden="false" customHeight="false" outlineLevel="0" collapsed="false">
      <c r="A87" s="0" t="s">
        <v>255</v>
      </c>
      <c r="B87" s="0" t="s">
        <v>256</v>
      </c>
      <c r="C87" s="8" t="s">
        <v>84</v>
      </c>
      <c r="D87" s="7" t="n">
        <v>1000</v>
      </c>
      <c r="E87" s="7" t="n">
        <v>1000</v>
      </c>
      <c r="F87" s="7" t="n">
        <v>41000</v>
      </c>
      <c r="G87" s="19" t="n">
        <v>0.00208772625733314</v>
      </c>
    </row>
    <row r="88" customFormat="false" ht="15" hidden="false" customHeight="false" outlineLevel="0" collapsed="false">
      <c r="A88" s="0" t="s">
        <v>257</v>
      </c>
      <c r="B88" s="8" t="s">
        <v>258</v>
      </c>
      <c r="C88" s="8" t="s">
        <v>85</v>
      </c>
      <c r="D88" s="7" t="n">
        <v>996</v>
      </c>
      <c r="E88" s="7" t="n">
        <v>996</v>
      </c>
      <c r="F88" s="7" t="n">
        <v>44334</v>
      </c>
      <c r="G88" s="19" t="n">
        <v>0.00207937535230381</v>
      </c>
    </row>
    <row r="89" customFormat="false" ht="15" hidden="false" customHeight="false" outlineLevel="0" collapsed="false">
      <c r="A89" s="0" t="s">
        <v>188</v>
      </c>
      <c r="B89" s="0" t="s">
        <v>259</v>
      </c>
      <c r="C89" s="8" t="s">
        <v>84</v>
      </c>
      <c r="D89" s="7" t="n">
        <v>950</v>
      </c>
      <c r="E89" s="7" t="n">
        <v>950</v>
      </c>
      <c r="F89" s="7" t="n">
        <v>35050</v>
      </c>
      <c r="G89" s="19" t="n">
        <v>0.00198333994446648</v>
      </c>
    </row>
    <row r="90" customFormat="false" ht="15" hidden="false" customHeight="false" outlineLevel="0" collapsed="false">
      <c r="A90" s="0" t="s">
        <v>260</v>
      </c>
      <c r="B90" s="8" t="s">
        <v>261</v>
      </c>
      <c r="C90" s="8" t="s">
        <v>88</v>
      </c>
      <c r="D90" s="7" t="n">
        <v>936</v>
      </c>
      <c r="E90" s="7" t="n">
        <v>936</v>
      </c>
      <c r="F90" s="7" t="n">
        <v>7488</v>
      </c>
      <c r="G90" s="19" t="n">
        <v>0.00195411177686382</v>
      </c>
    </row>
    <row r="91" customFormat="false" ht="15" hidden="false" customHeight="false" outlineLevel="0" collapsed="false">
      <c r="A91" s="0" t="s">
        <v>134</v>
      </c>
      <c r="B91" s="0" t="s">
        <v>262</v>
      </c>
      <c r="C91" s="8" t="s">
        <v>85</v>
      </c>
      <c r="D91" s="7" t="n">
        <v>930</v>
      </c>
      <c r="E91" s="7" t="n">
        <v>930</v>
      </c>
      <c r="F91" s="7" t="n">
        <v>46500</v>
      </c>
      <c r="G91" s="19" t="n">
        <v>0.00194158541931982</v>
      </c>
    </row>
    <row r="92" customFormat="false" ht="15" hidden="false" customHeight="false" outlineLevel="0" collapsed="false">
      <c r="A92" s="0" t="s">
        <v>263</v>
      </c>
      <c r="B92" s="8" t="s">
        <v>264</v>
      </c>
      <c r="C92" s="8" t="s">
        <v>88</v>
      </c>
      <c r="D92" s="7" t="n">
        <v>928</v>
      </c>
      <c r="E92" s="7" t="n">
        <v>928</v>
      </c>
      <c r="F92" s="7" t="n">
        <v>7424</v>
      </c>
      <c r="G92" s="19" t="n">
        <v>0.00193740996680515</v>
      </c>
    </row>
    <row r="93" customFormat="false" ht="15" hidden="false" customHeight="false" outlineLevel="0" collapsed="false">
      <c r="A93" s="0" t="s">
        <v>265</v>
      </c>
      <c r="B93" s="0" t="s">
        <v>266</v>
      </c>
      <c r="C93" s="8" t="s">
        <v>85</v>
      </c>
      <c r="D93" s="7" t="n">
        <v>912</v>
      </c>
      <c r="E93" s="7" t="n">
        <v>912</v>
      </c>
      <c r="F93" s="7" t="n">
        <v>40608</v>
      </c>
      <c r="G93" s="19" t="n">
        <v>0.00190400634668782</v>
      </c>
    </row>
    <row r="94" customFormat="false" ht="15" hidden="false" customHeight="false" outlineLevel="0" collapsed="false">
      <c r="A94" s="0" t="s">
        <v>267</v>
      </c>
      <c r="B94" s="8" t="s">
        <v>268</v>
      </c>
      <c r="C94" s="8" t="s">
        <v>88</v>
      </c>
      <c r="D94" s="7" t="n">
        <v>904</v>
      </c>
      <c r="E94" s="7" t="n">
        <v>904</v>
      </c>
      <c r="F94" s="7" t="n">
        <v>7232</v>
      </c>
      <c r="G94" s="19" t="n">
        <v>0.00188730453662916</v>
      </c>
    </row>
    <row r="95" customFormat="false" ht="15" hidden="false" customHeight="false" outlineLevel="0" collapsed="false">
      <c r="A95" s="0" t="s">
        <v>186</v>
      </c>
      <c r="B95" s="8" t="s">
        <v>269</v>
      </c>
      <c r="C95" s="8" t="s">
        <v>88</v>
      </c>
      <c r="D95" s="7" t="n">
        <v>904</v>
      </c>
      <c r="E95" s="7" t="n">
        <v>904</v>
      </c>
      <c r="F95" s="7" t="n">
        <v>7232</v>
      </c>
      <c r="G95" s="19" t="n">
        <v>0.00188730453662916</v>
      </c>
    </row>
    <row r="96" customFormat="false" ht="15" hidden="false" customHeight="false" outlineLevel="0" collapsed="false">
      <c r="A96" s="0" t="s">
        <v>110</v>
      </c>
      <c r="B96" s="0" t="s">
        <v>270</v>
      </c>
      <c r="C96" s="8" t="s">
        <v>84</v>
      </c>
      <c r="D96" s="7" t="n">
        <v>450</v>
      </c>
      <c r="E96" s="7" t="n">
        <v>900</v>
      </c>
      <c r="F96" s="7" t="n">
        <v>20850</v>
      </c>
      <c r="G96" s="19" t="n">
        <v>0.00187895363159983</v>
      </c>
    </row>
    <row r="97" customFormat="false" ht="15" hidden="false" customHeight="false" outlineLevel="0" collapsed="false">
      <c r="A97" s="0" t="s">
        <v>271</v>
      </c>
      <c r="B97" s="8" t="s">
        <v>272</v>
      </c>
      <c r="C97" s="8" t="s">
        <v>84</v>
      </c>
      <c r="D97" s="7" t="n">
        <v>890</v>
      </c>
      <c r="E97" s="7" t="n">
        <v>890</v>
      </c>
      <c r="F97" s="7" t="n">
        <v>21265</v>
      </c>
      <c r="G97" s="19" t="n">
        <v>0.00185807636902649</v>
      </c>
    </row>
    <row r="98" customFormat="false" ht="15" hidden="false" customHeight="false" outlineLevel="0" collapsed="false">
      <c r="A98" s="0" t="s">
        <v>146</v>
      </c>
      <c r="B98" s="0" t="s">
        <v>273</v>
      </c>
      <c r="C98" s="8" t="s">
        <v>84</v>
      </c>
      <c r="D98" s="7" t="n">
        <v>875</v>
      </c>
      <c r="E98" s="7" t="n">
        <v>875</v>
      </c>
      <c r="F98" s="7" t="n">
        <v>20125</v>
      </c>
      <c r="G98" s="19" t="n">
        <v>0.0018267604751665</v>
      </c>
    </row>
    <row r="99" customFormat="false" ht="15" hidden="false" customHeight="false" outlineLevel="0" collapsed="false">
      <c r="A99" s="0" t="s">
        <v>274</v>
      </c>
      <c r="B99" s="8" t="s">
        <v>275</v>
      </c>
      <c r="C99" s="8" t="s">
        <v>84</v>
      </c>
      <c r="D99" s="7" t="n">
        <v>833</v>
      </c>
      <c r="E99" s="7" t="n">
        <v>833</v>
      </c>
      <c r="F99" s="7" t="n">
        <v>34986</v>
      </c>
      <c r="G99" s="19" t="n">
        <v>0.0017390759723585</v>
      </c>
    </row>
    <row r="100" customFormat="false" ht="15" hidden="false" customHeight="false" outlineLevel="0" collapsed="false">
      <c r="A100" s="0" t="s">
        <v>276</v>
      </c>
      <c r="B100" s="8" t="s">
        <v>277</v>
      </c>
      <c r="C100" s="8" t="s">
        <v>84</v>
      </c>
      <c r="D100" s="7" t="n">
        <v>414</v>
      </c>
      <c r="E100" s="7" t="n">
        <v>828</v>
      </c>
      <c r="F100" s="7" t="n">
        <v>18630</v>
      </c>
      <c r="G100" s="19" t="n">
        <v>0.00172863734107184</v>
      </c>
    </row>
    <row r="101" customFormat="false" ht="15" hidden="false" customHeight="false" outlineLevel="0" collapsed="false">
      <c r="A101" s="0" t="s">
        <v>278</v>
      </c>
      <c r="B101" s="8" t="s">
        <v>279</v>
      </c>
      <c r="C101" s="8" t="s">
        <v>84</v>
      </c>
      <c r="D101" s="7" t="n">
        <v>410</v>
      </c>
      <c r="E101" s="7" t="n">
        <v>820</v>
      </c>
      <c r="F101" s="7" t="n">
        <v>23575</v>
      </c>
      <c r="G101" s="19" t="n">
        <v>0.00171193553101317</v>
      </c>
    </row>
    <row r="102" customFormat="false" ht="15" hidden="false" customHeight="false" outlineLevel="0" collapsed="false">
      <c r="A102" s="0" t="s">
        <v>280</v>
      </c>
      <c r="B102" s="8" t="s">
        <v>281</v>
      </c>
      <c r="C102" s="8" t="s">
        <v>84</v>
      </c>
      <c r="D102" s="7" t="n">
        <v>400</v>
      </c>
      <c r="E102" s="7" t="n">
        <v>800</v>
      </c>
      <c r="F102" s="7" t="n">
        <v>33600</v>
      </c>
      <c r="G102" s="19" t="n">
        <v>0.00167018100586651</v>
      </c>
    </row>
    <row r="103" customFormat="false" ht="15" hidden="false" customHeight="false" outlineLevel="0" collapsed="false">
      <c r="A103" s="0" t="s">
        <v>282</v>
      </c>
      <c r="B103" s="0" t="s">
        <v>283</v>
      </c>
      <c r="C103" s="8" t="s">
        <v>84</v>
      </c>
      <c r="D103" s="7" t="n">
        <v>768</v>
      </c>
      <c r="E103" s="7" t="n">
        <v>768</v>
      </c>
      <c r="F103" s="7" t="n">
        <v>23040</v>
      </c>
      <c r="G103" s="19" t="n">
        <v>0.00160337376563185</v>
      </c>
    </row>
    <row r="104" customFormat="false" ht="15" hidden="false" customHeight="false" outlineLevel="0" collapsed="false">
      <c r="A104" s="0" t="s">
        <v>209</v>
      </c>
      <c r="B104" s="8" t="s">
        <v>284</v>
      </c>
      <c r="C104" s="8" t="s">
        <v>84</v>
      </c>
      <c r="D104" s="7" t="n">
        <v>380</v>
      </c>
      <c r="E104" s="7" t="n">
        <v>760</v>
      </c>
      <c r="F104" s="7" t="n">
        <v>40280</v>
      </c>
      <c r="G104" s="19" t="n">
        <v>0.00158667195557319</v>
      </c>
    </row>
    <row r="105" customFormat="false" ht="15" hidden="false" customHeight="false" outlineLevel="0" collapsed="false">
      <c r="A105" s="0" t="s">
        <v>285</v>
      </c>
      <c r="B105" s="0" t="s">
        <v>286</v>
      </c>
      <c r="C105" s="8" t="s">
        <v>87</v>
      </c>
      <c r="D105" s="7" t="n">
        <v>750</v>
      </c>
      <c r="E105" s="7" t="n">
        <v>750</v>
      </c>
      <c r="F105" s="7" t="n">
        <v>28000</v>
      </c>
      <c r="G105" s="19" t="n">
        <v>0.00156579469299985</v>
      </c>
    </row>
    <row r="106" customFormat="false" ht="15" hidden="false" customHeight="false" outlineLevel="0" collapsed="false">
      <c r="A106" s="0" t="s">
        <v>287</v>
      </c>
      <c r="B106" s="0" t="s">
        <v>288</v>
      </c>
      <c r="C106" s="8" t="s">
        <v>84</v>
      </c>
      <c r="D106" s="7" t="n">
        <v>750</v>
      </c>
      <c r="E106" s="7" t="n">
        <v>750</v>
      </c>
      <c r="F106" s="7" t="n">
        <v>17625</v>
      </c>
      <c r="G106" s="19" t="n">
        <v>0.00156579469299985</v>
      </c>
    </row>
    <row r="107" customFormat="false" ht="15" hidden="false" customHeight="false" outlineLevel="0" collapsed="false">
      <c r="A107" s="0" t="s">
        <v>260</v>
      </c>
      <c r="B107" s="8" t="s">
        <v>289</v>
      </c>
      <c r="C107" s="8" t="s">
        <v>88</v>
      </c>
      <c r="D107" s="7" t="n">
        <v>748</v>
      </c>
      <c r="E107" s="7" t="n">
        <v>748</v>
      </c>
      <c r="F107" s="7" t="n">
        <v>5984</v>
      </c>
      <c r="G107" s="19" t="n">
        <v>0.00156161924048519</v>
      </c>
    </row>
    <row r="108" customFormat="false" ht="15" hidden="false" customHeight="false" outlineLevel="0" collapsed="false">
      <c r="A108" s="0" t="s">
        <v>290</v>
      </c>
      <c r="B108" s="0" t="s">
        <v>291</v>
      </c>
      <c r="C108" s="8" t="s">
        <v>84</v>
      </c>
      <c r="D108" s="7" t="n">
        <v>730</v>
      </c>
      <c r="E108" s="7" t="n">
        <v>730</v>
      </c>
      <c r="F108" s="7" t="n">
        <v>18070</v>
      </c>
      <c r="G108" s="19" t="n">
        <v>0.00152404016785319</v>
      </c>
    </row>
    <row r="109" customFormat="false" ht="15" hidden="false" customHeight="false" outlineLevel="0" collapsed="false">
      <c r="A109" s="0" t="s">
        <v>292</v>
      </c>
      <c r="B109" s="0" t="s">
        <v>293</v>
      </c>
      <c r="C109" s="8" t="s">
        <v>85</v>
      </c>
      <c r="D109" s="7" t="n">
        <v>708</v>
      </c>
      <c r="E109" s="7" t="n">
        <v>708</v>
      </c>
      <c r="F109" s="7" t="n">
        <v>32922</v>
      </c>
      <c r="G109" s="19" t="n">
        <v>0.00147811019019186</v>
      </c>
    </row>
    <row r="110" customFormat="false" ht="15" hidden="false" customHeight="false" outlineLevel="0" collapsed="false">
      <c r="A110" s="0" t="s">
        <v>179</v>
      </c>
      <c r="B110" s="0" t="s">
        <v>294</v>
      </c>
      <c r="C110" s="8" t="s">
        <v>85</v>
      </c>
      <c r="D110" s="7" t="n">
        <v>704</v>
      </c>
      <c r="E110" s="7" t="n">
        <v>704</v>
      </c>
      <c r="F110" s="7" t="n">
        <v>35200</v>
      </c>
      <c r="G110" s="19" t="n">
        <v>0.00146975928516253</v>
      </c>
    </row>
    <row r="111" customFormat="false" ht="15" hidden="false" customHeight="false" outlineLevel="0" collapsed="false">
      <c r="A111" s="0" t="s">
        <v>295</v>
      </c>
      <c r="B111" s="0" t="s">
        <v>296</v>
      </c>
      <c r="C111" s="8" t="s">
        <v>84</v>
      </c>
      <c r="D111" s="7" t="n">
        <v>696</v>
      </c>
      <c r="E111" s="7" t="n">
        <v>696</v>
      </c>
      <c r="F111" s="7" t="n">
        <v>23664</v>
      </c>
      <c r="G111" s="19" t="n">
        <v>0.00145305747510386</v>
      </c>
    </row>
    <row r="112" customFormat="false" ht="15" hidden="false" customHeight="false" outlineLevel="0" collapsed="false">
      <c r="A112" s="0" t="s">
        <v>297</v>
      </c>
      <c r="B112" s="0" t="s">
        <v>298</v>
      </c>
      <c r="C112" s="8" t="s">
        <v>84</v>
      </c>
      <c r="D112" s="7" t="n">
        <v>696</v>
      </c>
      <c r="E112" s="7" t="n">
        <v>696</v>
      </c>
      <c r="F112" s="7" t="n">
        <v>23664</v>
      </c>
      <c r="G112" s="19" t="n">
        <v>0.00145305747510386</v>
      </c>
    </row>
    <row r="113" customFormat="false" ht="15" hidden="false" customHeight="false" outlineLevel="0" collapsed="false">
      <c r="A113" s="0" t="s">
        <v>299</v>
      </c>
      <c r="B113" s="8" t="s">
        <v>300</v>
      </c>
      <c r="C113" s="8" t="s">
        <v>88</v>
      </c>
      <c r="D113" s="7" t="n">
        <v>676</v>
      </c>
      <c r="E113" s="7" t="n">
        <v>676</v>
      </c>
      <c r="F113" s="7" t="n">
        <v>5408</v>
      </c>
      <c r="G113" s="19" t="n">
        <v>0.0014113029499572</v>
      </c>
    </row>
    <row r="114" customFormat="false" ht="15" hidden="false" customHeight="false" outlineLevel="0" collapsed="false">
      <c r="A114" s="0" t="s">
        <v>301</v>
      </c>
      <c r="B114" s="0" t="s">
        <v>302</v>
      </c>
      <c r="C114" s="8" t="s">
        <v>84</v>
      </c>
      <c r="D114" s="7" t="n">
        <v>675</v>
      </c>
      <c r="E114" s="7" t="n">
        <v>675</v>
      </c>
      <c r="F114" s="7" t="n">
        <v>19237.5</v>
      </c>
      <c r="G114" s="19" t="n">
        <v>0.00140921522369987</v>
      </c>
    </row>
    <row r="115" customFormat="false" ht="15" hidden="false" customHeight="false" outlineLevel="0" collapsed="false">
      <c r="A115" s="0" t="s">
        <v>303</v>
      </c>
      <c r="B115" s="8" t="s">
        <v>187</v>
      </c>
      <c r="C115" s="8" t="s">
        <v>89</v>
      </c>
      <c r="D115" s="7" t="n">
        <v>674</v>
      </c>
      <c r="E115" s="7" t="n">
        <v>674</v>
      </c>
      <c r="F115" s="7" t="n">
        <v>5392</v>
      </c>
      <c r="G115" s="19" t="n">
        <v>0.00140712749744254</v>
      </c>
    </row>
    <row r="116" customFormat="false" ht="15" hidden="false" customHeight="false" outlineLevel="0" collapsed="false">
      <c r="A116" s="0" t="s">
        <v>304</v>
      </c>
      <c r="B116" s="0" t="s">
        <v>305</v>
      </c>
      <c r="C116" s="8" t="s">
        <v>84</v>
      </c>
      <c r="D116" s="7" t="n">
        <v>672</v>
      </c>
      <c r="E116" s="7" t="n">
        <v>672</v>
      </c>
      <c r="F116" s="7" t="n">
        <v>20160</v>
      </c>
      <c r="G116" s="19" t="n">
        <v>0.00140295204492787</v>
      </c>
    </row>
    <row r="117" customFormat="false" ht="15" hidden="false" customHeight="false" outlineLevel="0" collapsed="false">
      <c r="A117" s="0" t="s">
        <v>306</v>
      </c>
      <c r="B117" s="0" t="s">
        <v>307</v>
      </c>
      <c r="C117" s="8" t="s">
        <v>84</v>
      </c>
      <c r="D117" s="7" t="n">
        <v>650</v>
      </c>
      <c r="E117" s="7" t="n">
        <v>650</v>
      </c>
      <c r="F117" s="7" t="n">
        <v>19500</v>
      </c>
      <c r="G117" s="19" t="n">
        <v>0.00135702206726654</v>
      </c>
    </row>
    <row r="118" customFormat="false" ht="15" hidden="false" customHeight="false" outlineLevel="0" collapsed="false">
      <c r="A118" s="0" t="s">
        <v>308</v>
      </c>
      <c r="B118" s="0" t="s">
        <v>309</v>
      </c>
      <c r="C118" s="8" t="s">
        <v>84</v>
      </c>
      <c r="D118" s="7" t="n">
        <v>645</v>
      </c>
      <c r="E118" s="7" t="n">
        <v>645</v>
      </c>
      <c r="F118" s="7" t="n">
        <v>18022.5</v>
      </c>
      <c r="G118" s="19" t="n">
        <v>0.00134658343597987</v>
      </c>
    </row>
    <row r="119" customFormat="false" ht="15" hidden="false" customHeight="false" outlineLevel="0" collapsed="false">
      <c r="A119" s="0" t="s">
        <v>310</v>
      </c>
      <c r="B119" s="8" t="s">
        <v>311</v>
      </c>
      <c r="C119" s="8" t="s">
        <v>84</v>
      </c>
      <c r="D119" s="7" t="n">
        <v>605</v>
      </c>
      <c r="E119" s="7" t="n">
        <v>605</v>
      </c>
      <c r="F119" s="7" t="n">
        <v>33275</v>
      </c>
      <c r="G119" s="19" t="n">
        <v>0.00126307438568655</v>
      </c>
    </row>
    <row r="120" customFormat="false" ht="15" hidden="false" customHeight="false" outlineLevel="0" collapsed="false">
      <c r="A120" s="0" t="s">
        <v>312</v>
      </c>
      <c r="B120" s="0" t="s">
        <v>313</v>
      </c>
      <c r="C120" s="8" t="s">
        <v>84</v>
      </c>
      <c r="D120" s="7" t="n">
        <v>600</v>
      </c>
      <c r="E120" s="7" t="n">
        <v>600</v>
      </c>
      <c r="F120" s="7" t="n">
        <v>25200</v>
      </c>
      <c r="G120" s="19" t="n">
        <v>0.00125263575439988</v>
      </c>
    </row>
    <row r="121" customFormat="false" ht="15" hidden="false" customHeight="false" outlineLevel="0" collapsed="false">
      <c r="A121" s="0" t="s">
        <v>314</v>
      </c>
      <c r="B121" s="0" t="s">
        <v>315</v>
      </c>
      <c r="C121" s="8" t="s">
        <v>84</v>
      </c>
      <c r="D121" s="7" t="n">
        <v>600</v>
      </c>
      <c r="E121" s="7" t="n">
        <v>600</v>
      </c>
      <c r="F121" s="7" t="n">
        <v>29400</v>
      </c>
      <c r="G121" s="19" t="n">
        <v>0.00125263575439988</v>
      </c>
    </row>
    <row r="122" customFormat="false" ht="15" hidden="false" customHeight="false" outlineLevel="0" collapsed="false">
      <c r="A122" s="0" t="s">
        <v>248</v>
      </c>
      <c r="B122" s="8" t="s">
        <v>316</v>
      </c>
      <c r="C122" s="8" t="s">
        <v>84</v>
      </c>
      <c r="D122" s="7" t="n">
        <v>140</v>
      </c>
      <c r="E122" s="7" t="n">
        <v>560</v>
      </c>
      <c r="F122" s="7" t="n">
        <v>29120</v>
      </c>
      <c r="G122" s="19" t="n">
        <v>0.00116912670410656</v>
      </c>
    </row>
    <row r="123" customFormat="false" ht="15" hidden="false" customHeight="false" outlineLevel="0" collapsed="false">
      <c r="A123" s="0" t="s">
        <v>231</v>
      </c>
      <c r="B123" s="0" t="s">
        <v>317</v>
      </c>
      <c r="C123" s="8" t="s">
        <v>84</v>
      </c>
      <c r="D123" s="7" t="n">
        <v>546</v>
      </c>
      <c r="E123" s="7" t="n">
        <v>546</v>
      </c>
      <c r="F123" s="7" t="n">
        <v>24024</v>
      </c>
      <c r="G123" s="19" t="n">
        <v>0.00113989853650389</v>
      </c>
    </row>
    <row r="124" customFormat="false" ht="15" hidden="false" customHeight="false" outlineLevel="0" collapsed="false">
      <c r="A124" s="0" t="s">
        <v>209</v>
      </c>
      <c r="B124" s="0" t="s">
        <v>318</v>
      </c>
      <c r="C124" s="8" t="s">
        <v>84</v>
      </c>
      <c r="D124" s="7" t="n">
        <v>270</v>
      </c>
      <c r="E124" s="7" t="n">
        <v>540</v>
      </c>
      <c r="F124" s="7" t="n">
        <v>28620</v>
      </c>
      <c r="G124" s="19" t="n">
        <v>0.0011273721789599</v>
      </c>
    </row>
    <row r="125" customFormat="false" ht="15" hidden="false" customHeight="false" outlineLevel="0" collapsed="false">
      <c r="A125" s="0" t="s">
        <v>290</v>
      </c>
      <c r="B125" s="0" t="s">
        <v>319</v>
      </c>
      <c r="C125" s="8" t="s">
        <v>84</v>
      </c>
      <c r="D125" s="7" t="n">
        <v>540</v>
      </c>
      <c r="E125" s="7" t="n">
        <v>540</v>
      </c>
      <c r="F125" s="7" t="n">
        <v>12420</v>
      </c>
      <c r="G125" s="19" t="n">
        <v>0.0011273721789599</v>
      </c>
    </row>
    <row r="126" customFormat="false" ht="15" hidden="false" customHeight="false" outlineLevel="0" collapsed="false">
      <c r="A126" s="0" t="s">
        <v>320</v>
      </c>
      <c r="B126" s="0" t="s">
        <v>321</v>
      </c>
      <c r="C126" s="8" t="s">
        <v>88</v>
      </c>
      <c r="D126" s="7" t="n">
        <v>528</v>
      </c>
      <c r="E126" s="7" t="n">
        <v>528</v>
      </c>
      <c r="F126" s="7" t="n">
        <v>23232</v>
      </c>
      <c r="G126" s="19" t="n">
        <v>0.0011023194638719</v>
      </c>
    </row>
    <row r="127" customFormat="false" ht="15" hidden="false" customHeight="false" outlineLevel="0" collapsed="false">
      <c r="A127" s="0" t="s">
        <v>322</v>
      </c>
      <c r="B127" s="0" t="s">
        <v>323</v>
      </c>
      <c r="C127" s="8" t="s">
        <v>88</v>
      </c>
      <c r="D127" s="7" t="n">
        <v>528</v>
      </c>
      <c r="E127" s="7" t="n">
        <v>528</v>
      </c>
      <c r="F127" s="7" t="n">
        <v>23232</v>
      </c>
      <c r="G127" s="19" t="n">
        <v>0.0011023194638719</v>
      </c>
    </row>
    <row r="128" customFormat="false" ht="15" hidden="false" customHeight="false" outlineLevel="0" collapsed="false">
      <c r="A128" s="0" t="s">
        <v>324</v>
      </c>
      <c r="B128" s="0" t="s">
        <v>325</v>
      </c>
      <c r="C128" s="8" t="s">
        <v>84</v>
      </c>
      <c r="D128" s="7" t="n">
        <v>516</v>
      </c>
      <c r="E128" s="7" t="n">
        <v>516</v>
      </c>
      <c r="F128" s="7" t="n">
        <v>16596</v>
      </c>
      <c r="G128" s="19" t="n">
        <v>0.0010772667487839</v>
      </c>
    </row>
    <row r="129" customFormat="false" ht="15" hidden="false" customHeight="false" outlineLevel="0" collapsed="false">
      <c r="A129" s="0" t="s">
        <v>326</v>
      </c>
      <c r="B129" s="0" t="s">
        <v>327</v>
      </c>
      <c r="C129" s="8" t="s">
        <v>85</v>
      </c>
      <c r="D129" s="7" t="n">
        <v>512</v>
      </c>
      <c r="E129" s="7" t="n">
        <v>512</v>
      </c>
      <c r="F129" s="7" t="n">
        <v>21504</v>
      </c>
      <c r="G129" s="19" t="n">
        <v>0.00106891584375457</v>
      </c>
    </row>
    <row r="130" customFormat="false" ht="15" hidden="false" customHeight="false" outlineLevel="0" collapsed="false">
      <c r="A130" s="0" t="s">
        <v>328</v>
      </c>
      <c r="B130" s="0" t="s">
        <v>329</v>
      </c>
      <c r="C130" s="8" t="s">
        <v>84</v>
      </c>
      <c r="D130" s="7" t="n">
        <v>510</v>
      </c>
      <c r="E130" s="7" t="n">
        <v>510</v>
      </c>
      <c r="F130" s="7" t="n">
        <v>22950</v>
      </c>
      <c r="G130" s="19" t="n">
        <v>0.0010647403912399</v>
      </c>
    </row>
    <row r="131" customFormat="false" ht="15" hidden="false" customHeight="false" outlineLevel="0" collapsed="false">
      <c r="A131" s="0" t="s">
        <v>330</v>
      </c>
      <c r="B131" s="0" t="s">
        <v>331</v>
      </c>
      <c r="C131" s="8" t="s">
        <v>84</v>
      </c>
      <c r="D131" s="7" t="n">
        <v>510</v>
      </c>
      <c r="E131" s="7" t="n">
        <v>510</v>
      </c>
      <c r="F131" s="7" t="n">
        <v>22950</v>
      </c>
      <c r="G131" s="19" t="n">
        <v>0.0010647403912399</v>
      </c>
    </row>
    <row r="132" customFormat="false" ht="15" hidden="false" customHeight="false" outlineLevel="0" collapsed="false">
      <c r="A132" s="0" t="s">
        <v>332</v>
      </c>
      <c r="B132" s="0" t="s">
        <v>333</v>
      </c>
      <c r="C132" s="8" t="s">
        <v>84</v>
      </c>
      <c r="D132" s="7" t="n">
        <v>504</v>
      </c>
      <c r="E132" s="7" t="n">
        <v>504</v>
      </c>
      <c r="F132" s="7" t="n">
        <v>17136</v>
      </c>
      <c r="G132" s="19" t="n">
        <v>0.0010522140336959</v>
      </c>
    </row>
    <row r="133" customFormat="false" ht="15" hidden="false" customHeight="false" outlineLevel="0" collapsed="false">
      <c r="A133" s="0" t="s">
        <v>334</v>
      </c>
      <c r="B133" s="0" t="s">
        <v>335</v>
      </c>
      <c r="C133" s="8" t="s">
        <v>84</v>
      </c>
      <c r="D133" s="7" t="n">
        <v>504</v>
      </c>
      <c r="E133" s="7" t="n">
        <v>504</v>
      </c>
      <c r="F133" s="7" t="n">
        <v>17136</v>
      </c>
      <c r="G133" s="19" t="n">
        <v>0.0010522140336959</v>
      </c>
    </row>
    <row r="134" customFormat="false" ht="15" hidden="false" customHeight="false" outlineLevel="0" collapsed="false">
      <c r="A134" s="0" t="s">
        <v>114</v>
      </c>
      <c r="B134" s="0" t="s">
        <v>336</v>
      </c>
      <c r="C134" s="8" t="s">
        <v>84</v>
      </c>
      <c r="D134" s="7" t="n">
        <v>250</v>
      </c>
      <c r="E134" s="7" t="n">
        <v>500</v>
      </c>
      <c r="F134" s="7" t="n">
        <v>11250</v>
      </c>
      <c r="G134" s="19" t="n">
        <v>0.00104386312866657</v>
      </c>
    </row>
    <row r="135" customFormat="false" ht="15" hidden="false" customHeight="false" outlineLevel="0" collapsed="false">
      <c r="A135" s="0" t="s">
        <v>196</v>
      </c>
      <c r="B135" s="0" t="s">
        <v>337</v>
      </c>
      <c r="C135" s="8" t="s">
        <v>84</v>
      </c>
      <c r="D135" s="7" t="n">
        <v>500</v>
      </c>
      <c r="E135" s="7" t="n">
        <v>500</v>
      </c>
      <c r="F135" s="7" t="n">
        <v>23500</v>
      </c>
      <c r="G135" s="19" t="n">
        <v>0.00104386312866657</v>
      </c>
    </row>
    <row r="136" customFormat="false" ht="15" hidden="false" customHeight="false" outlineLevel="0" collapsed="false">
      <c r="A136" s="0" t="s">
        <v>213</v>
      </c>
      <c r="B136" s="0" t="s">
        <v>338</v>
      </c>
      <c r="C136" s="8" t="s">
        <v>84</v>
      </c>
      <c r="D136" s="7" t="n">
        <v>500</v>
      </c>
      <c r="E136" s="7" t="n">
        <v>500</v>
      </c>
      <c r="F136" s="7" t="n">
        <v>11500</v>
      </c>
      <c r="G136" s="19" t="n">
        <v>0.00104386312866657</v>
      </c>
    </row>
    <row r="137" customFormat="false" ht="15" hidden="false" customHeight="false" outlineLevel="0" collapsed="false">
      <c r="A137" s="0" t="s">
        <v>339</v>
      </c>
      <c r="B137" s="0" t="s">
        <v>340</v>
      </c>
      <c r="C137" s="8" t="s">
        <v>84</v>
      </c>
      <c r="D137" s="7" t="n">
        <v>500</v>
      </c>
      <c r="E137" s="7" t="n">
        <v>500</v>
      </c>
      <c r="F137" s="7" t="n">
        <v>15000</v>
      </c>
      <c r="G137" s="19" t="n">
        <v>0.00104386312866657</v>
      </c>
    </row>
    <row r="138" customFormat="false" ht="15" hidden="false" customHeight="false" outlineLevel="0" collapsed="false">
      <c r="A138" s="0" t="s">
        <v>341</v>
      </c>
      <c r="B138" s="8" t="s">
        <v>342</v>
      </c>
      <c r="C138" s="8" t="s">
        <v>84</v>
      </c>
      <c r="D138" s="7" t="n">
        <v>248</v>
      </c>
      <c r="E138" s="7" t="n">
        <v>496</v>
      </c>
      <c r="F138" s="7" t="n">
        <v>26784</v>
      </c>
      <c r="G138" s="19" t="n">
        <v>0.00103551222363724</v>
      </c>
    </row>
    <row r="139" customFormat="false" ht="15" hidden="false" customHeight="false" outlineLevel="0" collapsed="false">
      <c r="A139" s="0" t="s">
        <v>343</v>
      </c>
      <c r="B139" s="8" t="s">
        <v>344</v>
      </c>
      <c r="C139" s="8" t="s">
        <v>84</v>
      </c>
      <c r="D139" s="7" t="n">
        <v>248</v>
      </c>
      <c r="E139" s="7" t="n">
        <v>496</v>
      </c>
      <c r="F139" s="7" t="n">
        <v>53072</v>
      </c>
      <c r="G139" s="19" t="n">
        <v>0.00103551222363724</v>
      </c>
    </row>
    <row r="140" customFormat="false" ht="15" hidden="false" customHeight="false" outlineLevel="0" collapsed="false">
      <c r="A140" s="0" t="s">
        <v>106</v>
      </c>
      <c r="B140" s="0" t="s">
        <v>345</v>
      </c>
      <c r="C140" s="8" t="s">
        <v>84</v>
      </c>
      <c r="D140" s="7" t="n">
        <v>495</v>
      </c>
      <c r="E140" s="7" t="n">
        <v>495</v>
      </c>
      <c r="F140" s="7" t="n">
        <v>11137.5</v>
      </c>
      <c r="G140" s="19" t="n">
        <v>0.0010334244973799</v>
      </c>
    </row>
    <row r="141" customFormat="false" ht="15" hidden="false" customHeight="false" outlineLevel="0" collapsed="false">
      <c r="A141" s="0" t="s">
        <v>346</v>
      </c>
      <c r="B141" s="0" t="s">
        <v>347</v>
      </c>
      <c r="C141" s="8" t="s">
        <v>84</v>
      </c>
      <c r="D141" s="7" t="n">
        <v>490</v>
      </c>
      <c r="E141" s="7" t="n">
        <v>490</v>
      </c>
      <c r="F141" s="7" t="n">
        <v>14700</v>
      </c>
      <c r="G141" s="19" t="n">
        <v>0.00102298586609324</v>
      </c>
    </row>
    <row r="142" customFormat="false" ht="15" hidden="false" customHeight="false" outlineLevel="0" collapsed="false">
      <c r="A142" s="0" t="s">
        <v>213</v>
      </c>
      <c r="B142" s="0" t="s">
        <v>348</v>
      </c>
      <c r="C142" s="8" t="s">
        <v>84</v>
      </c>
      <c r="D142" s="7" t="n">
        <v>490</v>
      </c>
      <c r="E142" s="7" t="n">
        <v>490</v>
      </c>
      <c r="F142" s="7" t="n">
        <v>12250</v>
      </c>
      <c r="G142" s="19" t="n">
        <v>0.00102298586609324</v>
      </c>
    </row>
    <row r="143" customFormat="false" ht="15" hidden="false" customHeight="false" outlineLevel="0" collapsed="false">
      <c r="A143" s="0" t="s">
        <v>349</v>
      </c>
      <c r="B143" s="0" t="s">
        <v>350</v>
      </c>
      <c r="C143" s="8" t="s">
        <v>84</v>
      </c>
      <c r="D143" s="7" t="n">
        <v>480</v>
      </c>
      <c r="E143" s="7" t="n">
        <v>480</v>
      </c>
      <c r="F143" s="7" t="n">
        <v>14400</v>
      </c>
      <c r="G143" s="19" t="n">
        <v>0.00100210860351991</v>
      </c>
    </row>
    <row r="144" customFormat="false" ht="15" hidden="false" customHeight="false" outlineLevel="0" collapsed="false">
      <c r="A144" s="0" t="s">
        <v>351</v>
      </c>
      <c r="B144" s="8" t="s">
        <v>352</v>
      </c>
      <c r="C144" s="8" t="s">
        <v>85</v>
      </c>
      <c r="D144" s="7" t="n">
        <v>480</v>
      </c>
      <c r="E144" s="7" t="n">
        <v>480</v>
      </c>
      <c r="F144" s="7" t="n">
        <v>21600</v>
      </c>
      <c r="G144" s="19" t="n">
        <v>0.00100210860351991</v>
      </c>
    </row>
    <row r="145" customFormat="false" ht="15" hidden="false" customHeight="false" outlineLevel="0" collapsed="false">
      <c r="A145" s="0" t="s">
        <v>314</v>
      </c>
      <c r="B145" s="0" t="s">
        <v>353</v>
      </c>
      <c r="C145" s="8" t="s">
        <v>84</v>
      </c>
      <c r="D145" s="7" t="n">
        <v>476</v>
      </c>
      <c r="E145" s="7" t="n">
        <v>476</v>
      </c>
      <c r="F145" s="7" t="n">
        <v>22372</v>
      </c>
      <c r="G145" s="19" t="n">
        <v>0.000993757698490574</v>
      </c>
    </row>
    <row r="146" customFormat="false" ht="15" hidden="false" customHeight="false" outlineLevel="0" collapsed="false">
      <c r="A146" s="0" t="s">
        <v>354</v>
      </c>
      <c r="B146" s="8" t="s">
        <v>355</v>
      </c>
      <c r="C146" s="8" t="s">
        <v>89</v>
      </c>
      <c r="D146" s="7" t="n">
        <v>464</v>
      </c>
      <c r="E146" s="7" t="n">
        <v>464</v>
      </c>
      <c r="F146" s="7" t="n">
        <v>3712</v>
      </c>
      <c r="G146" s="19" t="n">
        <v>0.000968704983402576</v>
      </c>
    </row>
    <row r="147" customFormat="false" ht="15" hidden="false" customHeight="false" outlineLevel="0" collapsed="false">
      <c r="A147" s="0" t="s">
        <v>341</v>
      </c>
      <c r="B147" s="0" t="s">
        <v>356</v>
      </c>
      <c r="C147" s="8" t="s">
        <v>84</v>
      </c>
      <c r="D147" s="7" t="n">
        <v>230</v>
      </c>
      <c r="E147" s="7" t="n">
        <v>460</v>
      </c>
      <c r="F147" s="7" t="n">
        <v>24380</v>
      </c>
      <c r="G147" s="19" t="n">
        <v>0.000960354078373244</v>
      </c>
    </row>
    <row r="148" customFormat="false" ht="15" hidden="false" customHeight="false" outlineLevel="0" collapsed="false">
      <c r="A148" s="0" t="s">
        <v>357</v>
      </c>
      <c r="B148" s="0" t="s">
        <v>358</v>
      </c>
      <c r="C148" s="8" t="s">
        <v>84</v>
      </c>
      <c r="D148" s="7" t="n">
        <v>460</v>
      </c>
      <c r="E148" s="7" t="n">
        <v>460</v>
      </c>
      <c r="F148" s="7" t="n">
        <v>11500</v>
      </c>
      <c r="G148" s="19" t="n">
        <v>0.000960354078373244</v>
      </c>
    </row>
    <row r="149" customFormat="false" ht="15" hidden="false" customHeight="false" outlineLevel="0" collapsed="false">
      <c r="A149" s="0" t="s">
        <v>359</v>
      </c>
      <c r="B149" s="0" t="s">
        <v>360</v>
      </c>
      <c r="C149" s="8" t="s">
        <v>84</v>
      </c>
      <c r="D149" s="7" t="n">
        <v>228</v>
      </c>
      <c r="E149" s="7" t="n">
        <v>456</v>
      </c>
      <c r="F149" s="7" t="n">
        <v>23712</v>
      </c>
      <c r="G149" s="19" t="n">
        <v>0.000952003173343911</v>
      </c>
    </row>
    <row r="150" customFormat="false" ht="15" hidden="false" customHeight="false" outlineLevel="0" collapsed="false">
      <c r="A150" s="0" t="s">
        <v>263</v>
      </c>
      <c r="B150" s="8" t="s">
        <v>361</v>
      </c>
      <c r="C150" s="8" t="s">
        <v>88</v>
      </c>
      <c r="D150" s="7" t="n">
        <v>432</v>
      </c>
      <c r="E150" s="7" t="n">
        <v>432</v>
      </c>
      <c r="F150" s="7" t="n">
        <v>3456</v>
      </c>
      <c r="G150" s="19" t="n">
        <v>0.000901897743167916</v>
      </c>
    </row>
    <row r="151" customFormat="false" ht="15" hidden="false" customHeight="false" outlineLevel="0" collapsed="false">
      <c r="A151" s="0" t="s">
        <v>166</v>
      </c>
      <c r="B151" s="0" t="s">
        <v>362</v>
      </c>
      <c r="C151" s="8" t="s">
        <v>84</v>
      </c>
      <c r="D151" s="7" t="n">
        <v>210</v>
      </c>
      <c r="E151" s="7" t="n">
        <v>420</v>
      </c>
      <c r="F151" s="7" t="n">
        <v>9450</v>
      </c>
      <c r="G151" s="19" t="n">
        <v>0.000876845028079918</v>
      </c>
    </row>
    <row r="152" customFormat="false" ht="15" hidden="false" customHeight="false" outlineLevel="0" collapsed="false">
      <c r="A152" s="0" t="s">
        <v>363</v>
      </c>
      <c r="B152" s="0" t="s">
        <v>364</v>
      </c>
      <c r="C152" s="8" t="s">
        <v>85</v>
      </c>
      <c r="D152" s="7" t="n">
        <v>416</v>
      </c>
      <c r="E152" s="7" t="n">
        <v>416</v>
      </c>
      <c r="F152" s="7" t="n">
        <v>18720</v>
      </c>
      <c r="G152" s="19" t="n">
        <v>0.000868494123050586</v>
      </c>
    </row>
    <row r="153" customFormat="false" ht="15" hidden="false" customHeight="false" outlineLevel="0" collapsed="false">
      <c r="A153" s="0" t="s">
        <v>354</v>
      </c>
      <c r="B153" s="8" t="s">
        <v>365</v>
      </c>
      <c r="C153" s="8" t="s">
        <v>89</v>
      </c>
      <c r="D153" s="7" t="n">
        <v>408</v>
      </c>
      <c r="E153" s="7" t="n">
        <v>408</v>
      </c>
      <c r="F153" s="7" t="n">
        <v>3264</v>
      </c>
      <c r="G153" s="19" t="n">
        <v>0.00085179231299192</v>
      </c>
    </row>
    <row r="154" customFormat="false" ht="15" hidden="false" customHeight="false" outlineLevel="0" collapsed="false">
      <c r="A154" s="0" t="s">
        <v>366</v>
      </c>
      <c r="B154" s="8" t="s">
        <v>367</v>
      </c>
      <c r="C154" s="8" t="s">
        <v>84</v>
      </c>
      <c r="D154" s="7" t="n">
        <v>400</v>
      </c>
      <c r="E154" s="7" t="n">
        <v>400</v>
      </c>
      <c r="F154" s="7" t="n">
        <v>9500</v>
      </c>
      <c r="G154" s="19" t="n">
        <v>0.000835090502933255</v>
      </c>
    </row>
    <row r="155" customFormat="false" ht="15" hidden="false" customHeight="false" outlineLevel="0" collapsed="false">
      <c r="A155" s="0" t="s">
        <v>225</v>
      </c>
      <c r="B155" s="8" t="s">
        <v>368</v>
      </c>
      <c r="C155" s="8" t="s">
        <v>88</v>
      </c>
      <c r="D155" s="7" t="n">
        <v>396</v>
      </c>
      <c r="E155" s="7" t="n">
        <v>396</v>
      </c>
      <c r="F155" s="7" t="n">
        <v>3168</v>
      </c>
      <c r="G155" s="19" t="n">
        <v>0.000826739597903923</v>
      </c>
    </row>
    <row r="156" customFormat="false" ht="15" hidden="false" customHeight="false" outlineLevel="0" collapsed="false">
      <c r="A156" s="0" t="s">
        <v>369</v>
      </c>
      <c r="B156" s="8" t="s">
        <v>370</v>
      </c>
      <c r="C156" s="8" t="s">
        <v>88</v>
      </c>
      <c r="D156" s="7" t="n">
        <v>198</v>
      </c>
      <c r="E156" s="7" t="n">
        <v>396</v>
      </c>
      <c r="F156" s="7" t="n">
        <v>3168</v>
      </c>
      <c r="G156" s="19" t="n">
        <v>0.000826739597903923</v>
      </c>
    </row>
    <row r="157" customFormat="false" ht="15" hidden="false" customHeight="false" outlineLevel="0" collapsed="false">
      <c r="A157" s="0" t="s">
        <v>371</v>
      </c>
      <c r="B157" s="0" t="s">
        <v>372</v>
      </c>
      <c r="C157" s="8" t="s">
        <v>84</v>
      </c>
      <c r="D157" s="7" t="n">
        <v>395</v>
      </c>
      <c r="E157" s="7" t="n">
        <v>395</v>
      </c>
      <c r="F157" s="7" t="n">
        <v>9587.5</v>
      </c>
      <c r="G157" s="19" t="n">
        <v>0.00082465187164659</v>
      </c>
    </row>
    <row r="158" customFormat="false" ht="15" hidden="false" customHeight="false" outlineLevel="0" collapsed="false">
      <c r="A158" s="0" t="s">
        <v>373</v>
      </c>
      <c r="B158" s="0" t="s">
        <v>374</v>
      </c>
      <c r="C158" s="8" t="s">
        <v>84</v>
      </c>
      <c r="D158" s="7" t="n">
        <v>394</v>
      </c>
      <c r="E158" s="7" t="n">
        <v>394</v>
      </c>
      <c r="F158" s="7" t="n">
        <v>18518</v>
      </c>
      <c r="G158" s="19" t="n">
        <v>0.000822564145389257</v>
      </c>
    </row>
    <row r="159" customFormat="false" ht="15" hidden="false" customHeight="false" outlineLevel="0" collapsed="false">
      <c r="A159" s="0" t="s">
        <v>130</v>
      </c>
      <c r="B159" s="0" t="s">
        <v>375</v>
      </c>
      <c r="C159" s="8" t="s">
        <v>84</v>
      </c>
      <c r="D159" s="7" t="n">
        <v>360</v>
      </c>
      <c r="E159" s="7" t="n">
        <v>360</v>
      </c>
      <c r="F159" s="7" t="n">
        <v>8280</v>
      </c>
      <c r="G159" s="19" t="n">
        <v>0.00075158145263993</v>
      </c>
    </row>
    <row r="160" customFormat="false" ht="15" hidden="false" customHeight="false" outlineLevel="0" collapsed="false">
      <c r="A160" s="0" t="s">
        <v>255</v>
      </c>
      <c r="B160" s="0" t="s">
        <v>376</v>
      </c>
      <c r="C160" s="8" t="s">
        <v>84</v>
      </c>
      <c r="D160" s="7" t="n">
        <v>360</v>
      </c>
      <c r="E160" s="7" t="n">
        <v>360</v>
      </c>
      <c r="F160" s="7" t="n">
        <v>14760</v>
      </c>
      <c r="G160" s="19" t="n">
        <v>0.00075158145263993</v>
      </c>
    </row>
    <row r="161" customFormat="false" ht="15" hidden="false" customHeight="false" outlineLevel="0" collapsed="false">
      <c r="A161" s="0" t="s">
        <v>118</v>
      </c>
      <c r="B161" s="0" t="s">
        <v>377</v>
      </c>
      <c r="C161" s="8" t="s">
        <v>84</v>
      </c>
      <c r="D161" s="7" t="n">
        <v>360</v>
      </c>
      <c r="E161" s="7" t="n">
        <v>360</v>
      </c>
      <c r="F161" s="7" t="n">
        <v>8100</v>
      </c>
      <c r="G161" s="19" t="n">
        <v>0.00075158145263993</v>
      </c>
    </row>
    <row r="162" customFormat="false" ht="15" hidden="false" customHeight="false" outlineLevel="0" collapsed="false">
      <c r="A162" s="0" t="s">
        <v>378</v>
      </c>
      <c r="B162" s="8" t="s">
        <v>379</v>
      </c>
      <c r="C162" s="8" t="s">
        <v>84</v>
      </c>
      <c r="D162" s="7" t="n">
        <v>180</v>
      </c>
      <c r="E162" s="7" t="n">
        <v>360</v>
      </c>
      <c r="F162" s="7" t="n">
        <v>8100</v>
      </c>
      <c r="G162" s="19" t="n">
        <v>0.00075158145263993</v>
      </c>
    </row>
    <row r="163" customFormat="false" ht="15" hidden="false" customHeight="false" outlineLevel="0" collapsed="false">
      <c r="A163" s="0" t="s">
        <v>380</v>
      </c>
      <c r="B163" s="8" t="s">
        <v>381</v>
      </c>
      <c r="C163" s="8" t="s">
        <v>85</v>
      </c>
      <c r="D163" s="7" t="n">
        <v>348</v>
      </c>
      <c r="E163" s="7" t="n">
        <v>348</v>
      </c>
      <c r="F163" s="7" t="n">
        <v>16182</v>
      </c>
      <c r="G163" s="19" t="n">
        <v>0.000726528737551932</v>
      </c>
    </row>
    <row r="164" customFormat="false" ht="15" hidden="false" customHeight="false" outlineLevel="0" collapsed="false">
      <c r="A164" s="0" t="s">
        <v>382</v>
      </c>
      <c r="B164" s="8" t="s">
        <v>383</v>
      </c>
      <c r="C164" s="8" t="s">
        <v>85</v>
      </c>
      <c r="D164" s="7" t="n">
        <v>336</v>
      </c>
      <c r="E164" s="7" t="n">
        <v>336</v>
      </c>
      <c r="F164" s="7" t="n">
        <v>15120</v>
      </c>
      <c r="G164" s="19" t="n">
        <v>0.000701476022463935</v>
      </c>
    </row>
    <row r="165" customFormat="false" ht="15" hidden="false" customHeight="false" outlineLevel="0" collapsed="false">
      <c r="A165" s="0" t="s">
        <v>130</v>
      </c>
      <c r="B165" s="0" t="s">
        <v>384</v>
      </c>
      <c r="C165" s="8" t="s">
        <v>84</v>
      </c>
      <c r="D165" s="7" t="n">
        <v>335</v>
      </c>
      <c r="E165" s="7" t="n">
        <v>335</v>
      </c>
      <c r="F165" s="7" t="n">
        <v>7705</v>
      </c>
      <c r="G165" s="19" t="n">
        <v>0.000699388296206601</v>
      </c>
    </row>
    <row r="166" customFormat="false" ht="15" hidden="false" customHeight="false" outlineLevel="0" collapsed="false">
      <c r="A166" s="0" t="s">
        <v>385</v>
      </c>
      <c r="B166" s="0" t="s">
        <v>386</v>
      </c>
      <c r="C166" s="8" t="s">
        <v>84</v>
      </c>
      <c r="D166" s="7" t="n">
        <v>325</v>
      </c>
      <c r="E166" s="7" t="n">
        <v>325</v>
      </c>
      <c r="F166" s="7" t="n">
        <v>7512.5</v>
      </c>
      <c r="G166" s="19" t="n">
        <v>0.00067851103363327</v>
      </c>
    </row>
    <row r="167" customFormat="false" ht="15" hidden="false" customHeight="false" outlineLevel="0" collapsed="false">
      <c r="A167" s="0" t="s">
        <v>387</v>
      </c>
      <c r="B167" s="0" t="s">
        <v>388</v>
      </c>
      <c r="C167" s="8" t="s">
        <v>84</v>
      </c>
      <c r="D167" s="7" t="n">
        <v>324</v>
      </c>
      <c r="E167" s="7" t="n">
        <v>324</v>
      </c>
      <c r="F167" s="7" t="n">
        <v>14406</v>
      </c>
      <c r="G167" s="19" t="n">
        <v>0.000676423307375937</v>
      </c>
    </row>
    <row r="168" customFormat="false" ht="15" hidden="false" customHeight="false" outlineLevel="0" collapsed="false">
      <c r="A168" s="0" t="s">
        <v>389</v>
      </c>
      <c r="B168" s="0" t="s">
        <v>390</v>
      </c>
      <c r="C168" s="8" t="s">
        <v>84</v>
      </c>
      <c r="D168" s="7" t="n">
        <v>324</v>
      </c>
      <c r="E168" s="7" t="n">
        <v>324</v>
      </c>
      <c r="F168" s="7" t="n">
        <v>9720</v>
      </c>
      <c r="G168" s="19" t="n">
        <v>0.000676423307375937</v>
      </c>
    </row>
    <row r="169" customFormat="false" ht="15" hidden="false" customHeight="false" outlineLevel="0" collapsed="false">
      <c r="A169" s="0" t="s">
        <v>387</v>
      </c>
      <c r="B169" s="0" t="s">
        <v>391</v>
      </c>
      <c r="C169" s="8" t="s">
        <v>84</v>
      </c>
      <c r="D169" s="7" t="n">
        <v>320</v>
      </c>
      <c r="E169" s="7" t="n">
        <v>320</v>
      </c>
      <c r="F169" s="7" t="n">
        <v>15040</v>
      </c>
      <c r="G169" s="19" t="n">
        <v>0.000668072402346604</v>
      </c>
    </row>
    <row r="170" customFormat="false" ht="15" hidden="false" customHeight="false" outlineLevel="0" collapsed="false">
      <c r="A170" s="0" t="s">
        <v>392</v>
      </c>
      <c r="B170" s="8" t="s">
        <v>393</v>
      </c>
      <c r="C170" s="8" t="s">
        <v>84</v>
      </c>
      <c r="D170" s="7" t="n">
        <v>160</v>
      </c>
      <c r="E170" s="7" t="n">
        <v>320</v>
      </c>
      <c r="F170" s="7" t="n">
        <v>9200</v>
      </c>
      <c r="G170" s="19" t="n">
        <v>0.000668072402346604</v>
      </c>
    </row>
    <row r="171" customFormat="false" ht="15" hidden="false" customHeight="false" outlineLevel="0" collapsed="false">
      <c r="A171" s="0" t="s">
        <v>394</v>
      </c>
      <c r="B171" s="0" t="s">
        <v>395</v>
      </c>
      <c r="C171" s="8" t="s">
        <v>85</v>
      </c>
      <c r="D171" s="7" t="n">
        <v>312</v>
      </c>
      <c r="E171" s="7" t="n">
        <v>312</v>
      </c>
      <c r="F171" s="7" t="n">
        <v>14508</v>
      </c>
      <c r="G171" s="19" t="n">
        <v>0.000651370592287939</v>
      </c>
    </row>
    <row r="172" customFormat="false" ht="15" hidden="false" customHeight="false" outlineLevel="0" collapsed="false">
      <c r="A172" s="0" t="s">
        <v>221</v>
      </c>
      <c r="B172" s="0" t="s">
        <v>396</v>
      </c>
      <c r="C172" s="8" t="s">
        <v>84</v>
      </c>
      <c r="D172" s="7" t="n">
        <v>310</v>
      </c>
      <c r="E172" s="7" t="n">
        <v>310</v>
      </c>
      <c r="F172" s="7" t="n">
        <v>14640</v>
      </c>
      <c r="G172" s="19" t="n">
        <v>0.000647195139773273</v>
      </c>
    </row>
    <row r="173" customFormat="false" ht="15" hidden="false" customHeight="false" outlineLevel="0" collapsed="false">
      <c r="A173" s="0" t="s">
        <v>397</v>
      </c>
      <c r="B173" s="8" t="s">
        <v>398</v>
      </c>
      <c r="C173" s="8" t="s">
        <v>84</v>
      </c>
      <c r="D173" s="7" t="n">
        <v>300</v>
      </c>
      <c r="E173" s="7" t="n">
        <v>300</v>
      </c>
      <c r="F173" s="7" t="n">
        <v>32400</v>
      </c>
      <c r="G173" s="19" t="n">
        <v>0.000626317877199942</v>
      </c>
    </row>
    <row r="174" customFormat="false" ht="15" hidden="false" customHeight="false" outlineLevel="0" collapsed="false">
      <c r="A174" s="0" t="s">
        <v>217</v>
      </c>
      <c r="B174" s="0" t="s">
        <v>399</v>
      </c>
      <c r="C174" s="8" t="s">
        <v>85</v>
      </c>
      <c r="D174" s="7" t="n">
        <v>300</v>
      </c>
      <c r="E174" s="7" t="n">
        <v>300</v>
      </c>
      <c r="F174" s="7" t="n">
        <v>15000</v>
      </c>
      <c r="G174" s="19" t="n">
        <v>0.000626317877199942</v>
      </c>
    </row>
    <row r="175" customFormat="false" ht="15" hidden="false" customHeight="false" outlineLevel="0" collapsed="false">
      <c r="A175" s="0" t="s">
        <v>312</v>
      </c>
      <c r="B175" s="0" t="s">
        <v>400</v>
      </c>
      <c r="C175" s="8" t="s">
        <v>84</v>
      </c>
      <c r="D175" s="7" t="n">
        <v>300</v>
      </c>
      <c r="E175" s="7" t="n">
        <v>300</v>
      </c>
      <c r="F175" s="7" t="n">
        <v>12600</v>
      </c>
      <c r="G175" s="19" t="n">
        <v>0.000626317877199942</v>
      </c>
    </row>
    <row r="176" customFormat="false" ht="15" hidden="false" customHeight="false" outlineLevel="0" collapsed="false">
      <c r="A176" s="0" t="s">
        <v>401</v>
      </c>
      <c r="B176" s="8" t="s">
        <v>402</v>
      </c>
      <c r="C176" s="8" t="s">
        <v>84</v>
      </c>
      <c r="D176" s="7" t="n">
        <v>300</v>
      </c>
      <c r="E176" s="7" t="n">
        <v>300</v>
      </c>
      <c r="F176" s="7" t="n">
        <v>8700</v>
      </c>
      <c r="G176" s="19" t="n">
        <v>0.000626317877199942</v>
      </c>
    </row>
    <row r="177" customFormat="false" ht="15" hidden="false" customHeight="false" outlineLevel="0" collapsed="false">
      <c r="A177" s="0" t="s">
        <v>403</v>
      </c>
      <c r="B177" s="8" t="s">
        <v>404</v>
      </c>
      <c r="C177" s="8" t="s">
        <v>88</v>
      </c>
      <c r="D177" s="7" t="n">
        <v>300</v>
      </c>
      <c r="E177" s="7" t="n">
        <v>300</v>
      </c>
      <c r="F177" s="7" t="n">
        <v>2400</v>
      </c>
      <c r="G177" s="19" t="n">
        <v>0.000626317877199942</v>
      </c>
    </row>
    <row r="178" customFormat="false" ht="15" hidden="false" customHeight="false" outlineLevel="0" collapsed="false">
      <c r="A178" s="0" t="s">
        <v>405</v>
      </c>
      <c r="B178" s="8" t="s">
        <v>406</v>
      </c>
      <c r="C178" s="8" t="s">
        <v>84</v>
      </c>
      <c r="D178" s="7" t="n">
        <v>288</v>
      </c>
      <c r="E178" s="7" t="n">
        <v>288</v>
      </c>
      <c r="F178" s="7" t="n">
        <v>8928</v>
      </c>
      <c r="G178" s="19" t="n">
        <v>0.000601265162111944</v>
      </c>
    </row>
    <row r="179" customFormat="false" ht="15" hidden="false" customHeight="false" outlineLevel="0" collapsed="false">
      <c r="A179" s="0" t="s">
        <v>369</v>
      </c>
      <c r="B179" s="0" t="s">
        <v>407</v>
      </c>
      <c r="C179" s="8" t="s">
        <v>88</v>
      </c>
      <c r="D179" s="7" t="n">
        <v>144</v>
      </c>
      <c r="E179" s="7" t="n">
        <v>288</v>
      </c>
      <c r="F179" s="7" t="n">
        <v>2304</v>
      </c>
      <c r="G179" s="19" t="n">
        <v>0.000601265162111944</v>
      </c>
    </row>
    <row r="180" customFormat="false" ht="15" hidden="false" customHeight="false" outlineLevel="0" collapsed="false">
      <c r="A180" s="0" t="s">
        <v>408</v>
      </c>
      <c r="B180" s="8" t="s">
        <v>409</v>
      </c>
      <c r="C180" s="8" t="s">
        <v>84</v>
      </c>
      <c r="D180" s="7" t="n">
        <v>288</v>
      </c>
      <c r="E180" s="7" t="n">
        <v>288</v>
      </c>
      <c r="F180" s="7" t="n">
        <v>8640</v>
      </c>
      <c r="G180" s="19" t="n">
        <v>0.000601265162111944</v>
      </c>
    </row>
    <row r="181" customFormat="false" ht="15" hidden="false" customHeight="false" outlineLevel="0" collapsed="false">
      <c r="A181" s="0" t="s">
        <v>410</v>
      </c>
      <c r="B181" s="0" t="s">
        <v>411</v>
      </c>
      <c r="C181" s="8" t="s">
        <v>88</v>
      </c>
      <c r="D181" s="7" t="n">
        <v>144</v>
      </c>
      <c r="E181" s="7" t="n">
        <v>288</v>
      </c>
      <c r="F181" s="7" t="n">
        <v>2304</v>
      </c>
      <c r="G181" s="19" t="n">
        <v>0.000601265162111944</v>
      </c>
    </row>
    <row r="182" customFormat="false" ht="15" hidden="false" customHeight="false" outlineLevel="0" collapsed="false">
      <c r="A182" s="0" t="s">
        <v>412</v>
      </c>
      <c r="B182" s="0" t="s">
        <v>413</v>
      </c>
      <c r="C182" s="8" t="s">
        <v>88</v>
      </c>
      <c r="D182" s="7" t="n">
        <v>144</v>
      </c>
      <c r="E182" s="7" t="n">
        <v>288</v>
      </c>
      <c r="F182" s="7" t="n">
        <v>2304</v>
      </c>
      <c r="G182" s="19" t="n">
        <v>0.000601265162111944</v>
      </c>
    </row>
    <row r="183" customFormat="false" ht="15" hidden="false" customHeight="false" outlineLevel="0" collapsed="false">
      <c r="A183" s="0" t="s">
        <v>414</v>
      </c>
      <c r="B183" s="0" t="s">
        <v>415</v>
      </c>
      <c r="C183" s="8" t="s">
        <v>84</v>
      </c>
      <c r="D183" s="7" t="n">
        <v>276</v>
      </c>
      <c r="E183" s="7" t="n">
        <v>276</v>
      </c>
      <c r="F183" s="7" t="n">
        <v>18768</v>
      </c>
      <c r="G183" s="19" t="n">
        <v>0.000576212447023946</v>
      </c>
    </row>
    <row r="184" customFormat="false" ht="15" hidden="false" customHeight="false" outlineLevel="0" collapsed="false">
      <c r="A184" s="0" t="s">
        <v>373</v>
      </c>
      <c r="B184" s="0" t="s">
        <v>416</v>
      </c>
      <c r="C184" s="8" t="s">
        <v>84</v>
      </c>
      <c r="D184" s="7" t="n">
        <v>276</v>
      </c>
      <c r="E184" s="7" t="n">
        <v>276</v>
      </c>
      <c r="F184" s="7" t="n">
        <v>12624</v>
      </c>
      <c r="G184" s="19" t="n">
        <v>0.000576212447023946</v>
      </c>
    </row>
    <row r="185" customFormat="false" ht="15" hidden="false" customHeight="false" outlineLevel="0" collapsed="false">
      <c r="A185" s="0" t="s">
        <v>417</v>
      </c>
      <c r="B185" s="0" t="s">
        <v>418</v>
      </c>
      <c r="C185" s="8" t="s">
        <v>84</v>
      </c>
      <c r="D185" s="7" t="n">
        <v>276</v>
      </c>
      <c r="E185" s="7" t="n">
        <v>276</v>
      </c>
      <c r="F185" s="7" t="n">
        <v>18768</v>
      </c>
      <c r="G185" s="19" t="n">
        <v>0.000576212447023946</v>
      </c>
    </row>
    <row r="186" customFormat="false" ht="15" hidden="false" customHeight="false" outlineLevel="0" collapsed="false">
      <c r="A186" s="0" t="s">
        <v>419</v>
      </c>
      <c r="B186" s="8" t="s">
        <v>420</v>
      </c>
      <c r="C186" s="8" t="s">
        <v>89</v>
      </c>
      <c r="D186" s="7" t="n">
        <v>264</v>
      </c>
      <c r="E186" s="7" t="n">
        <v>264</v>
      </c>
      <c r="F186" s="7" t="n">
        <v>2112</v>
      </c>
      <c r="G186" s="19" t="n">
        <v>0.000551159731935949</v>
      </c>
    </row>
    <row r="187" customFormat="false" ht="15" hidden="false" customHeight="false" outlineLevel="0" collapsed="false">
      <c r="A187" s="0" t="s">
        <v>421</v>
      </c>
      <c r="B187" s="8" t="s">
        <v>422</v>
      </c>
      <c r="C187" s="8" t="s">
        <v>88</v>
      </c>
      <c r="D187" s="7" t="n">
        <v>258</v>
      </c>
      <c r="E187" s="7" t="n">
        <v>258</v>
      </c>
      <c r="F187" s="7" t="n">
        <v>2064</v>
      </c>
      <c r="G187" s="19" t="n">
        <v>0.00053863337439195</v>
      </c>
    </row>
    <row r="188" customFormat="false" ht="15" hidden="false" customHeight="false" outlineLevel="0" collapsed="false">
      <c r="A188" s="0" t="s">
        <v>299</v>
      </c>
      <c r="B188" s="8" t="s">
        <v>423</v>
      </c>
      <c r="C188" s="8" t="s">
        <v>88</v>
      </c>
      <c r="D188" s="7" t="n">
        <v>252</v>
      </c>
      <c r="E188" s="7" t="n">
        <v>252</v>
      </c>
      <c r="F188" s="7" t="n">
        <v>2016</v>
      </c>
      <c r="G188" s="19" t="n">
        <v>0.000526107016847951</v>
      </c>
    </row>
    <row r="189" customFormat="false" ht="15" hidden="false" customHeight="false" outlineLevel="0" collapsed="false">
      <c r="A189" s="0" t="s">
        <v>267</v>
      </c>
      <c r="B189" s="8" t="s">
        <v>424</v>
      </c>
      <c r="C189" s="8" t="s">
        <v>88</v>
      </c>
      <c r="D189" s="7" t="n">
        <v>252</v>
      </c>
      <c r="E189" s="7" t="n">
        <v>252</v>
      </c>
      <c r="F189" s="7" t="n">
        <v>2016</v>
      </c>
      <c r="G189" s="19" t="n">
        <v>0.000526107016847951</v>
      </c>
    </row>
    <row r="190" customFormat="false" ht="15" hidden="false" customHeight="false" outlineLevel="0" collapsed="false">
      <c r="A190" s="0" t="s">
        <v>213</v>
      </c>
      <c r="B190" s="0" t="s">
        <v>425</v>
      </c>
      <c r="C190" s="8" t="s">
        <v>84</v>
      </c>
      <c r="D190" s="7" t="n">
        <v>250</v>
      </c>
      <c r="E190" s="7" t="n">
        <v>250</v>
      </c>
      <c r="F190" s="7" t="n">
        <v>6250</v>
      </c>
      <c r="G190" s="19" t="n">
        <v>0.000521931564333285</v>
      </c>
    </row>
    <row r="191" customFormat="false" ht="15" hidden="false" customHeight="false" outlineLevel="0" collapsed="false">
      <c r="A191" s="0" t="s">
        <v>426</v>
      </c>
      <c r="B191" s="0" t="s">
        <v>427</v>
      </c>
      <c r="C191" s="8" t="s">
        <v>84</v>
      </c>
      <c r="D191" s="7" t="n">
        <v>240</v>
      </c>
      <c r="E191" s="7" t="n">
        <v>240</v>
      </c>
      <c r="F191" s="7" t="n">
        <v>7200</v>
      </c>
      <c r="G191" s="19" t="n">
        <v>0.000501054301759953</v>
      </c>
    </row>
    <row r="192" customFormat="false" ht="15" hidden="false" customHeight="false" outlineLevel="0" collapsed="false">
      <c r="A192" s="0" t="s">
        <v>428</v>
      </c>
      <c r="B192" s="8" t="s">
        <v>429</v>
      </c>
      <c r="C192" s="8" t="s">
        <v>84</v>
      </c>
      <c r="D192" s="7" t="n">
        <v>230</v>
      </c>
      <c r="E192" s="7" t="n">
        <v>230</v>
      </c>
      <c r="F192" s="7" t="n">
        <v>6670</v>
      </c>
      <c r="G192" s="19" t="n">
        <v>0.000480177039186622</v>
      </c>
    </row>
    <row r="193" customFormat="false" ht="15" hidden="false" customHeight="false" outlineLevel="0" collapsed="false">
      <c r="A193" s="0" t="s">
        <v>430</v>
      </c>
      <c r="B193" s="0" t="s">
        <v>431</v>
      </c>
      <c r="C193" s="8" t="s">
        <v>84</v>
      </c>
      <c r="D193" s="7" t="n">
        <v>230</v>
      </c>
      <c r="E193" s="7" t="n">
        <v>230</v>
      </c>
      <c r="F193" s="7" t="n">
        <v>6555</v>
      </c>
      <c r="G193" s="19" t="n">
        <v>0.000480177039186622</v>
      </c>
    </row>
    <row r="194" customFormat="false" ht="15" hidden="false" customHeight="false" outlineLevel="0" collapsed="false">
      <c r="A194" s="0" t="s">
        <v>112</v>
      </c>
      <c r="B194" s="0" t="s">
        <v>432</v>
      </c>
      <c r="C194" s="8" t="s">
        <v>84</v>
      </c>
      <c r="D194" s="7" t="n">
        <v>225</v>
      </c>
      <c r="E194" s="7" t="n">
        <v>225</v>
      </c>
      <c r="F194" s="7" t="n">
        <v>5062.5</v>
      </c>
      <c r="G194" s="19" t="n">
        <v>0.000469738407899956</v>
      </c>
    </row>
    <row r="195" customFormat="false" ht="15" hidden="false" customHeight="false" outlineLevel="0" collapsed="false">
      <c r="A195" s="0" t="s">
        <v>433</v>
      </c>
      <c r="B195" s="0" t="s">
        <v>434</v>
      </c>
      <c r="C195" s="8" t="s">
        <v>84</v>
      </c>
      <c r="D195" s="7" t="n">
        <v>112</v>
      </c>
      <c r="E195" s="7" t="n">
        <v>224</v>
      </c>
      <c r="F195" s="7" t="n">
        <v>11648</v>
      </c>
      <c r="G195" s="19" t="n">
        <v>0.000467650681642623</v>
      </c>
    </row>
    <row r="196" customFormat="false" ht="15" hidden="false" customHeight="false" outlineLevel="0" collapsed="false">
      <c r="A196" s="0" t="s">
        <v>435</v>
      </c>
      <c r="B196" s="0" t="s">
        <v>436</v>
      </c>
      <c r="C196" s="8" t="s">
        <v>84</v>
      </c>
      <c r="D196" s="7" t="n">
        <v>220</v>
      </c>
      <c r="E196" s="7" t="n">
        <v>220</v>
      </c>
      <c r="F196" s="7" t="n">
        <v>5390</v>
      </c>
      <c r="G196" s="19" t="n">
        <v>0.000459299776613291</v>
      </c>
    </row>
    <row r="197" customFormat="false" ht="15" hidden="false" customHeight="false" outlineLevel="0" collapsed="false">
      <c r="A197" s="0" t="s">
        <v>437</v>
      </c>
      <c r="B197" s="0" t="s">
        <v>438</v>
      </c>
      <c r="C197" s="8" t="s">
        <v>88</v>
      </c>
      <c r="D197" s="7" t="n">
        <v>108</v>
      </c>
      <c r="E197" s="7" t="n">
        <v>216</v>
      </c>
      <c r="F197" s="7" t="n">
        <v>1728</v>
      </c>
      <c r="G197" s="19" t="n">
        <v>0.000450948871583958</v>
      </c>
    </row>
    <row r="198" customFormat="false" ht="15" hidden="false" customHeight="false" outlineLevel="0" collapsed="false">
      <c r="A198" s="0" t="s">
        <v>439</v>
      </c>
      <c r="B198" s="0" t="s">
        <v>440</v>
      </c>
      <c r="C198" s="8" t="s">
        <v>88</v>
      </c>
      <c r="D198" s="7" t="n">
        <v>108</v>
      </c>
      <c r="E198" s="7" t="n">
        <v>216</v>
      </c>
      <c r="F198" s="7" t="n">
        <v>1728</v>
      </c>
      <c r="G198" s="19" t="n">
        <v>0.000450948871583958</v>
      </c>
    </row>
    <row r="199" customFormat="false" ht="15" hidden="false" customHeight="false" outlineLevel="0" collapsed="false">
      <c r="A199" s="0" t="s">
        <v>441</v>
      </c>
      <c r="B199" s="0" t="s">
        <v>442</v>
      </c>
      <c r="C199" s="8" t="s">
        <v>88</v>
      </c>
      <c r="D199" s="7" t="n">
        <v>108</v>
      </c>
      <c r="E199" s="7" t="n">
        <v>216</v>
      </c>
      <c r="F199" s="7" t="n">
        <v>1728</v>
      </c>
      <c r="G199" s="19" t="n">
        <v>0.000450948871583958</v>
      </c>
    </row>
    <row r="200" customFormat="false" ht="15" hidden="false" customHeight="false" outlineLevel="0" collapsed="false">
      <c r="A200" s="0" t="s">
        <v>441</v>
      </c>
      <c r="B200" s="8" t="s">
        <v>443</v>
      </c>
      <c r="C200" s="8" t="s">
        <v>88</v>
      </c>
      <c r="D200" s="7" t="n">
        <v>108</v>
      </c>
      <c r="E200" s="7" t="n">
        <v>216</v>
      </c>
      <c r="F200" s="7" t="n">
        <v>1728</v>
      </c>
      <c r="G200" s="19" t="n">
        <v>0.000450948871583958</v>
      </c>
    </row>
    <row r="201" customFormat="false" ht="15" hidden="false" customHeight="false" outlineLevel="0" collapsed="false">
      <c r="A201" s="0" t="s">
        <v>439</v>
      </c>
      <c r="B201" s="8" t="s">
        <v>444</v>
      </c>
      <c r="C201" s="8" t="s">
        <v>88</v>
      </c>
      <c r="D201" s="7" t="n">
        <v>108</v>
      </c>
      <c r="E201" s="7" t="n">
        <v>216</v>
      </c>
      <c r="F201" s="7" t="n">
        <v>1728</v>
      </c>
      <c r="G201" s="19" t="n">
        <v>0.000450948871583958</v>
      </c>
    </row>
    <row r="202" customFormat="false" ht="15" hidden="false" customHeight="false" outlineLevel="0" collapsed="false">
      <c r="A202" s="0" t="s">
        <v>445</v>
      </c>
      <c r="B202" s="8" t="s">
        <v>446</v>
      </c>
      <c r="C202" s="8" t="s">
        <v>84</v>
      </c>
      <c r="D202" s="7" t="n">
        <v>205</v>
      </c>
      <c r="E202" s="7" t="n">
        <v>205</v>
      </c>
      <c r="F202" s="7" t="n">
        <v>5022.5</v>
      </c>
      <c r="G202" s="19" t="n">
        <v>0.000427983882753293</v>
      </c>
    </row>
    <row r="203" customFormat="false" ht="15" hidden="false" customHeight="false" outlineLevel="0" collapsed="false">
      <c r="A203" s="0" t="s">
        <v>447</v>
      </c>
      <c r="B203" s="8" t="s">
        <v>448</v>
      </c>
      <c r="C203" s="0" t="s">
        <v>449</v>
      </c>
      <c r="D203" s="7" t="n">
        <v>200</v>
      </c>
      <c r="E203" s="7" t="n">
        <v>200</v>
      </c>
      <c r="F203" s="7" t="n">
        <v>1600</v>
      </c>
      <c r="G203" s="19" t="n">
        <v>0.000417545251466628</v>
      </c>
    </row>
    <row r="204" customFormat="false" ht="15" hidden="false" customHeight="false" outlineLevel="0" collapsed="false">
      <c r="A204" s="0" t="s">
        <v>450</v>
      </c>
      <c r="B204" s="8" t="s">
        <v>451</v>
      </c>
      <c r="C204" s="8" t="s">
        <v>88</v>
      </c>
      <c r="D204" s="7" t="n">
        <v>200</v>
      </c>
      <c r="E204" s="7" t="n">
        <v>200</v>
      </c>
      <c r="F204" s="7" t="n">
        <v>1600</v>
      </c>
      <c r="G204" s="19" t="n">
        <v>0.000417545251466628</v>
      </c>
    </row>
    <row r="205" customFormat="false" ht="15" hidden="false" customHeight="false" outlineLevel="0" collapsed="false">
      <c r="A205" s="0" t="s">
        <v>354</v>
      </c>
      <c r="B205" s="0" t="s">
        <v>452</v>
      </c>
      <c r="C205" s="8" t="s">
        <v>89</v>
      </c>
      <c r="D205" s="7" t="n">
        <v>200</v>
      </c>
      <c r="E205" s="7" t="n">
        <v>200</v>
      </c>
      <c r="F205" s="7" t="n">
        <v>1600</v>
      </c>
      <c r="G205" s="19" t="n">
        <v>0.000417545251466628</v>
      </c>
    </row>
    <row r="206" customFormat="false" ht="15" hidden="false" customHeight="false" outlineLevel="0" collapsed="false">
      <c r="A206" s="0" t="s">
        <v>453</v>
      </c>
      <c r="B206" s="0" t="s">
        <v>454</v>
      </c>
      <c r="C206" s="8" t="s">
        <v>84</v>
      </c>
      <c r="D206" s="7" t="n">
        <v>100</v>
      </c>
      <c r="E206" s="7" t="n">
        <v>200</v>
      </c>
      <c r="F206" s="7" t="n">
        <v>5750</v>
      </c>
      <c r="G206" s="19" t="n">
        <v>0.000417545251466628</v>
      </c>
    </row>
    <row r="207" customFormat="false" ht="15" hidden="false" customHeight="false" outlineLevel="0" collapsed="false">
      <c r="A207" s="0" t="s">
        <v>455</v>
      </c>
      <c r="B207" s="0" t="s">
        <v>456</v>
      </c>
      <c r="C207" s="8" t="s">
        <v>84</v>
      </c>
      <c r="D207" s="7" t="n">
        <v>100</v>
      </c>
      <c r="E207" s="7" t="n">
        <v>200</v>
      </c>
      <c r="F207" s="7" t="n">
        <v>5750</v>
      </c>
      <c r="G207" s="19" t="n">
        <v>0.000417545251466628</v>
      </c>
    </row>
    <row r="208" customFormat="false" ht="15" hidden="false" customHeight="false" outlineLevel="0" collapsed="false">
      <c r="A208" s="0" t="s">
        <v>457</v>
      </c>
      <c r="B208" s="0" t="s">
        <v>458</v>
      </c>
      <c r="C208" s="8" t="s">
        <v>84</v>
      </c>
      <c r="D208" s="7" t="n">
        <v>196</v>
      </c>
      <c r="E208" s="7" t="n">
        <v>196</v>
      </c>
      <c r="F208" s="7" t="n">
        <v>6276</v>
      </c>
      <c r="G208" s="19" t="n">
        <v>0.000409194346437295</v>
      </c>
    </row>
    <row r="209" customFormat="false" ht="15" hidden="false" customHeight="false" outlineLevel="0" collapsed="false">
      <c r="A209" s="0" t="s">
        <v>459</v>
      </c>
      <c r="B209" s="8" t="s">
        <v>460</v>
      </c>
      <c r="C209" s="8" t="s">
        <v>84</v>
      </c>
      <c r="D209" s="7" t="n">
        <v>195</v>
      </c>
      <c r="E209" s="7" t="n">
        <v>195</v>
      </c>
      <c r="F209" s="7" t="n">
        <v>4687.5</v>
      </c>
      <c r="G209" s="19" t="n">
        <v>0.000407106620179962</v>
      </c>
    </row>
    <row r="210" customFormat="false" ht="15" hidden="false" customHeight="false" outlineLevel="0" collapsed="false">
      <c r="A210" s="0" t="s">
        <v>461</v>
      </c>
      <c r="B210" s="0" t="s">
        <v>462</v>
      </c>
      <c r="C210" s="8" t="s">
        <v>84</v>
      </c>
      <c r="D210" s="7" t="n">
        <v>190</v>
      </c>
      <c r="E210" s="7" t="n">
        <v>190</v>
      </c>
      <c r="F210" s="7" t="n">
        <v>4750</v>
      </c>
      <c r="G210" s="19" t="n">
        <v>0.000396667988893296</v>
      </c>
    </row>
    <row r="211" customFormat="false" ht="15" hidden="false" customHeight="false" outlineLevel="0" collapsed="false">
      <c r="A211" s="0" t="s">
        <v>463</v>
      </c>
      <c r="B211" s="0" t="s">
        <v>171</v>
      </c>
      <c r="C211" s="8" t="s">
        <v>84</v>
      </c>
      <c r="D211" s="7" t="n">
        <v>190</v>
      </c>
      <c r="E211" s="7" t="n">
        <v>190</v>
      </c>
      <c r="F211" s="7" t="n">
        <v>7980</v>
      </c>
      <c r="G211" s="19" t="n">
        <v>0.000396667988893296</v>
      </c>
    </row>
    <row r="212" customFormat="false" ht="15" hidden="false" customHeight="false" outlineLevel="0" collapsed="false">
      <c r="A212" s="0" t="s">
        <v>459</v>
      </c>
      <c r="B212" s="8" t="s">
        <v>464</v>
      </c>
      <c r="C212" s="8" t="s">
        <v>84</v>
      </c>
      <c r="D212" s="7" t="n">
        <v>150</v>
      </c>
      <c r="E212" s="7" t="n">
        <v>150</v>
      </c>
      <c r="F212" s="7" t="n">
        <v>3675</v>
      </c>
      <c r="G212" s="19" t="n">
        <v>0.000313158938599971</v>
      </c>
    </row>
    <row r="213" customFormat="false" ht="15" hidden="false" customHeight="false" outlineLevel="0" collapsed="false">
      <c r="A213" s="0" t="s">
        <v>465</v>
      </c>
      <c r="B213" s="8" t="s">
        <v>466</v>
      </c>
      <c r="C213" s="8" t="s">
        <v>84</v>
      </c>
      <c r="D213" s="7" t="n">
        <v>144</v>
      </c>
      <c r="E213" s="7" t="n">
        <v>144</v>
      </c>
      <c r="F213" s="7" t="n">
        <v>4320</v>
      </c>
      <c r="G213" s="19" t="n">
        <v>0.000300632581055972</v>
      </c>
    </row>
    <row r="214" customFormat="false" ht="15" hidden="false" customHeight="false" outlineLevel="0" collapsed="false">
      <c r="A214" s="0" t="s">
        <v>341</v>
      </c>
      <c r="B214" s="8" t="s">
        <v>467</v>
      </c>
      <c r="C214" s="8" t="s">
        <v>84</v>
      </c>
      <c r="D214" s="7" t="n">
        <v>72</v>
      </c>
      <c r="E214" s="7" t="n">
        <v>144</v>
      </c>
      <c r="F214" s="7" t="n">
        <v>7632</v>
      </c>
      <c r="G214" s="19" t="n">
        <v>0.000300632581055972</v>
      </c>
    </row>
    <row r="215" customFormat="false" ht="15" hidden="false" customHeight="false" outlineLevel="0" collapsed="false">
      <c r="A215" s="0" t="s">
        <v>158</v>
      </c>
      <c r="B215" s="0" t="s">
        <v>468</v>
      </c>
      <c r="C215" s="8" t="s">
        <v>84</v>
      </c>
      <c r="D215" s="7" t="n">
        <v>135</v>
      </c>
      <c r="E215" s="7" t="n">
        <v>135</v>
      </c>
      <c r="F215" s="7" t="n">
        <v>3037.5</v>
      </c>
      <c r="G215" s="19" t="n">
        <v>0.000281843044739974</v>
      </c>
    </row>
    <row r="216" customFormat="false" ht="15" hidden="false" customHeight="false" outlineLevel="0" collapsed="false">
      <c r="A216" s="0" t="s">
        <v>154</v>
      </c>
      <c r="B216" s="0" t="s">
        <v>469</v>
      </c>
      <c r="C216" s="8" t="s">
        <v>84</v>
      </c>
      <c r="D216" s="7" t="n">
        <v>135</v>
      </c>
      <c r="E216" s="7" t="n">
        <v>135</v>
      </c>
      <c r="F216" s="7" t="n">
        <v>3037.5</v>
      </c>
      <c r="G216" s="19" t="n">
        <v>0.000281843044739974</v>
      </c>
    </row>
    <row r="217" customFormat="false" ht="15" hidden="false" customHeight="false" outlineLevel="0" collapsed="false">
      <c r="A217" s="0" t="s">
        <v>470</v>
      </c>
      <c r="B217" s="0" t="s">
        <v>471</v>
      </c>
      <c r="C217" s="8" t="s">
        <v>84</v>
      </c>
      <c r="D217" s="7" t="n">
        <v>130</v>
      </c>
      <c r="E217" s="7" t="n">
        <v>130</v>
      </c>
      <c r="F217" s="7" t="n">
        <v>3250</v>
      </c>
      <c r="G217" s="19" t="n">
        <v>0.000271404413453308</v>
      </c>
    </row>
    <row r="218" customFormat="false" ht="15" hidden="false" customHeight="false" outlineLevel="0" collapsed="false">
      <c r="A218" s="0" t="s">
        <v>190</v>
      </c>
      <c r="B218" s="0" t="s">
        <v>472</v>
      </c>
      <c r="C218" s="8" t="s">
        <v>84</v>
      </c>
      <c r="D218" s="7" t="n">
        <v>120</v>
      </c>
      <c r="E218" s="7" t="n">
        <v>120</v>
      </c>
      <c r="F218" s="7" t="n">
        <v>4920</v>
      </c>
      <c r="G218" s="19" t="n">
        <v>0.000250527150879977</v>
      </c>
    </row>
    <row r="219" customFormat="false" ht="15" hidden="false" customHeight="false" outlineLevel="0" collapsed="false">
      <c r="A219" s="0" t="s">
        <v>473</v>
      </c>
      <c r="B219" s="8" t="s">
        <v>474</v>
      </c>
      <c r="C219" s="8" t="s">
        <v>89</v>
      </c>
      <c r="D219" s="7" t="n">
        <v>120</v>
      </c>
      <c r="E219" s="7" t="n">
        <v>120</v>
      </c>
      <c r="F219" s="7" t="n">
        <v>960</v>
      </c>
      <c r="G219" s="19" t="n">
        <v>0.000250527150879977</v>
      </c>
    </row>
    <row r="220" customFormat="false" ht="15" hidden="false" customHeight="false" outlineLevel="0" collapsed="false">
      <c r="A220" s="0" t="s">
        <v>405</v>
      </c>
      <c r="B220" s="8" t="s">
        <v>475</v>
      </c>
      <c r="C220" s="8" t="s">
        <v>84</v>
      </c>
      <c r="D220" s="7" t="n">
        <v>120</v>
      </c>
      <c r="E220" s="7" t="n">
        <v>120</v>
      </c>
      <c r="F220" s="7" t="n">
        <v>3960</v>
      </c>
      <c r="G220" s="19" t="n">
        <v>0.000250527150879977</v>
      </c>
    </row>
    <row r="221" customFormat="false" ht="15" hidden="false" customHeight="false" outlineLevel="0" collapsed="false">
      <c r="A221" s="0" t="s">
        <v>421</v>
      </c>
      <c r="B221" s="8" t="s">
        <v>476</v>
      </c>
      <c r="C221" s="8" t="s">
        <v>88</v>
      </c>
      <c r="D221" s="7" t="n">
        <v>108</v>
      </c>
      <c r="E221" s="7" t="n">
        <v>108</v>
      </c>
      <c r="F221" s="7" t="n">
        <v>864</v>
      </c>
      <c r="G221" s="19" t="n">
        <v>0.000225474435791979</v>
      </c>
    </row>
    <row r="222" customFormat="false" ht="15" hidden="false" customHeight="false" outlineLevel="0" collapsed="false">
      <c r="A222" s="0" t="s">
        <v>477</v>
      </c>
      <c r="B222" s="8" t="s">
        <v>478</v>
      </c>
      <c r="C222" s="8" t="s">
        <v>88</v>
      </c>
      <c r="D222" s="7" t="n">
        <v>108</v>
      </c>
      <c r="E222" s="7" t="n">
        <v>108</v>
      </c>
      <c r="F222" s="7" t="n">
        <v>864</v>
      </c>
      <c r="G222" s="19" t="n">
        <v>0.000225474435791979</v>
      </c>
    </row>
    <row r="223" customFormat="false" ht="15" hidden="false" customHeight="false" outlineLevel="0" collapsed="false">
      <c r="A223" s="0" t="s">
        <v>477</v>
      </c>
      <c r="B223" s="8" t="s">
        <v>479</v>
      </c>
      <c r="C223" s="8" t="s">
        <v>88</v>
      </c>
      <c r="D223" s="7" t="n">
        <v>108</v>
      </c>
      <c r="E223" s="7" t="n">
        <v>108</v>
      </c>
      <c r="F223" s="7" t="n">
        <v>864</v>
      </c>
      <c r="G223" s="19" t="n">
        <v>0.000225474435791979</v>
      </c>
    </row>
    <row r="224" customFormat="false" ht="15" hidden="false" customHeight="false" outlineLevel="0" collapsed="false">
      <c r="A224" s="0" t="s">
        <v>480</v>
      </c>
      <c r="B224" s="8" t="s">
        <v>481</v>
      </c>
      <c r="C224" s="8" t="s">
        <v>88</v>
      </c>
      <c r="D224" s="7" t="n">
        <v>108</v>
      </c>
      <c r="E224" s="7" t="n">
        <v>108</v>
      </c>
      <c r="F224" s="7" t="n">
        <v>864</v>
      </c>
      <c r="G224" s="19" t="n">
        <v>0.000225474435791979</v>
      </c>
    </row>
    <row r="225" customFormat="false" ht="15" hidden="false" customHeight="false" outlineLevel="0" collapsed="false">
      <c r="A225" s="0" t="s">
        <v>303</v>
      </c>
      <c r="B225" s="8" t="s">
        <v>404</v>
      </c>
      <c r="C225" s="8" t="s">
        <v>89</v>
      </c>
      <c r="D225" s="7" t="n">
        <v>104</v>
      </c>
      <c r="E225" s="7" t="n">
        <v>104</v>
      </c>
      <c r="F225" s="7" t="n">
        <v>832</v>
      </c>
      <c r="G225" s="19" t="n">
        <v>0.000217123530762646</v>
      </c>
    </row>
    <row r="226" customFormat="false" ht="15" hidden="false" customHeight="false" outlineLevel="0" collapsed="false">
      <c r="A226" s="0" t="s">
        <v>482</v>
      </c>
      <c r="B226" s="0" t="s">
        <v>483</v>
      </c>
      <c r="C226" s="8" t="s">
        <v>84</v>
      </c>
      <c r="D226" s="7" t="n">
        <v>100</v>
      </c>
      <c r="E226" s="7" t="n">
        <v>100</v>
      </c>
      <c r="F226" s="7" t="n">
        <v>5850</v>
      </c>
      <c r="G226" s="19" t="n">
        <v>0.000208772625733314</v>
      </c>
    </row>
    <row r="227" customFormat="false" ht="15" hidden="false" customHeight="false" outlineLevel="0" collapsed="false">
      <c r="A227" s="0" t="s">
        <v>445</v>
      </c>
      <c r="B227" s="0" t="s">
        <v>484</v>
      </c>
      <c r="C227" s="8" t="s">
        <v>84</v>
      </c>
      <c r="D227" s="7" t="n">
        <v>100</v>
      </c>
      <c r="E227" s="7" t="n">
        <v>100</v>
      </c>
      <c r="F227" s="7" t="n">
        <v>2450</v>
      </c>
      <c r="G227" s="19" t="n">
        <v>0.000208772625733314</v>
      </c>
    </row>
    <row r="228" customFormat="false" ht="15" hidden="false" customHeight="false" outlineLevel="0" collapsed="false">
      <c r="A228" s="0" t="s">
        <v>183</v>
      </c>
      <c r="B228" s="0" t="s">
        <v>485</v>
      </c>
      <c r="C228" s="8" t="s">
        <v>84</v>
      </c>
      <c r="D228" s="7" t="n">
        <v>100</v>
      </c>
      <c r="E228" s="7" t="n">
        <v>100</v>
      </c>
      <c r="F228" s="7" t="n">
        <v>4200</v>
      </c>
      <c r="G228" s="19" t="n">
        <v>0.000208772625733314</v>
      </c>
    </row>
    <row r="229" customFormat="false" ht="15" hidden="false" customHeight="false" outlineLevel="0" collapsed="false">
      <c r="A229" s="0" t="s">
        <v>486</v>
      </c>
      <c r="B229" s="0" t="s">
        <v>487</v>
      </c>
      <c r="C229" s="8" t="s">
        <v>84</v>
      </c>
      <c r="D229" s="7" t="n">
        <v>100</v>
      </c>
      <c r="E229" s="7" t="n">
        <v>100</v>
      </c>
      <c r="F229" s="7" t="n">
        <v>4300</v>
      </c>
      <c r="G229" s="19" t="n">
        <v>0.000208772625733314</v>
      </c>
    </row>
    <row r="230" customFormat="false" ht="15" hidden="false" customHeight="false" outlineLevel="0" collapsed="false">
      <c r="A230" s="0" t="s">
        <v>488</v>
      </c>
      <c r="B230" s="8" t="s">
        <v>489</v>
      </c>
      <c r="C230" s="8" t="s">
        <v>84</v>
      </c>
      <c r="D230" s="7" t="n">
        <v>100</v>
      </c>
      <c r="E230" s="7" t="n">
        <v>100</v>
      </c>
      <c r="F230" s="7" t="n">
        <v>2900</v>
      </c>
      <c r="G230" s="19" t="n">
        <v>0.000208772625733314</v>
      </c>
    </row>
    <row r="231" customFormat="false" ht="15" hidden="false" customHeight="false" outlineLevel="0" collapsed="false">
      <c r="A231" s="0" t="s">
        <v>419</v>
      </c>
      <c r="B231" s="0" t="s">
        <v>490</v>
      </c>
      <c r="C231" s="8" t="s">
        <v>89</v>
      </c>
      <c r="D231" s="7" t="n">
        <v>100</v>
      </c>
      <c r="E231" s="7" t="n">
        <v>100</v>
      </c>
      <c r="F231" s="7" t="n">
        <v>800</v>
      </c>
      <c r="G231" s="19" t="n">
        <v>0.000208772625733314</v>
      </c>
    </row>
    <row r="232" customFormat="false" ht="15" hidden="false" customHeight="false" outlineLevel="0" collapsed="false">
      <c r="A232" s="0" t="s">
        <v>435</v>
      </c>
      <c r="B232" s="0" t="s">
        <v>491</v>
      </c>
      <c r="C232" s="8" t="s">
        <v>84</v>
      </c>
      <c r="D232" s="7" t="n">
        <v>100</v>
      </c>
      <c r="E232" s="7" t="n">
        <v>100</v>
      </c>
      <c r="F232" s="7" t="n">
        <v>5850</v>
      </c>
      <c r="G232" s="19" t="n">
        <v>0.000208772625733314</v>
      </c>
    </row>
    <row r="233" customFormat="false" ht="15" hidden="false" customHeight="false" outlineLevel="0" collapsed="false">
      <c r="A233" s="0" t="s">
        <v>492</v>
      </c>
      <c r="B233" s="0" t="s">
        <v>493</v>
      </c>
      <c r="C233" s="8" t="s">
        <v>84</v>
      </c>
      <c r="D233" s="7" t="n">
        <v>90</v>
      </c>
      <c r="E233" s="7" t="n">
        <v>90</v>
      </c>
      <c r="F233" s="7" t="n">
        <v>3690</v>
      </c>
      <c r="G233" s="19" t="n">
        <v>0.000187895363159983</v>
      </c>
    </row>
    <row r="234" customFormat="false" ht="15" hidden="false" customHeight="false" outlineLevel="0" collapsed="false">
      <c r="A234" s="0" t="s">
        <v>494</v>
      </c>
      <c r="B234" s="8" t="s">
        <v>495</v>
      </c>
      <c r="C234" s="8" t="s">
        <v>84</v>
      </c>
      <c r="D234" s="7" t="n">
        <v>80</v>
      </c>
      <c r="E234" s="7" t="n">
        <v>80</v>
      </c>
      <c r="F234" s="7" t="n">
        <v>2320</v>
      </c>
      <c r="G234" s="19" t="n">
        <v>0.000167018100586651</v>
      </c>
    </row>
    <row r="235" customFormat="false" ht="15" hidden="false" customHeight="false" outlineLevel="0" collapsed="false">
      <c r="A235" s="0" t="s">
        <v>496</v>
      </c>
      <c r="B235" s="0" t="s">
        <v>497</v>
      </c>
      <c r="C235" s="8" t="s">
        <v>84</v>
      </c>
      <c r="D235" s="7" t="n">
        <v>72</v>
      </c>
      <c r="E235" s="7" t="n">
        <v>72</v>
      </c>
      <c r="F235" s="7" t="n">
        <v>2160</v>
      </c>
      <c r="G235" s="19" t="n">
        <v>0.000150316290527986</v>
      </c>
    </row>
    <row r="236" customFormat="false" ht="15" hidden="false" customHeight="false" outlineLevel="0" collapsed="false">
      <c r="A236" s="0" t="s">
        <v>498</v>
      </c>
      <c r="B236" s="0" t="s">
        <v>499</v>
      </c>
      <c r="C236" s="8" t="s">
        <v>84</v>
      </c>
      <c r="D236" s="7" t="n">
        <v>70</v>
      </c>
      <c r="E236" s="7" t="n">
        <v>70</v>
      </c>
      <c r="F236" s="7" t="n">
        <v>2800</v>
      </c>
      <c r="G236" s="19" t="n">
        <v>0.00014614083801332</v>
      </c>
    </row>
    <row r="237" customFormat="false" ht="15" hidden="false" customHeight="false" outlineLevel="0" collapsed="false">
      <c r="A237" s="0" t="s">
        <v>500</v>
      </c>
      <c r="B237" s="0" t="s">
        <v>501</v>
      </c>
      <c r="C237" s="8" t="s">
        <v>84</v>
      </c>
      <c r="D237" s="7" t="n">
        <v>60</v>
      </c>
      <c r="E237" s="7" t="n">
        <v>60</v>
      </c>
      <c r="F237" s="7" t="n">
        <v>6240</v>
      </c>
      <c r="G237" s="19" t="n">
        <v>0.000125263575439988</v>
      </c>
    </row>
    <row r="238" customFormat="false" ht="15" hidden="false" customHeight="false" outlineLevel="0" collapsed="false">
      <c r="A238" s="0" t="s">
        <v>502</v>
      </c>
      <c r="B238" s="8" t="s">
        <v>503</v>
      </c>
      <c r="C238" s="8" t="s">
        <v>84</v>
      </c>
      <c r="D238" s="7" t="n">
        <v>30</v>
      </c>
      <c r="E238" s="7" t="n">
        <v>60</v>
      </c>
      <c r="F238" s="7" t="n">
        <v>1725</v>
      </c>
      <c r="G238" s="19" t="n">
        <v>0.000125263575439988</v>
      </c>
    </row>
    <row r="239" customFormat="false" ht="15" hidden="false" customHeight="false" outlineLevel="0" collapsed="false">
      <c r="A239" s="0" t="s">
        <v>504</v>
      </c>
      <c r="B239" s="0" t="s">
        <v>505</v>
      </c>
      <c r="C239" s="8" t="s">
        <v>84</v>
      </c>
      <c r="D239" s="7" t="n">
        <v>60</v>
      </c>
      <c r="E239" s="7" t="n">
        <v>60</v>
      </c>
      <c r="F239" s="7" t="n">
        <v>2580</v>
      </c>
      <c r="G239" s="19" t="n">
        <v>0.000125263575439988</v>
      </c>
    </row>
    <row r="240" customFormat="false" ht="15" hidden="false" customHeight="false" outlineLevel="0" collapsed="false">
      <c r="A240" s="0" t="s">
        <v>504</v>
      </c>
      <c r="B240" s="0" t="s">
        <v>506</v>
      </c>
      <c r="C240" s="8" t="s">
        <v>84</v>
      </c>
      <c r="D240" s="7" t="n">
        <v>60</v>
      </c>
      <c r="E240" s="7" t="n">
        <v>60</v>
      </c>
      <c r="F240" s="7" t="n">
        <v>2580</v>
      </c>
      <c r="G240" s="19" t="n">
        <v>0.000125263575439988</v>
      </c>
    </row>
    <row r="241" customFormat="false" ht="15" hidden="false" customHeight="false" outlineLevel="0" collapsed="false">
      <c r="A241" s="0" t="s">
        <v>486</v>
      </c>
      <c r="B241" s="0" t="s">
        <v>507</v>
      </c>
      <c r="C241" s="8" t="s">
        <v>84</v>
      </c>
      <c r="D241" s="7" t="n">
        <v>60</v>
      </c>
      <c r="E241" s="7" t="n">
        <v>60</v>
      </c>
      <c r="F241" s="7" t="n">
        <v>2580</v>
      </c>
      <c r="G241" s="19" t="n">
        <v>0.000125263575439988</v>
      </c>
    </row>
    <row r="242" customFormat="false" ht="15" hidden="false" customHeight="false" outlineLevel="0" collapsed="false">
      <c r="A242" s="0" t="s">
        <v>473</v>
      </c>
      <c r="B242" s="8" t="s">
        <v>508</v>
      </c>
      <c r="C242" s="8" t="s">
        <v>89</v>
      </c>
      <c r="D242" s="7" t="n">
        <v>56</v>
      </c>
      <c r="E242" s="7" t="n">
        <v>56</v>
      </c>
      <c r="F242" s="7" t="n">
        <v>448</v>
      </c>
      <c r="G242" s="19" t="n">
        <v>0.000116912670410656</v>
      </c>
    </row>
    <row r="243" customFormat="false" ht="15" hidden="false" customHeight="false" outlineLevel="0" collapsed="false">
      <c r="A243" s="0" t="s">
        <v>357</v>
      </c>
      <c r="B243" s="0" t="s">
        <v>509</v>
      </c>
      <c r="C243" s="8" t="s">
        <v>84</v>
      </c>
      <c r="D243" s="7" t="n">
        <v>50</v>
      </c>
      <c r="E243" s="7" t="n">
        <v>50</v>
      </c>
      <c r="F243" s="7" t="n">
        <v>1250</v>
      </c>
      <c r="G243" s="19" t="n">
        <v>0.000104386312866657</v>
      </c>
    </row>
    <row r="244" customFormat="false" ht="15" hidden="false" customHeight="false" outlineLevel="0" collapsed="false">
      <c r="A244" s="0" t="s">
        <v>419</v>
      </c>
      <c r="B244" s="8" t="s">
        <v>510</v>
      </c>
      <c r="C244" s="8" t="s">
        <v>89</v>
      </c>
      <c r="D244" s="7" t="n">
        <v>13</v>
      </c>
      <c r="E244" s="7" t="n">
        <v>13</v>
      </c>
      <c r="F244" s="7" t="n">
        <v>104</v>
      </c>
      <c r="G244" s="19" t="n">
        <v>2.71404413453308E-005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2026-10-29T04:20:48Z</dcterms:created>
  <dc:creator>openpyxl</dc:creator>
  <dc:description/>
  <dc:language>en-US</dc:language>
  <cp:lastModifiedBy/>
  <dcterms:modified xsi:type="dcterms:W3CDTF">2026-10-29T04:20:48Z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